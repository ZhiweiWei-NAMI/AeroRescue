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2d22a76a5d24a34" /></Relationships>
</file>

<file path=xl/workbook.xml><?xml version="1.0" encoding="utf-8"?>
<x:workbook xmlns:x="http://schemas.openxmlformats.org/spreadsheetml/2006/main">
  <x:sheets>
    <x:sheet xmlns:r="http://schemas.openxmlformats.org/officeDocument/2006/relationships" name="00_总览" sheetId="1" r:id="R2a4e6ffdeca248fd"/>
    <x:sheet xmlns:r="http://schemas.openxmlformats.org/officeDocument/2006/relationships" name="01_原话需求" sheetId="2" r:id="R688ac6e188c841e1"/>
    <x:sheet xmlns:r="http://schemas.openxmlformats.org/officeDocument/2006/relationships" name="02_来源证据" sheetId="3" r:id="Rc5c6c12452434648"/>
    <x:sheet xmlns:r="http://schemas.openxmlformats.org/officeDocument/2006/relationships" name="03_场景18" sheetId="4" r:id="Ree79fc37746f4bab"/>
    <x:sheet xmlns:r="http://schemas.openxmlformats.org/officeDocument/2006/relationships" name="04_扰动8" sheetId="5" r:id="R879a27f5362f4fb6"/>
    <x:sheet xmlns:r="http://schemas.openxmlformats.org/officeDocument/2006/relationships" name="05_任务96" sheetId="6" r:id="Rf141cc0adc864afc"/>
    <x:sheet xmlns:r="http://schemas.openxmlformats.org/officeDocument/2006/relationships" name="06_序列112" sheetId="7" r:id="R819feb9844554aaf"/>
    <x:sheet xmlns:r="http://schemas.openxmlformats.org/officeDocument/2006/relationships" name="07_序列步骤" sheetId="8" r:id="R74f34450baea43b4"/>
    <x:sheet xmlns:r="http://schemas.openxmlformats.org/officeDocument/2006/relationships" name="08_操作66" sheetId="9" r:id="Rbf2fc5163f0b45b5"/>
    <x:sheet xmlns:r="http://schemas.openxmlformats.org/officeDocument/2006/relationships" name="09_能力49" sheetId="10" r:id="Rd76c07e5946f4d02"/>
    <x:sheet xmlns:r="http://schemas.openxmlformats.org/officeDocument/2006/relationships" name="10_字段385" sheetId="11" r:id="R59ea037fb73e4c5a"/>
    <x:sheet xmlns:r="http://schemas.openxmlformats.org/officeDocument/2006/relationships" name="11_原生类别81" sheetId="12" r:id="R9dfdab21f2e14280"/>
    <x:sheet xmlns:r="http://schemas.openxmlformats.org/officeDocument/2006/relationships" name="12_ESAR线索95" sheetId="13" r:id="R6a5096ae4e3c4995"/>
    <x:sheet xmlns:r="http://schemas.openxmlformats.org/officeDocument/2006/relationships" name="13_规则18" sheetId="14" r:id="R49c6b92aa915411b"/>
    <x:sheet xmlns:r="http://schemas.openxmlformats.org/officeDocument/2006/relationships" name="14_场景任务映射" sheetId="15" r:id="Rfeeb1b910d4e4591"/>
    <x:sheet xmlns:r="http://schemas.openxmlformats.org/officeDocument/2006/relationships" name="15_动作字段映射" sheetId="16" r:id="R98da07c54f4c4cbc"/>
    <x:sheet xmlns:r="http://schemas.openxmlformats.org/officeDocument/2006/relationships" name="16_覆盖审计" sheetId="17" r:id="Ra58b50a9a3824f7b"/>
    <x:sheet xmlns:r="http://schemas.openxmlformats.org/officeDocument/2006/relationships" name="17_标签分组" sheetId="18" r:id="Rd519797962d3492c"/>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sz val="11"/>
      <x:name val="Aptos"/>
    </x:font>
    <x:font>
      <x:sz val="10"/>
      <x:name val="Aptos"/>
    </x:font>
    <x:font>
      <x:b/>
      <x:sz val="18"/>
      <x:color rgb="FFFFFFFF"/>
      <x:name val="Aptos"/>
    </x:font>
    <x:font>
      <x:sz val="10"/>
      <x:color rgb="FF344E5C"/>
      <x:name val="Aptos"/>
    </x:font>
    <x:font>
      <x:b/>
      <x:sz val="10"/>
      <x:color rgb="FFFFFFFF"/>
      <x:name val="Aptos"/>
    </x:font>
    <x:font>
      <x:b/>
      <x:sz val="20"/>
      <x:color rgb="FFFFFFFF"/>
      <x:name val="Aptos"/>
    </x:font>
    <x:font>
      <x:sz val="11"/>
      <x:color rgb="FF344E5C"/>
      <x:name val="Aptos"/>
    </x:font>
    <x:font>
      <x:b/>
      <x:sz val="11"/>
      <x:color rgb="FFFFFFFF"/>
      <x:name val="Aptos"/>
    </x:font>
    <x:font>
      <x:b/>
      <x:sz val="11"/>
      <x:name val="Aptos"/>
    </x:font>
    <x:font>
      <x:b/>
      <x:sz val="16"/>
      <x:name val="Aptos"/>
    </x:font>
  </x:fonts>
  <x:fills count="7">
    <x:fill>
      <x:patternFill patternType="none"/>
    </x:fill>
    <x:fill>
      <x:patternFill patternType="gray125"/>
    </x:fill>
    <x:fill>
      <x:patternFill patternType="solid">
        <x:fgColor rgb="FF153247"/>
      </x:patternFill>
    </x:fill>
    <x:fill>
      <x:patternFill patternType="solid">
        <x:fgColor rgb="FFE8F1F4"/>
      </x:patternFill>
    </x:fill>
    <x:fill>
      <x:patternFill patternType="solid">
        <x:fgColor rgb="FF216B75"/>
      </x:patternFill>
    </x:fill>
    <x:fill>
      <x:patternFill patternType="solid">
        <x:fgColor rgb="FFF3F7F9"/>
      </x:patternFill>
    </x:fill>
    <x:fill>
      <x:patternFill patternType="solid">
        <x:fgColor rgb="FFFFFFFF"/>
      </x:patternFill>
    </x:fill>
  </x:fills>
  <x:borders count="2">
    <x:border/>
    <x:border/>
  </x:borders>
  <x:cellStyleXfs count="1">
    <x:xf numFmtId="0" fontId="0" fillId="0" borderId="0"/>
  </x:cellStyleXfs>
  <x:cellXfs count="6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2" fillId="2" borderId="1"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vertical="center"/>
    </x:xf>
    <x:xf numFmtId="0" fontId="2"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2"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4" fillId="3" borderId="1" xfId="0" applyNumberFormat="1" applyFont="1" applyFill="1" applyBorder="1" applyAlignment="1">
      <x:alignment vertical="center" wrapText="1"/>
    </x:xf>
    <x:xf numFmtId="0" fontId="2"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2"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vertical="center" wrapText="1"/>
    </x:xf>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1" fillId="2" borderId="0" xfId="0" applyNumberFormat="1" applyFont="1" applyFill="1" applyBorder="1"/>
    <x:xf numFmtId="0" fontId="6" fillId="2" borderId="0" xfId="0" applyNumberFormat="1" applyFont="1" applyFill="1" applyBorder="1"/>
    <x:xf numFmtId="0" fontId="1" fillId="2" borderId="1" xfId="0" applyNumberFormat="1" applyFont="1" applyFill="1" applyBorder="1"/>
    <x:xf numFmtId="0" fontId="6" fillId="2" borderId="1" xfId="0" applyNumberFormat="1" applyFont="1" applyFill="1" applyBorder="1"/>
    <x:xf numFmtId="0" fontId="1" fillId="3" borderId="0" xfId="0" applyNumberFormat="1" applyFont="1" applyFill="1" applyBorder="1"/>
    <x:xf numFmtId="0" fontId="7" fillId="3" borderId="0" xfId="0" applyNumberFormat="1" applyFont="1" applyFill="1" applyBorder="1"/>
    <x:xf numFmtId="0" fontId="1" fillId="3" borderId="1" xfId="0" applyNumberFormat="1" applyFont="1" applyFill="1" applyBorder="1"/>
    <x:xf numFmtId="0" fontId="7" fillId="3" borderId="1" xfId="0" applyNumberFormat="1" applyFont="1" applyFill="1" applyBorder="1"/>
    <x:xf numFmtId="0" fontId="1" fillId="4" borderId="0" xfId="0" applyNumberFormat="1" applyFont="1" applyFill="1" applyBorder="1"/>
    <x:xf numFmtId="0" fontId="8" fillId="4" borderId="0" xfId="0" applyNumberFormat="1" applyFont="1" applyFill="1" applyBorder="1"/>
    <x:xf numFmtId="0" fontId="1" fillId="4" borderId="1" xfId="0" applyNumberFormat="1" applyFont="1" applyFill="1" applyBorder="1"/>
    <x:xf numFmtId="0" fontId="8" fillId="4" borderId="1"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vertical="center" wrapText="1"/>
    </x:xf>
    <x:xf numFmtId="0" fontId="9" fillId="5" borderId="0" xfId="0" applyNumberFormat="1" applyFont="1" applyFill="1" applyBorder="1" applyAlignment="1">
      <x:alignment vertical="center" wrapText="1"/>
    </x:xf>
    <x:xf numFmtId="0" fontId="9" fillId="5" borderId="1" xfId="0" applyNumberFormat="1" applyFont="1" applyFill="1" applyBorder="1" applyAlignment="1">
      <x:alignment vertical="center" wrapText="1"/>
    </x:xf>
    <x:xf numFmtId="0" fontId="10" fillId="5" borderId="0" xfId="0" applyNumberFormat="1" applyFont="1" applyFill="1" applyBorder="1" applyAlignment="1">
      <x:alignment vertical="center" wrapText="1"/>
    </x:xf>
    <x:xf numFmtId="0" fontId="10" fillId="5" borderId="1" xfId="0" applyNumberFormat="1" applyFont="1" applyFill="1" applyBorder="1" applyAlignment="1">
      <x:alignment vertical="center" wrapText="1"/>
    </x:xf>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vertical="center" wrapText="1"/>
    </x:xf>
    <x:xf numFmtId="0" fontId="1" fillId="6" borderId="1" xfId="0" applyNumberFormat="1" applyFont="1" applyFill="1" applyBorder="1"/>
    <x:xf numFmtId="0" fontId="1" fillId="6" borderId="1" xfId="0" applyNumberFormat="1" applyFont="1" applyFill="1" applyBorder="1" applyAlignment="1">
      <x:alignment wrapText="1"/>
    </x:xf>
    <x:xf numFmtId="0" fontId="1" fillId="6" borderId="1" xfId="0" applyNumberFormat="1" applyFont="1" applyFill="1" applyBorder="1" applyAlignment="1">
      <x:alignment vertical="center" wrapText="1"/>
    </x:xf>
    <x:xf numFmtId="0" fontId="9" fillId="6" borderId="0" xfId="0" applyNumberFormat="1" applyFont="1" applyFill="1" applyBorder="1" applyAlignment="1">
      <x:alignment vertical="center" wrapText="1"/>
    </x:xf>
    <x:xf numFmtId="0" fontId="9" fillId="6" borderId="1" xfId="0" applyNumberFormat="1" applyFont="1" applyFill="1" applyBorder="1" applyAlignment="1">
      <x:alignment vertical="center" wrapText="1"/>
    </x:xf>
    <x:xf numFmtId="0" fontId="10" fillId="6" borderId="0" xfId="0" applyNumberFormat="1" applyFont="1" applyFill="1" applyBorder="1" applyAlignment="1">
      <x:alignment vertical="center" wrapText="1"/>
    </x:xf>
    <x:xf numFmtId="0" fontId="10" fillId="6" borderId="1" xfId="0" applyNumberFormat="1" applyFont="1" applyFill="1" applyBorder="1" applyAlignment="1">
      <x:alignment vertical="center" wrapText="1"/>
    </x:xf>
    <x:xf numFmtId="0" fontId="10" fillId="5" borderId="0" xfId="0" applyNumberFormat="1" applyFont="1" applyFill="1" applyBorder="1" applyAlignment="1">
      <x:alignment horizontal="center" vertical="center" wrapText="1"/>
    </x:xf>
    <x:xf numFmtId="0" fontId="10" fillId="6"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64390f19d942b6" /><Relationship Type="http://schemas.openxmlformats.org/officeDocument/2006/relationships/theme" Target="/xl/theme/theme1.xml" Id="R2ffa854b1b164421" /><Relationship Type="http://schemas.openxmlformats.org/officeDocument/2006/relationships/sharedStrings" Target="/xl/sharedStrings.xml" Id="R44ea034620bd4531" /><Relationship Type="http://schemas.openxmlformats.org/officeDocument/2006/relationships/worksheet" Target="/xl/worksheets/sheet1.xml" Id="R2a4e6ffdeca248fd" /><Relationship Type="http://schemas.openxmlformats.org/officeDocument/2006/relationships/worksheet" Target="/xl/worksheets/sheet2.xml" Id="R688ac6e188c841e1" /><Relationship Type="http://schemas.openxmlformats.org/officeDocument/2006/relationships/worksheet" Target="/xl/worksheets/sheet3.xml" Id="Rc5c6c12452434648" /><Relationship Type="http://schemas.openxmlformats.org/officeDocument/2006/relationships/worksheet" Target="/xl/worksheets/sheet4.xml" Id="Ree79fc37746f4bab" /><Relationship Type="http://schemas.openxmlformats.org/officeDocument/2006/relationships/worksheet" Target="/xl/worksheets/sheet5.xml" Id="R879a27f5362f4fb6" /><Relationship Type="http://schemas.openxmlformats.org/officeDocument/2006/relationships/worksheet" Target="/xl/worksheets/sheet6.xml" Id="Rf141cc0adc864afc" /><Relationship Type="http://schemas.openxmlformats.org/officeDocument/2006/relationships/worksheet" Target="/xl/worksheets/sheet7.xml" Id="R819feb9844554aaf" /><Relationship Type="http://schemas.openxmlformats.org/officeDocument/2006/relationships/worksheet" Target="/xl/worksheets/sheet8.xml" Id="R74f34450baea43b4" /><Relationship Type="http://schemas.openxmlformats.org/officeDocument/2006/relationships/worksheet" Target="/xl/worksheets/sheet9.xml" Id="Rbf2fc5163f0b45b5" /><Relationship Type="http://schemas.openxmlformats.org/officeDocument/2006/relationships/worksheet" Target="/xl/worksheets/sheet10.xml" Id="Rd76c07e5946f4d02" /><Relationship Type="http://schemas.openxmlformats.org/officeDocument/2006/relationships/worksheet" Target="/xl/worksheets/sheet11.xml" Id="R59ea037fb73e4c5a" /><Relationship Type="http://schemas.openxmlformats.org/officeDocument/2006/relationships/worksheet" Target="/xl/worksheets/sheet12.xml" Id="R9dfdab21f2e14280" /><Relationship Type="http://schemas.openxmlformats.org/officeDocument/2006/relationships/worksheet" Target="/xl/worksheets/sheet13.xml" Id="R6a5096ae4e3c4995" /><Relationship Type="http://schemas.openxmlformats.org/officeDocument/2006/relationships/worksheet" Target="/xl/worksheets/sheet14.xml" Id="R49c6b92aa915411b" /><Relationship Type="http://schemas.openxmlformats.org/officeDocument/2006/relationships/worksheet" Target="/xl/worksheets/sheet15.xml" Id="Rfeeb1b910d4e4591" /><Relationship Type="http://schemas.openxmlformats.org/officeDocument/2006/relationships/worksheet" Target="/xl/worksheets/sheet16.xml" Id="R98da07c54f4c4cbc" /><Relationship Type="http://schemas.openxmlformats.org/officeDocument/2006/relationships/worksheet" Target="/xl/worksheets/sheet17.xml" Id="Ra58b50a9a3824f7b" /><Relationship Type="http://schemas.openxmlformats.org/officeDocument/2006/relationships/worksheet" Target="/xl/worksheets/sheet18.xml" Id="Rd519797962d3492c" /></Relationships>
</file>

<file path=xl/tables/table1.xml><?xml version="1.0" encoding="utf-8"?>
<x:table xmlns:x="http://schemas.openxmlformats.org/spreadsheetml/2006/main" id="1" name="Tbl_01__0" displayName="Tbl_01__0" ref="A4:F19" headerRowCount="1" totalsRowCount="0" totalsRowShown="0">
  <x:tableColumns count="6">
    <x:tableColumn id="1" name="需求ID"/>
    <x:tableColumn id="2" name="原文位置"/>
    <x:tableColumn id="3" name="来源性质"/>
    <x:tableColumn id="4" name="原话/原文节选"/>
    <x:tableColumn id="5" name="对应目录"/>
    <x:tableColumn id="6" name="本版含义"/>
  </x:tableColumns>
  <x:tableStyleInfo name="TableStyleMedium2" showFirstColumn="0" showLastColumn="0" showRowStripes="1" showColumnStripes="0"/>
</x:table>
</file>

<file path=xl/tables/table2.xml><?xml version="1.0" encoding="utf-8"?>
<x:table xmlns:x="http://schemas.openxmlformats.org/spreadsheetml/2006/main" id="2" name="Tbl_02__1" displayName="Tbl_02__1" ref="A4:H30" headerRowCount="1" totalsRowCount="0" totalsRowShown="0">
  <x:tableColumns count="8">
    <x:tableColumn id="1" name="来源ID"/>
    <x:tableColumn id="2" name="标题"/>
    <x:tableColumn id="3" name="性质"/>
    <x:tableColumn id="4" name="版本/核查口径"/>
    <x:tableColumn id="5" name="支持哪些内容"/>
    <x:tableColumn id="6" name="不能据此声称什么"/>
    <x:tableColumn id="7" name="许可说明"/>
    <x:tableColumn id="8" name="来源URL/文件"/>
  </x:tableColumns>
  <x:tableStyleInfo name="TableStyleMedium2" showFirstColumn="0" showLastColumn="0" showRowStripes="1" showColumnStripes="0"/>
</x:table>
</file>

<file path=xl/tables/table3.xml><?xml version="1.0" encoding="utf-8"?>
<x:table xmlns:x="http://schemas.openxmlformats.org/spreadsheetml/2006/main" id="3" name="Tbl_03_18_2" displayName="Tbl_03_18_2" ref="A4:H22" headerRowCount="1" totalsRowCount="0" totalsRowShown="0">
  <x:tableColumns count="8">
    <x:tableColumn id="1" name="情境ID"/>
    <x:tableColumn id="2" name="名称"/>
    <x:tableColumn id="3" name="家族"/>
    <x:tableColumn id="4" name="当前范围"/>
    <x:tableColumn id="5" name="关键边界"/>
    <x:tableColumn id="6" name="可用任务池"/>
    <x:tableColumn id="7" name="来源ID"/>
    <x:tableColumn id="8" name="来源URL"/>
  </x:tableColumns>
  <x:tableStyleInfo name="TableStyleMedium2" showFirstColumn="0" showLastColumn="0" showRowStripes="1" showColumnStripes="0"/>
</x:table>
</file>

<file path=xl/tables/table4.xml><?xml version="1.0" encoding="utf-8"?>
<x:table xmlns:x="http://schemas.openxmlformats.org/spreadsheetml/2006/main" id="4" name="Tbl_04_8_3" displayName="Tbl_04_8_3" ref="A4:D12" headerRowCount="1" totalsRowCount="0" totalsRowShown="0">
  <x:tableColumns count="4">
    <x:tableColumn id="1" name="条件ID"/>
    <x:tableColumn id="2" name="条件"/>
    <x:tableColumn id="3" name="关联字段"/>
    <x:tableColumn id="4" name="关联任务"/>
  </x:tableColumns>
  <x:tableStyleInfo name="TableStyleMedium2" showFirstColumn="0" showLastColumn="0" showRowStripes="1" showColumnStripes="0"/>
</x:table>
</file>

<file path=xl/tables/table5.xml><?xml version="1.0" encoding="utf-8"?>
<x:table xmlns:x="http://schemas.openxmlformats.org/spreadsheetml/2006/main" id="5" name="Tbl_05_96_4" displayName="Tbl_05_96_4" ref="A4:K100" headerRowCount="1" totalsRowCount="0" totalsRowShown="0">
  <x:tableColumns count="11">
    <x:tableColumn id="1" name="任务ID"/>
    <x:tableColumn id="2" name="任务组"/>
    <x:tableColumn id="3" name="任务名称"/>
    <x:tableColumn id="4" name="启用范围"/>
    <x:tableColumn id="5" name="完成判据"/>
    <x:tableColumn id="6" name="参考序列ID"/>
    <x:tableColumn id="7" name="操作ID"/>
    <x:tableColumn id="8" name="能力ID（按主体/分支）"/>
    <x:tableColumn id="9" name="可用情境"/>
    <x:tableColumn id="10" name="来源ID"/>
    <x:tableColumn id="11" name="来源URL"/>
  </x:tableColumns>
  <x:tableStyleInfo name="TableStyleMedium2" showFirstColumn="0" showLastColumn="0" showRowStripes="1" showColumnStripes="0"/>
</x:table>
</file>

<file path=xl/tables/table6.xml><?xml version="1.0" encoding="utf-8"?>
<x:table xmlns:x="http://schemas.openxmlformats.org/spreadsheetml/2006/main" id="6" name="Tbl_06_112_5" displayName="Tbl_06_112_5" ref="A4:J116" headerRowCount="1" totalsRowCount="0" totalsRowShown="0">
  <x:tableColumns count="10">
    <x:tableColumn id="1" name="序列ID"/>
    <x:tableColumn id="2" name="名称"/>
    <x:tableColumn id="3" name="类型"/>
    <x:tableColumn id="4" name="关联任务"/>
    <x:tableColumn id="5" name="触发/准入"/>
    <x:tableColumn id="6" name="操作顺序"/>
    <x:tableColumn id="7" name="有效结果"/>
    <x:tableColumn id="8" name="失败/分支规则"/>
    <x:tableColumn id="9" name="来源ID"/>
    <x:tableColumn id="10" name="来源URL"/>
  </x:tableColumns>
  <x:tableStyleInfo name="TableStyleMedium2" showFirstColumn="0" showLastColumn="0" showRowStripes="1" showColumnStripes="0"/>
</x:table>
</file>

<file path=xl/tables/table7.xml><?xml version="1.0" encoding="utf-8"?>
<x:table xmlns:x="http://schemas.openxmlformats.org/spreadsheetml/2006/main" id="7" name="Tbl_07__6" displayName="Tbl_07__6" ref="A4:F527" headerRowCount="1" totalsRowCount="0" totalsRowShown="0">
  <x:tableColumns count="6">
    <x:tableColumn id="1" name="序列ID"/>
    <x:tableColumn id="2" name="步骤"/>
    <x:tableColumn id="3" name="操作/条件替代项"/>
    <x:tableColumn id="4" name="执行角色"/>
    <x:tableColumn id="5" name="分支规则"/>
    <x:tableColumn id="6" name="该步终止/继续条件"/>
  </x:tableColumns>
  <x:tableStyleInfo name="TableStyleMedium2" showFirstColumn="0" showLastColumn="0" showRowStripes="1" showColumnStripes="0"/>
</x:table>
</file>

<file path=xl/tables/table8.xml><?xml version="1.0" encoding="utf-8"?>
<x:table xmlns:x="http://schemas.openxmlformats.org/spreadsheetml/2006/main" id="8" name="Tbl_08_66_7" displayName="Tbl_08_66_7" ref="A4:K70" headerRowCount="1" totalsRowCount="0" totalsRowShown="0">
  <x:tableColumns count="11">
    <x:tableColumn id="1" name="操作ID"/>
    <x:tableColumn id="2" name="操作名称"/>
    <x:tableColumn id="3" name="层级"/>
    <x:tableColumn id="4" name="参数"/>
    <x:tableColumn id="5" name="能力逻辑"/>
    <x:tableColumn id="6" name="准入条件"/>
    <x:tableColumn id="7" name="关键直接效果"/>
    <x:tableColumn id="8" name="字段读取范围"/>
    <x:tableColumn id="9" name="关键写入字段"/>
    <x:tableColumn id="10" name="来源ID"/>
    <x:tableColumn id="11" name="来源URL"/>
  </x:tableColumns>
  <x:tableStyleInfo name="TableStyleMedium2" showFirstColumn="0" showLastColumn="0" showRowStripes="1" showColumnStripes="0"/>
</x:table>
</file>

<file path=xl/tables/table9.xml><?xml version="1.0" encoding="utf-8"?>
<x:table xmlns:x="http://schemas.openxmlformats.org/spreadsheetml/2006/main" id="9" name="Tbl_09_49_8" displayName="Tbl_09_49_8" ref="A4:H53" headerRowCount="1" totalsRowCount="0" totalsRowShown="0">
  <x:tableColumns count="8">
    <x:tableColumn id="1" name="能力ID"/>
    <x:tableColumn id="2" name="能力名称"/>
    <x:tableColumn id="3" name="执行主体/设备"/>
    <x:tableColumn id="4" name="必要条件"/>
    <x:tableColumn id="5" name="范围"/>
    <x:tableColumn id="6" name="关联任务"/>
    <x:tableColumn id="7" name="来源ID"/>
    <x:tableColumn id="8" name="来源URL"/>
  </x:tableColumns>
  <x:tableStyleInfo name="TableStyleMedium2" showFirstColumn="0" showLastColumn="0" showRowStripes="1" showColumnStripes="0"/>
</x:table>
</file>

<file path=xl/tables/table10.xml><?xml version="1.0" encoding="utf-8"?>
<x:table xmlns:x="http://schemas.openxmlformats.org/spreadsheetml/2006/main" id="10" name="Tbl_10_385_9" displayName="Tbl_10_385_9" ref="A4:N389" headerRowCount="1" totalsRowCount="0" totalsRowShown="0">
  <x:tableColumns count="14">
    <x:tableColumn id="1" name="字段ID"/>
    <x:tableColumn id="2" name="标签组"/>
    <x:tableColumn id="3" name="完整字段名"/>
    <x:tableColumn id="4" name="含义"/>
    <x:tableColumn id="5" name="字段性质"/>
    <x:tableColumn id="6" name="类型"/>
    <x:tableColumn id="7" name="值域/单位/边界"/>
    <x:tableColumn id="8" name="权威写入者"/>
    <x:tableColumn id="9" name="可观察/权限边界"/>
    <x:tableColumn id="10" name="使用该schema的操作"/>
    <x:tableColumn id="11" name="关键直接写入者"/>
    <x:tableColumn id="12" name="关联任务数"/>
    <x:tableColumn id="13" name="来源ID"/>
    <x:tableColumn id="14" name="来源URL"/>
  </x:tableColumns>
  <x:tableStyleInfo name="TableStyleMedium2" showFirstColumn="0" showLastColumn="0" showRowStripes="1" showColumnStripes="0"/>
</x:table>
</file>

<file path=xl/tables/table11.xml><?xml version="1.0" encoding="utf-8"?>
<x:table xmlns:x="http://schemas.openxmlformats.org/spreadsheetml/2006/main" id="11" name="Tbl_11_81_10" displayName="Tbl_11_81_10" ref="A4:F85" headerRowCount="1" totalsRowCount="0" totalsRowShown="0">
  <x:tableColumns count="6">
    <x:tableColumn id="1" name="来源ID"/>
    <x:tableColumn id="2" name="原生体系/版本"/>
    <x:tableColumn id="3" name="原生类别"/>
    <x:tableColumn id="4" name="映射到本项目"/>
    <x:tableColumn id="5" name="支持边界"/>
    <x:tableColumn id="6" name="来源URL"/>
  </x:tableColumns>
  <x:tableStyleInfo name="TableStyleMedium2" showFirstColumn="0" showLastColumn="0" showRowStripes="1" showColumnStripes="0"/>
</x:table>
</file>

<file path=xl/tables/table12.xml><?xml version="1.0" encoding="utf-8"?>
<x:table xmlns:x="http://schemas.openxmlformats.org/spreadsheetml/2006/main" id="12" name="Tbl_12_ESAR95_11" displayName="Tbl_12_ESAR95_11" ref="A4:G99" headerRowCount="1" totalsRowCount="0" totalsRowShown="0">
  <x:tableColumns count="7">
    <x:tableColumn id="1" name="地图"/>
    <x:tableColumn id="2" name="命名空间"/>
    <x:tableColumn id="3" name="源内ID"/>
    <x:tableColumn id="4" name="名称"/>
    <x:tableColumn id="5" name="全局区分键"/>
    <x:tableColumn id="6" name="对应字段"/>
    <x:tableColumn id="7" name="来源URL"/>
  </x:tableColumns>
  <x:tableStyleInfo name="TableStyleMedium2" showFirstColumn="0" showLastColumn="0" showRowStripes="1" showColumnStripes="0"/>
</x:table>
</file>

<file path=xl/tables/table13.xml><?xml version="1.0" encoding="utf-8"?>
<x:table xmlns:x="http://schemas.openxmlformats.org/spreadsheetml/2006/main" id="13" name="Tbl_13_18_12" displayName="Tbl_13_18_12" ref="A4:G22" headerRowCount="1" totalsRowCount="0" totalsRowShown="0">
  <x:tableColumns count="7">
    <x:tableColumn id="1" name="规则ID"/>
    <x:tableColumn id="2" name="规则"/>
    <x:tableColumn id="3" name="输入字段"/>
    <x:tableColumn id="4" name="输出实体/语义"/>
    <x:tableColumn id="5" name="输出字段"/>
    <x:tableColumn id="6" name="来源ID"/>
    <x:tableColumn id="7" name="来源URL"/>
  </x:tableColumns>
  <x:tableStyleInfo name="TableStyleMedium2" showFirstColumn="0" showLastColumn="0" showRowStripes="1" showColumnStripes="0"/>
</x:table>
</file>

<file path=xl/tables/table14.xml><?xml version="1.0" encoding="utf-8"?>
<x:table xmlns:x="http://schemas.openxmlformats.org/spreadsheetml/2006/main" id="14" name="Tbl_14__13" displayName="Tbl_14__13" ref="A4:F1546" headerRowCount="1" totalsRowCount="0" totalsRowShown="0">
  <x:tableColumns count="6">
    <x:tableColumn id="1" name="情境ID"/>
    <x:tableColumn id="2" name="情境名称"/>
    <x:tableColumn id="3" name="任务ID"/>
    <x:tableColumn id="4" name="任务名称"/>
    <x:tableColumn id="5" name="映射含义"/>
    <x:tableColumn id="6" name="能力范围"/>
  </x:tableColumns>
  <x:tableStyleInfo name="TableStyleMedium2" showFirstColumn="0" showLastColumn="0" showRowStripes="1" showColumnStripes="0"/>
</x:table>
</file>

<file path=xl/tables/table15.xml><?xml version="1.0" encoding="utf-8"?>
<x:table xmlns:x="http://schemas.openxmlformats.org/spreadsheetml/2006/main" id="15" name="Tbl_15__14" displayName="Tbl_15__14" ref="A4:E5883" headerRowCount="1" totalsRowCount="0" totalsRowShown="0">
  <x:tableColumns count="5">
    <x:tableColumn id="1" name="操作ID"/>
    <x:tableColumn id="2" name="字段ID"/>
    <x:tableColumn id="3" name="字段名"/>
    <x:tableColumn id="4" name="关系"/>
    <x:tableColumn id="5" name="权限/提交约束"/>
  </x:tableColumns>
  <x:tableStyleInfo name="TableStyleMedium2" showFirstColumn="0" showLastColumn="0" showRowStripes="1" showColumnStripes="0"/>
</x:table>
</file>

<file path=xl/tables/table16.xml><?xml version="1.0" encoding="utf-8"?>
<x:table xmlns:x="http://schemas.openxmlformats.org/spreadsheetml/2006/main" id="16" name="Tbl_16__15" displayName="Tbl_16__15" ref="A4:C24" headerRowCount="1" totalsRowCount="0" totalsRowShown="0">
  <x:tableColumns count="3">
    <x:tableColumn id="1" name="检查"/>
    <x:tableColumn id="2" name="结果"/>
    <x:tableColumn id="3" name="说明"/>
  </x:tableColumns>
  <x:tableStyleInfo name="TableStyleMedium2" showFirstColumn="0" showLastColumn="0" showRowStripes="1" showColumnStripes="0"/>
</x:table>
</file>

<file path=xl/tables/table17.xml><?xml version="1.0" encoding="utf-8"?>
<x:table xmlns:x="http://schemas.openxmlformats.org/spreadsheetml/2006/main" id="17" name="Tbl_17__16" displayName="Tbl_17__16" ref="A4:I31" headerRowCount="1" totalsRowCount="0" totalsRowShown="0">
  <x:tableColumns count="9">
    <x:tableColumn id="1" name="字段前缀"/>
    <x:tableColumn id="2" name="含义"/>
    <x:tableColumn id="3" name="总字段数"/>
    <x:tableColumn id="4" name="状态/认知/派生"/>
    <x:tableColumn id="5" name="配置参数"/>
    <x:tableColumn id="6" name="标识"/>
    <x:tableColumn id="7" name="证据记录"/>
    <x:tableColumn id="8" name="全部字段名"/>
    <x:tableColumn id="9" name="来源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30ab701d82f46a5" /></Relationships>
</file>

<file path=xl/worksheets/_rels/sheet3.xml.rels>&#65279;<?xml version="1.0" encoding="utf-8"?><Relationships xmlns="http://schemas.openxmlformats.org/package/2006/relationships"><Relationship Type="http://schemas.openxmlformats.org/officeDocument/2006/relationships/table" Target="/xl/tables/table2.xml" Id="R805683f3974145a2" /></Relationships>
</file>

<file path=xl/worksheets/_rels/sheet4.xml.rels>&#65279;<?xml version="1.0" encoding="utf-8"?><Relationships xmlns="http://schemas.openxmlformats.org/package/2006/relationships"><Relationship Type="http://schemas.openxmlformats.org/officeDocument/2006/relationships/table" Target="/xl/tables/table3.xml" Id="Ra43cae866e2f4cbb" /></Relationships>
</file>

<file path=xl/worksheets/_rels/sheet5.xml.rels>&#65279;<?xml version="1.0" encoding="utf-8"?><Relationships xmlns="http://schemas.openxmlformats.org/package/2006/relationships"><Relationship Type="http://schemas.openxmlformats.org/officeDocument/2006/relationships/table" Target="/xl/tables/table4.xml" Id="R7c25a3ecc6044387" /></Relationships>
</file>

<file path=xl/worksheets/_rels/sheet6.xml.rels>&#65279;<?xml version="1.0" encoding="utf-8"?><Relationships xmlns="http://schemas.openxmlformats.org/package/2006/relationships"><Relationship Type="http://schemas.openxmlformats.org/officeDocument/2006/relationships/table" Target="/xl/tables/table5.xml" Id="R9273b7535cf54bf4" /></Relationships>
</file>

<file path=xl/worksheets/_rels/sheet7.xml.rels>&#65279;<?xml version="1.0" encoding="utf-8"?><Relationships xmlns="http://schemas.openxmlformats.org/package/2006/relationships"><Relationship Type="http://schemas.openxmlformats.org/officeDocument/2006/relationships/table" Target="/xl/tables/table6.xml" Id="R837d96b63ace470e" /></Relationships>
</file>

<file path=xl/worksheets/_rels/sheet8.xml.rels>&#65279;<?xml version="1.0" encoding="utf-8"?><Relationships xmlns="http://schemas.openxmlformats.org/package/2006/relationships"><Relationship Type="http://schemas.openxmlformats.org/officeDocument/2006/relationships/table" Target="/xl/tables/table7.xml" Id="R469cdfcc905a4144" /></Relationships>
</file>

<file path=xl/worksheets/_rels/sheet9.xml.rels>&#65279;<?xml version="1.0" encoding="utf-8"?><Relationships xmlns="http://schemas.openxmlformats.org/package/2006/relationships"><Relationship Type="http://schemas.openxmlformats.org/officeDocument/2006/relationships/table" Target="/xl/tables/table8.xml" Id="R154390d216a147df" /></Relationships>
</file>

<file path=xl/worksheets/_rels/sheet10.xml.rels>&#65279;<?xml version="1.0" encoding="utf-8"?><Relationships xmlns="http://schemas.openxmlformats.org/package/2006/relationships"><Relationship Type="http://schemas.openxmlformats.org/officeDocument/2006/relationships/table" Target="/xl/tables/table9.xml" Id="R8a0d01e091e34cdc" /></Relationships>
</file>

<file path=xl/worksheets/_rels/sheet11.xml.rels>&#65279;<?xml version="1.0" encoding="utf-8"?><Relationships xmlns="http://schemas.openxmlformats.org/package/2006/relationships"><Relationship Type="http://schemas.openxmlformats.org/officeDocument/2006/relationships/table" Target="/xl/tables/table10.xml" Id="R93ad33d49aa540e1" /></Relationships>
</file>

<file path=xl/worksheets/_rels/sheet12.xml.rels>&#65279;<?xml version="1.0" encoding="utf-8"?><Relationships xmlns="http://schemas.openxmlformats.org/package/2006/relationships"><Relationship Type="http://schemas.openxmlformats.org/officeDocument/2006/relationships/table" Target="/xl/tables/table11.xml" Id="R25a20d9c9bbb4543" /></Relationships>
</file>

<file path=xl/worksheets/_rels/sheet13.xml.rels>&#65279;<?xml version="1.0" encoding="utf-8"?><Relationships xmlns="http://schemas.openxmlformats.org/package/2006/relationships"><Relationship Type="http://schemas.openxmlformats.org/officeDocument/2006/relationships/table" Target="/xl/tables/table12.xml" Id="Rfa8481dfc4c24215" /></Relationships>
</file>

<file path=xl/worksheets/_rels/sheet14.xml.rels>&#65279;<?xml version="1.0" encoding="utf-8"?><Relationships xmlns="http://schemas.openxmlformats.org/package/2006/relationships"><Relationship Type="http://schemas.openxmlformats.org/officeDocument/2006/relationships/table" Target="/xl/tables/table13.xml" Id="R7ed91c49f56344db" /></Relationships>
</file>

<file path=xl/worksheets/_rels/sheet15.xml.rels>&#65279;<?xml version="1.0" encoding="utf-8"?><Relationships xmlns="http://schemas.openxmlformats.org/package/2006/relationships"><Relationship Type="http://schemas.openxmlformats.org/officeDocument/2006/relationships/table" Target="/xl/tables/table14.xml" Id="R3a60a5a6f18b44f0" /></Relationships>
</file>

<file path=xl/worksheets/_rels/sheet16.xml.rels>&#65279;<?xml version="1.0" encoding="utf-8"?><Relationships xmlns="http://schemas.openxmlformats.org/package/2006/relationships"><Relationship Type="http://schemas.openxmlformats.org/officeDocument/2006/relationships/table" Target="/xl/tables/table15.xml" Id="Radce965ee1984f3f" /></Relationships>
</file>

<file path=xl/worksheets/_rels/sheet17.xml.rels>&#65279;<?xml version="1.0" encoding="utf-8"?><Relationships xmlns="http://schemas.openxmlformats.org/package/2006/relationships"><Relationship Type="http://schemas.openxmlformats.org/officeDocument/2006/relationships/table" Target="/xl/tables/table16.xml" Id="Rfde0cd4e89b74c74" /></Relationships>
</file>

<file path=xl/worksheets/_rels/sheet18.xml.rels>&#65279;<?xml version="1.0" encoding="utf-8"?><Relationships xmlns="http://schemas.openxmlformats.org/package/2006/relationships"><Relationship Type="http://schemas.openxmlformats.org/officeDocument/2006/relationships/table" Target="/xl/tables/table17.xml" Id="Rc8f41ad6df4d46e6"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4" hidden="0" customWidth="1"/>
    <x:col min="2" max="2" width="15"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s>
  <x:sheetData>
    <x:row r="1" ht="40" customHeight="1">
      <x:c r="A1" s="33" t="str">
        <x:v>AeroRescue｜救援任务—行动—能力—状态总目录</x:v>
      </x:c>
      <x:c r="B1" s="33"/>
      <x:c r="C1" s="33"/>
      <x:c r="D1" s="33"/>
      <x:c r="E1" s="33"/>
      <x:c r="F1" s="33"/>
      <x:c r="G1" s="33"/>
      <x:c r="H1" s="33"/>
    </x:row>
    <x:row r="2" ht="30" customHeight="1">
      <x:c r="A2" s="37" t="str">
        <x:v>研究范围登记 v1.0 · 2026-10-22 · 场景/任务/序列/能力/状态逐项关联 · 基于用户原话与公开一手资料</x:v>
      </x:c>
      <x:c r="B2" s="37"/>
      <x:c r="C2" s="37"/>
      <x:c r="D2" s="37"/>
      <x:c r="E2" s="37"/>
      <x:c r="F2" s="37"/>
      <x:c r="G2" s="37"/>
      <x:c r="H2" s="37"/>
    </x:row>
    <x:row r="3">
      <x:c r="A3" s="2"/>
      <x:c r="B3" s="2"/>
      <x:c r="C3" s="2"/>
      <x:c r="D3" s="2"/>
      <x:c r="E3" s="2"/>
      <x:c r="F3" s="2"/>
      <x:c r="G3" s="2"/>
      <x:c r="H3" s="2"/>
    </x:row>
    <x:row r="4" ht="28" customHeight="1">
      <x:c r="A4" s="41" t="str">
        <x:v>计数对象</x:v>
      </x:c>
      <x:c r="B4" s="41" t="str">
        <x:v>本版数量</x:v>
      </x:c>
      <x:c r="C4" s="41" t="str">
        <x:v>统计定义与边界</x:v>
      </x:c>
      <x:c r="D4" s="41"/>
      <x:c r="E4" s="41"/>
      <x:c r="F4" s="41"/>
      <x:c r="G4" s="41"/>
      <x:c r="H4" s="41"/>
    </x:row>
    <x:row r="5" ht="34" customHeight="1">
      <x:c r="A5" s="46" t="str">
        <x:v>救援情境</x:v>
      </x:c>
      <x:c r="B5" s="64" t="n">
        <x:f>COUNTA('03_场景18'!A5:A22)</x:f>
        <x:v>18</x:v>
      </x:c>
      <x:c r="C5" s="46" t="str">
        <x:v>18类是本项目来源覆盖分类；当前平面核心为地震/强风/洪涝，其他保留扩展/外部基准</x:v>
      </x:c>
      <x:c r="D5" s="46"/>
      <x:c r="E5" s="46"/>
      <x:c r="F5" s="46"/>
      <x:c r="G5" s="46"/>
      <x:c r="H5" s="46"/>
    </x:row>
    <x:row r="6" ht="34" customHeight="1">
      <x:c r="A6" s="56" t="str">
        <x:v>可叠加实验条件</x:v>
      </x:c>
      <x:c r="B6" s="65" t="n">
        <x:f>COUNTA('04_扰动8'!A5:A12)</x:f>
        <x:v>8</x:v>
      </x:c>
      <x:c r="C6" s="56" t="str">
        <x:v>视觉、链路、失联、算力、能源/载荷、任务冲突、次生事件、设备/版本异常</x:v>
      </x:c>
      <x:c r="D6" s="56"/>
      <x:c r="E6" s="56"/>
      <x:c r="F6" s="56"/>
      <x:c r="G6" s="56"/>
      <x:c r="H6" s="56"/>
    </x:row>
    <x:row r="7" ht="34" customHeight="1">
      <x:c r="A7" s="46" t="str">
        <x:v>具体任务类型</x:v>
      </x:c>
      <x:c r="B7" s="64" t="n">
        <x:f>COUNTA('05_任务96'!A5:A100)</x:f>
        <x:v>96</x:v>
      </x:c>
      <x:c r="C7" s="46" t="str">
        <x:v>10组96种目标；73项基线、23项条件扩展；执行仍受实际设备/资源约束</x:v>
      </x:c>
      <x:c r="D7" s="46"/>
      <x:c r="E7" s="46"/>
      <x:c r="F7" s="46"/>
      <x:c r="G7" s="46"/>
      <x:c r="H7" s="46"/>
    </x:row>
    <x:row r="8" ht="34" customHeight="1">
      <x:c r="A8" s="56" t="str">
        <x:v>参考行动序列</x:v>
      </x:c>
      <x:c r="B8" s="65" t="n">
        <x:f>COUNTA('06_序列112'!A5:A116)</x:f>
        <x:v>112</x:v>
      </x:c>
      <x:c r="C8" s="56" t="str">
        <x:v>96条主路径 + 16条失败/不确定性分支；不强制Agent遵循固定剧本</x:v>
      </x:c>
      <x:c r="D8" s="56"/>
      <x:c r="E8" s="56"/>
      <x:c r="F8" s="56"/>
      <x:c r="G8" s="56"/>
      <x:c r="H8" s="56"/>
    </x:row>
    <x:row r="9" ht="34" customHeight="1">
      <x:c r="A9" s="46" t="str">
        <x:v>原子操作/工具接口</x:v>
      </x:c>
      <x:c r="B9" s="64" t="n">
        <x:f>COUNTA('08_操作66'!A5:A70)</x:f>
        <x:v>66</x:v>
      </x:c>
      <x:c r="C9" s="46" t="str">
        <x:v>物理、感知、计算、通信、专业服务与任务管理；不是66个已实现插件</x:v>
      </x:c>
      <x:c r="D9" s="46"/>
      <x:c r="E9" s="46"/>
      <x:c r="F9" s="46"/>
      <x:c r="G9" s="46"/>
      <x:c r="H9" s="46"/>
    </x:row>
    <x:row r="10" ht="34" customHeight="1">
      <x:c r="A10" s="56" t="str">
        <x:v>设备/软件/专业能力</x:v>
      </x:c>
      <x:c r="B10" s="65" t="n">
        <x:f>COUNTA('09_能力49'!A5:A53)</x:f>
        <x:v>49</x:v>
      </x:c>
      <x:c r="C10" s="56" t="str">
        <x:v>按主体与所选分支检查；能力列表不等于单机同时具备全部能力</x:v>
      </x:c>
      <x:c r="D10" s="56"/>
      <x:c r="E10" s="56"/>
      <x:c r="F10" s="56"/>
      <x:c r="G10" s="56"/>
      <x:c r="H10" s="56"/>
    </x:row>
    <x:row r="11" ht="34" customHeight="1">
      <x:c r="A11" s="46" t="str">
        <x:v>完整注册字段</x:v>
      </x:c>
      <x:c r="B11" s="64" t="n">
        <x:f>COUNTA('10_字段385'!A5:A389)</x:f>
        <x:v>385</x:v>
      </x:c>
      <x:c r="C11" s="46" t="str">
        <x:v>总计385：209状态/认知/派生 + 128配置 + 28标识 + 20证据记录</x:v>
      </x:c>
      <x:c r="D11" s="46"/>
      <x:c r="E11" s="46"/>
      <x:c r="F11" s="46"/>
      <x:c r="G11" s="46"/>
      <x:c r="H11" s="46"/>
    </x:row>
    <x:row r="12" ht="34" customHeight="1">
      <x:c r="A12" s="56" t="str">
        <x:v>其中：状态/认知/派生</x:v>
      </x:c>
      <x:c r="B12" s="65" t="n">
        <x:f>COUNTIF('10_字段385'!$E$5:$E$389,"状态")+COUNTIF('10_字段385'!$E$5:$E$389,"派生")+COUNTIF('10_字段385'!$E$5:$E$389,"认知")</x:f>
        <x:v>209</x:v>
      </x:c>
      <x:c r="C12" s="56" t="str">
        <x:v>158直接状态 + 31派生状态 + 20Agent认知状态</x:v>
      </x:c>
      <x:c r="D12" s="56"/>
      <x:c r="E12" s="56"/>
      <x:c r="F12" s="56"/>
      <x:c r="G12" s="56"/>
      <x:c r="H12" s="56"/>
    </x:row>
    <x:row r="13" ht="34" customHeight="1">
      <x:c r="A13" s="46" t="str">
        <x:v>其中：配置参数</x:v>
      </x:c>
      <x:c r="B13" s="64" t="n">
        <x:f>COUNTIF('10_字段385'!$E$5:$E$389,"配置")</x:f>
        <x:v>128</x:v>
      </x:c>
      <x:c r="C13" s="46" t="str">
        <x:v>设备额定值、模型配置、生成先验等；不冒充动态状态</x:v>
      </x:c>
      <x:c r="D13" s="46"/>
      <x:c r="E13" s="46"/>
      <x:c r="F13" s="46"/>
      <x:c r="G13" s="46"/>
      <x:c r="H13" s="46"/>
    </x:row>
    <x:row r="14" ht="34" customHeight="1">
      <x:c r="A14" s="56" t="str">
        <x:v>其中：标识关联</x:v>
      </x:c>
      <x:c r="B14" s="65" t="n">
        <x:f>COUNTIF('10_字段385'!$E$5:$E$389,"标识")</x:f>
        <x:v>28</x:v>
      </x:c>
      <x:c r="C14" s="56" t="str">
        <x:v>ID、数据来源、版本关联等；不以ID数量增加语义规模</x:v>
      </x:c>
      <x:c r="D14" s="56"/>
      <x:c r="E14" s="56"/>
      <x:c r="F14" s="56"/>
      <x:c r="G14" s="56"/>
      <x:c r="H14" s="56"/>
    </x:row>
    <x:row r="15" ht="34" customHeight="1">
      <x:c r="A15" s="46" t="str">
        <x:v>其中：证据记录</x:v>
      </x:c>
      <x:c r="B15" s="64" t="n">
        <x:f>COUNTIF('10_字段385'!$E$5:$E$389,"记录")</x:f>
        <x:v>20</x:v>
      </x:c>
      <x:c r="C15" s="46" t="str">
        <x:v>采样时间、输入字节、推理计时等；与隐藏真值/Agent判断分开</x:v>
      </x:c>
      <x:c r="D15" s="46"/>
      <x:c r="E15" s="46"/>
      <x:c r="F15" s="46"/>
      <x:c r="G15" s="46"/>
      <x:c r="H15" s="46"/>
    </x:row>
    <x:row r="16" ht="34" customHeight="1">
      <x:c r="A16" s="56" t="str">
        <x:v>原生类别映射</x:v>
      </x:c>
      <x:c r="B16" s="65" t="n">
        <x:f>COUNTA('11_原生类别81'!A5:A85)</x:f>
        <x:v>81</x:v>
      </x:c>
      <x:c r="C16" s="56" t="str">
        <x:v>81条源内标签；保留各数据集语义，不将重复标签/背景算成新任务</x:v>
      </x:c>
      <x:c r="D16" s="56"/>
      <x:c r="E16" s="56"/>
      <x:c r="F16" s="56"/>
      <x:c r="G16" s="56"/>
      <x:c r="H16" s="56"/>
    </x:row>
    <x:row r="17" ht="34" customHeight="1">
      <x:c r="A17" s="46" t="str">
        <x:v>ESAR线索实例字典</x:v>
      </x:c>
      <x:c r="B17" s="64" t="n">
        <x:f>COUNTA('12_ESAR线索95'!A5:A99)</x:f>
        <x:v>95</x:v>
      </x:c>
      <x:c r="C17" s="46" t="str">
        <x:v>四地图95条线索/Fire命名空间记录，12种名称；不等同600任务全量运行</x:v>
      </x:c>
      <x:c r="D17" s="46"/>
      <x:c r="E17" s="46"/>
      <x:c r="F17" s="46"/>
      <x:c r="G17" s="46"/>
      <x:c r="H17" s="46"/>
    </x:row>
    <x:row r="18" ht="34" customHeight="1">
      <x:c r="A18" s="56" t="str">
        <x:v>来源记录</x:v>
      </x:c>
      <x:c r="B18" s="65" t="n">
        <x:f>COUNTA('02_来源证据'!A5:A30)</x:f>
        <x:v>26</x:v>
      </x:c>
      <x:c r="C18" s="56" t="str">
        <x:v>24项公共来源 + 2项用户/项目材料；不是全部世界文献的穷尽声明</x:v>
      </x:c>
      <x:c r="D18" s="56"/>
      <x:c r="E18" s="56"/>
      <x:c r="F18" s="56"/>
      <x:c r="G18" s="56"/>
      <x:c r="H18" s="56"/>
    </x:row>
    <x:row r="19">
      <x:c r="A19" s="2"/>
      <x:c r="B19" s="2"/>
      <x:c r="C19" s="2"/>
      <x:c r="D19" s="2"/>
      <x:c r="E19" s="2"/>
      <x:c r="F19" s="2"/>
      <x:c r="G19" s="2"/>
      <x:c r="H19" s="2"/>
    </x:row>
    <x:row r="20" ht="28" customHeight="1">
      <x:c r="A20" s="41" t="str">
        <x:v>必须保留的范围说明</x:v>
      </x:c>
      <x:c r="B20" s="41"/>
      <x:c r="C20" s="41"/>
      <x:c r="D20" s="41"/>
      <x:c r="E20" s="41"/>
      <x:c r="F20" s="41"/>
      <x:c r="G20" s="41"/>
      <x:c r="H20" s="41"/>
    </x:row>
    <x:row r="21" ht="40" customHeight="1">
      <x:c r="A21" s="46" t="str">
        <x:v>本版是可审查的研究目录，不是官方统一SAR本体；官方文档支持作业类别、能力维度和接口原则，本项目数字由逐行清单统计。</x:v>
      </x:c>
      <x:c r="B21" s="46"/>
      <x:c r="C21" s="46"/>
      <x:c r="D21" s="46"/>
      <x:c r="E21" s="46"/>
      <x:c r="F21" s="46"/>
      <x:c r="G21" s="46"/>
      <x:c r="H21" s="46"/>
    </x:row>
    <x:row r="22" ht="40" customHeight="1">
      <x:c r="A22" s="56" t="str">
        <x:v>先读05_任务96，按序列ID到06/07，再按操作ID到08，能力到09，字段到10；14/15提供关系全展开，17给字段组汇总。</x:v>
      </x:c>
      <x:c r="B22" s="56"/>
      <x:c r="C22" s="56"/>
      <x:c r="D22" s="56"/>
      <x:c r="E22" s="56"/>
      <x:c r="F22" s="56"/>
      <x:c r="G22" s="56"/>
      <x:c r="H22" s="56"/>
    </x:row>
    <x:row r="23" ht="40" customHeight="1">
      <x:c r="A23" s="46" t="str">
        <x:v>行动序列是有分支的可行路径模板，Agent仍负责拆解、分配、推理、选择和重规划；环境不按损毁等级自动派任务。</x:v>
      </x:c>
      <x:c r="B23" s="46"/>
      <x:c r="C23" s="46"/>
      <x:c r="D23" s="46"/>
      <x:c r="E23" s="46"/>
      <x:c r="F23" s="46"/>
      <x:c r="G23" s="46"/>
      <x:c r="H23" s="46"/>
    </x:row>
    <x:row r="24" ht="40" customHeight="1">
      <x:c r="A24" s="56" t="str">
        <x:v>当前世界：2×2km平面语义地图、UAV+狗+边缘车、室内A抽象任务。山地/地下/水域及专业工程能力保留在全集，不冒充基线已复现。</x:v>
      </x:c>
      <x:c r="B24" s="56"/>
      <x:c r="C24" s="56"/>
      <x:c r="D24" s="56"/>
      <x:c r="E24" s="56"/>
      <x:c r="F24" s="56"/>
      <x:c r="G24" s="56"/>
      <x:c r="H24" s="56"/>
    </x:row>
    <x:row r="25" ht="40" customHeight="1">
      <x:c r="A25" s="46" t="str">
        <x:v>不是所有建筑都必须进入；所有建筑纳入潜在评估。损毁、人员、可达性和需求分别建模，真值与各Agent已知信息分开。</x:v>
      </x:c>
      <x:c r="B25" s="46"/>
      <x:c r="C25" s="46"/>
      <x:c r="D25" s="46"/>
      <x:c r="E25" s="46"/>
      <x:c r="F25" s="46"/>
      <x:c r="G25" s="46"/>
      <x:c r="H25" s="46"/>
    </x:row>
    <x:row r="26" ht="40" customHeight="1">
      <x:c r="A26" s="56" t="str">
        <x:v>清障/破拆/医疗/搬人/灭火需对应设备、能力或明确外部队伍；机器狗不默认具有这些能力。发现/释放/落地/签收/解困/移交分别结算。</x:v>
      </x:c>
      <x:c r="B26" s="56"/>
      <x:c r="C26" s="56"/>
      <x:c r="D26" s="56"/>
      <x:c r="E26" s="56"/>
      <x:c r="F26" s="56"/>
      <x:c r="G26" s="56"/>
      <x:c r="H26" s="56"/>
    </x:row>
    <x:row r="27" ht="40" customHeight="1">
      <x:c r="A27" s="46" t="str">
        <x:v>ns-3只在实际送达后解锁消息；推理作业需输入送达、计算完成和输出回传。墙钟耗时与仿真耗时分列，能源统一账本避免重复计费。</x:v>
      </x:c>
      <x:c r="B27" s="46"/>
      <x:c r="C27" s="46"/>
      <x:c r="D27" s="46"/>
      <x:c r="E27" s="46"/>
      <x:c r="F27" s="46"/>
      <x:c r="G27" s="46"/>
      <x:c r="H27" s="46"/>
    </x:row>
    <x:row r="28" ht="40" customHeight="1">
      <x:c r="A28" s="56" t="str">
        <x:v>385注册字段中仅209是状态/认知/派生量；record/map按注册层计数，不将每个坐标分量或枚举候选值算成一个新标签。</x:v>
      </x:c>
      <x:c r="B28" s="56"/>
      <x:c r="C28" s="56"/>
      <x:c r="D28" s="56"/>
      <x:c r="E28" s="56"/>
      <x:c r="F28" s="56"/>
      <x:c r="G28" s="56"/>
      <x:c r="H28" s="56"/>
    </x:row>
    <x:row r="29" ht="40" customHeight="1">
      <x:c r="A29" s="46" t="str">
        <x:v>ESAR官方为4地图/12事件/60快照/600配置。已核对README、task schema、全部cue_list；未声称600配置逐条执行、逐条轨迹采集或全部场景下载。</x:v>
      </x:c>
      <x:c r="B29" s="46"/>
      <x:c r="C29" s="46"/>
      <x:c r="D29" s="46"/>
      <x:c r="E29" s="46"/>
      <x:c r="F29" s="46"/>
      <x:c r="G29" s="46"/>
      <x:c r="H29" s="46"/>
    </x:row>
    <x:row r="30" ht="40" customHeight="1">
      <x:c r="A30" s="56" t="str">
        <x:v>INSARAG本次采用2020版业务口径；官网注明新版自2027-01-01生效。医学/伤情/损毁生成参数未提供真实校准，不按任意概率表冒充现实规律。</x:v>
      </x:c>
      <x:c r="B30" s="56"/>
      <x:c r="C30" s="56"/>
      <x:c r="D30" s="56"/>
      <x:c r="E30" s="56"/>
      <x:c r="F30" s="56"/>
      <x:c r="G30" s="56"/>
      <x:c r="H30" s="56"/>
    </x:row>
    <x:row r="31" ht="40" customHeight="1">
      <x:c r="A31" s="46" t="str">
        <x:v>原话覆盖为本会话及已检索的2026-10-16—19原话/需求；原文资料自述历史窗口不完整，Dario独立原始发言未完整取得。</x:v>
      </x:c>
      <x:c r="B31" s="46"/>
      <x:c r="C31" s="46"/>
      <x:c r="D31" s="46"/>
      <x:c r="E31" s="46"/>
      <x:c r="F31" s="46"/>
      <x:c r="G31" s="46"/>
      <x:c r="H31" s="46"/>
    </x:row>
    <x:row r="32" ht="40" customHeight="1">
      <x:c r="A32" s="56" t="str">
        <x:v>目录ID、引用和计数已检查；尚未执行本目录对应的三维构建、Gazebo/ns-3联调、视觉模型评测或专业救援验证。JSON是本项目注册字典，不是已兼容AeroAgentSim的原生配置。</x:v>
      </x:c>
      <x:c r="B32" s="56"/>
      <x:c r="C32" s="56"/>
      <x:c r="D32" s="56"/>
      <x:c r="E32" s="56"/>
      <x:c r="F32" s="56"/>
      <x:c r="G32" s="56"/>
      <x:c r="H32" s="56"/>
    </x:row>
    <x:row r="33">
      <x:c r="A33" s="2"/>
      <x:c r="B33" s="2"/>
      <x:c r="C33" s="2"/>
      <x:c r="D33" s="2"/>
      <x:c r="E33" s="2"/>
      <x:c r="F33" s="2"/>
      <x:c r="G33" s="2"/>
      <x:c r="H33" s="2"/>
    </x:row>
    <x:row r="34">
      <x:c r="A34" s="2"/>
      <x:c r="B34" s="2"/>
      <x:c r="C34" s="2"/>
      <x:c r="D34" s="2"/>
      <x:c r="E34" s="2"/>
      <x:c r="F34" s="2"/>
      <x:c r="G34" s="2"/>
      <x:c r="H34" s="2"/>
    </x:row>
    <x:row r="35">
      <x:c r="A35" s="2"/>
      <x:c r="B35" s="2"/>
      <x:c r="C35" s="2"/>
      <x:c r="D35" s="2"/>
      <x:c r="E35" s="2"/>
      <x:c r="F35" s="2"/>
      <x:c r="G35" s="2"/>
      <x:c r="H35" s="2"/>
    </x:row>
    <x:row r="36">
      <x:c r="A36" s="2"/>
      <x:c r="B36" s="2"/>
      <x:c r="C36" s="2"/>
      <x:c r="D36" s="2"/>
      <x:c r="E36" s="2"/>
      <x:c r="F36" s="2"/>
      <x:c r="G36" s="2"/>
      <x:c r="H36" s="2"/>
    </x:row>
    <x:row r="37">
      <x:c r="A37" s="2"/>
      <x:c r="B37" s="2"/>
      <x:c r="C37" s="2"/>
      <x:c r="D37" s="2"/>
      <x:c r="E37" s="2"/>
      <x:c r="F37" s="2"/>
      <x:c r="G37" s="2"/>
      <x:c r="H37" s="2"/>
    </x:row>
    <x:row r="38">
      <x:c r="A38" s="2"/>
      <x:c r="B38" s="2"/>
      <x:c r="C38" s="2"/>
      <x:c r="D38" s="2"/>
      <x:c r="E38" s="2"/>
      <x:c r="F38" s="2"/>
      <x:c r="G38" s="2"/>
      <x:c r="H38" s="2"/>
    </x:row>
    <x:row r="39">
      <x:c r="A39" s="2"/>
      <x:c r="B39" s="2"/>
      <x:c r="C39" s="2"/>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row r="44">
      <x:c r="A44" s="2"/>
      <x:c r="B44" s="2"/>
      <x:c r="C44" s="2"/>
      <x:c r="D44" s="2"/>
      <x:c r="E44" s="2"/>
      <x:c r="F44" s="2"/>
      <x:c r="G44" s="2"/>
      <x:c r="H44" s="2"/>
    </x:row>
    <x:row r="45">
      <x:c r="A45" s="2"/>
      <x:c r="B45" s="2"/>
      <x:c r="C45" s="2"/>
      <x:c r="D45" s="2"/>
      <x:c r="E45" s="2"/>
      <x:c r="F45" s="2"/>
      <x:c r="G45" s="2"/>
      <x:c r="H45" s="2"/>
    </x:row>
    <x:row r="46">
      <x:c r="A46" s="2"/>
      <x:c r="B46" s="2"/>
      <x:c r="C46" s="2"/>
      <x:c r="D46" s="2"/>
      <x:c r="E46" s="2"/>
      <x:c r="F46" s="2"/>
      <x:c r="G46" s="2"/>
      <x:c r="H46" s="2"/>
    </x:row>
    <x:row r="47">
      <x:c r="A47" s="2"/>
      <x:c r="B47" s="2"/>
      <x:c r="C47" s="2"/>
      <x:c r="D47" s="2"/>
      <x:c r="E47" s="2"/>
      <x:c r="F47" s="2"/>
      <x:c r="G47" s="2"/>
      <x:c r="H47" s="2"/>
    </x:row>
    <x:row r="48">
      <x:c r="A48" s="2"/>
      <x:c r="B48" s="2"/>
      <x:c r="C48" s="2"/>
      <x:c r="D48" s="2"/>
      <x:c r="E48" s="2"/>
      <x:c r="F48" s="2"/>
      <x:c r="G48" s="2"/>
      <x:c r="H48" s="2"/>
    </x:row>
    <x:row r="49">
      <x:c r="A49" s="2"/>
      <x:c r="B49" s="2"/>
      <x:c r="C49" s="2"/>
      <x:c r="D49" s="2"/>
      <x:c r="E49" s="2"/>
      <x:c r="F49" s="2"/>
      <x:c r="G49" s="2"/>
      <x:c r="H49" s="2"/>
    </x:row>
    <x:row r="50">
      <x:c r="A50" s="2"/>
      <x:c r="B50" s="2"/>
      <x:c r="C50" s="2"/>
      <x:c r="D50" s="2"/>
      <x:c r="E50" s="2"/>
      <x:c r="F50" s="2"/>
      <x:c r="G50" s="2"/>
      <x:c r="H50" s="2"/>
    </x:row>
    <x:row r="51">
      <x:c r="A51" s="2"/>
      <x:c r="B51" s="2"/>
      <x:c r="C51" s="2"/>
      <x:c r="D51" s="2"/>
      <x:c r="E51" s="2"/>
      <x:c r="F51" s="2"/>
      <x:c r="G51" s="2"/>
      <x:c r="H51" s="2"/>
    </x:row>
    <x:row r="52">
      <x:c r="A52" s="2"/>
      <x:c r="B52" s="2"/>
      <x:c r="C52" s="2"/>
      <x:c r="D52" s="2"/>
      <x:c r="E52" s="2"/>
      <x:c r="F52" s="2"/>
      <x:c r="G52" s="2"/>
      <x:c r="H52" s="2"/>
    </x:row>
    <x:row r="53">
      <x:c r="A53" s="2"/>
      <x:c r="B53" s="2"/>
      <x:c r="C53" s="2"/>
      <x:c r="D53" s="2"/>
      <x:c r="E53" s="2"/>
      <x:c r="F53" s="2"/>
      <x:c r="G53" s="2"/>
      <x:c r="H53" s="2"/>
    </x:row>
    <x:row r="54">
      <x:c r="A54" s="2"/>
      <x:c r="B54" s="2"/>
      <x:c r="C54" s="2"/>
      <x:c r="D54" s="2"/>
      <x:c r="E54" s="2"/>
      <x:c r="F54" s="2"/>
      <x:c r="G54" s="2"/>
      <x:c r="H54" s="2"/>
    </x:row>
    <x:row r="55">
      <x:c r="A55" s="2"/>
      <x:c r="B55" s="2"/>
      <x:c r="C55" s="2"/>
      <x:c r="D55" s="2"/>
      <x:c r="E55" s="2"/>
      <x:c r="F55" s="2"/>
      <x:c r="G55" s="2"/>
      <x:c r="H55" s="2"/>
    </x:row>
    <x:row r="56">
      <x:c r="A56" s="2"/>
      <x:c r="B56" s="2"/>
      <x:c r="C56" s="2"/>
      <x:c r="D56" s="2"/>
      <x:c r="E56" s="2"/>
      <x:c r="F56" s="2"/>
      <x:c r="G56" s="2"/>
      <x:c r="H56" s="2"/>
    </x:row>
  </x:sheetData>
  <x:mergeCells>
    <x:mergeCell ref="A1:H1"/>
    <x:mergeCell ref="A2:H2"/>
    <x:mergeCell ref="C4:H4"/>
    <x:mergeCell ref="C5:H5"/>
    <x:mergeCell ref="C6:H6"/>
    <x:mergeCell ref="C7:H7"/>
    <x:mergeCell ref="C8:H8"/>
    <x:mergeCell ref="C9:H9"/>
    <x:mergeCell ref="C10:H10"/>
    <x:mergeCell ref="C11:H11"/>
    <x:mergeCell ref="C12:H12"/>
    <x:mergeCell ref="C13:H13"/>
    <x:mergeCell ref="C14:H14"/>
    <x:mergeCell ref="C15:H15"/>
    <x:mergeCell ref="C16:H16"/>
    <x:mergeCell ref="C17:H17"/>
    <x:mergeCell ref="C18:H18"/>
    <x:mergeCell ref="A20:H20"/>
    <x:mergeCell ref="A21:H21"/>
    <x:mergeCell ref="A22:H22"/>
    <x:mergeCell ref="A23:H23"/>
    <x:mergeCell ref="A24:H24"/>
    <x:mergeCell ref="A25:H25"/>
    <x:mergeCell ref="A26:H26"/>
    <x:mergeCell ref="A27:H27"/>
    <x:mergeCell ref="A28:H28"/>
    <x:mergeCell ref="A29:H29"/>
    <x:mergeCell ref="A30:H30"/>
    <x:mergeCell ref="A31:H31"/>
    <x:mergeCell ref="A32:H32"/>
  </x:mergeCells>
  <x:pageMargins left="0.7" right="0.7" top="0.75" bottom="0.75" header="0.3" footer="0.3"/>
</x:worksheet>
</file>

<file path=xl/worksheets/sheet2.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30" hidden="0" customWidth="1"/>
    <x:col min="3" max="3" width="25" hidden="0" customWidth="1"/>
    <x:col min="4" max="4" width="58" hidden="0" customWidth="1"/>
    <x:col min="5" max="5" width="42" hidden="0" customWidth="1"/>
    <x:col min="6" max="6" width="50" hidden="0" customWidth="1"/>
  </x:cols>
  <x:sheetData>
    <x:row r="1" ht="33" customHeight="1">
      <x:c r="A1" s="8" t="str">
        <x:v>原话 → 必须覆盖的研究范围</x:v>
      </x:c>
      <x:c r="B1" s="8"/>
      <x:c r="C1" s="8"/>
      <x:c r="D1" s="8"/>
      <x:c r="E1" s="8"/>
      <x:c r="F1" s="8"/>
    </x:row>
    <x:row r="2" ht="34" customHeight="1">
      <x:c r="A2" s="15" t="str">
        <x:v>仅引用本会话和已检索原话；文档中的第三方粘贴材料不视为用户本人观点；未取得完整Dario原始讨论</x:v>
      </x:c>
      <x:c r="B2" s="15"/>
      <x:c r="C2" s="15"/>
      <x:c r="D2" s="15"/>
      <x:c r="E2" s="15"/>
      <x:c r="F2" s="15"/>
    </x:row>
    <x:row r="3">
      <x:c r="A3" s="4"/>
      <x:c r="B3" s="4"/>
      <x:c r="C3" s="4"/>
      <x:c r="D3" s="4"/>
      <x:c r="E3" s="4"/>
      <x:c r="F3" s="4"/>
    </x:row>
    <x:row r="4" ht="29" customHeight="1">
      <x:c r="A4" s="23" t="str">
        <x:v>需求ID</x:v>
      </x:c>
      <x:c r="B4" s="23" t="str">
        <x:v>原文位置</x:v>
      </x:c>
      <x:c r="C4" s="23" t="str">
        <x:v>来源性质</x:v>
      </x:c>
      <x:c r="D4" s="23" t="str">
        <x:v>原话/原文节选</x:v>
      </x:c>
      <x:c r="E4" s="23" t="str">
        <x:v>对应目录</x:v>
      </x:c>
      <x:c r="F4" s="23" t="str">
        <x:v>本版含义</x:v>
      </x:c>
    </x:row>
    <x:row r="5" ht="100" customHeight="1">
      <x:c r="A5" s="30" t="str">
        <x:v>U01</x:v>
      </x:c>
      <x:c r="B5" s="30" t="str">
        <x:v>本会话</x:v>
      </x:c>
      <x:c r="C5" s="30" t="str">
        <x:v>用户原话</x:v>
      </x:c>
      <x:c r="D5" s="30" t="str">
        <x:v>一个统一交互的场景，可以代码编程配置</x:v>
      </x:c>
      <x:c r="E5" s="30" t="str">
        <x:v>SC01–SC18；语义地图与生成规则</x:v>
      </x:c>
      <x:c r="F5" s="30" t="str">
        <x:v>场景可编程，不以手工剧本作为唯一实现</x:v>
      </x:c>
    </x:row>
    <x:row r="6" ht="100" customHeight="1">
      <x:c r="A6" s="30" t="str">
        <x:v>U02</x:v>
      </x:c>
      <x:c r="B6" s="30" t="str">
        <x:v>本会话</x:v>
      </x:c>
      <x:c r="C6" s="30" t="str">
        <x:v>用户原话</x:v>
      </x:c>
      <x:c r="D6" s="30" t="str">
        <x:v>核心思路是视觉影响决策+行为</x:v>
      </x:c>
      <x:c r="E6" s="30" t="str">
        <x:v>T001–T018、T058–T060、T069–T075</x:v>
      </x:c>
      <x:c r="F6" s="30" t="str">
        <x:v>真实外部视觉/局部证据先于决策，隐藏真值不直接喂给Agent</x:v>
      </x:c>
    </x:row>
    <x:row r="7" ht="100" customHeight="1">
      <x:c r="A7" s="30" t="str">
        <x:v>U03</x:v>
      </x:c>
      <x:c r="B7" s="30" t="str">
        <x:v>本会话</x:v>
      </x:c>
      <x:c r="C7" s="30" t="str">
        <x:v>用户原话</x:v>
      </x:c>
      <x:c r="D7" s="30" t="str">
        <x:v>行为本身控制无需深度建模，包括通信、计算过程，agent调度和推理，服务本身的计算资源用建模呈现</x:v>
      </x:c>
      <x:c r="E7" s="30" t="str">
        <x:v>T019–T021、T047–T068、T077–T092</x:v>
      </x:c>
      <x:c r="F7" s="30" t="str">
        <x:v>高层原子操作，细飞控/步态不作为本版前置</x:v>
      </x:c>
    </x:row>
    <x:row r="8" ht="100" customHeight="1">
      <x:c r="A8" s="30" t="str">
        <x:v>U04</x:v>
      </x:c>
      <x:c r="B8" s="30" t="str">
        <x:v>本会话</x:v>
      </x:c>
      <x:c r="C8" s="30" t="str">
        <x:v>用户原话</x:v>
      </x:c>
      <x:c r="D8" s="30" t="str">
        <x:v>碰撞反馈用gazebo，网络用ns-3，计算过程自己建模写</x:v>
      </x:c>
      <x:c r="E8" s="30" t="str">
        <x:v>A001–A066；compute/job/radio/message字段</x:v>
      </x:c>
      <x:c r="F8" s="30" t="str">
        <x:v>分后端执行，统一时间和事实归属</x:v>
      </x:c>
    </x:row>
    <x:row r="9" ht="100" customHeight="1">
      <x:c r="A9" s="30" t="str">
        <x:v>U05</x:v>
      </x:c>
      <x:c r="B9" s="30" t="str">
        <x:v>本会话</x:v>
      </x:c>
      <x:c r="C9" s="30" t="str">
        <x:v>用户原话</x:v>
      </x:c>
      <x:c r="D9" s="30" t="str">
        <x:v>直接A应该就行，室内的所有行动作为任务</x:v>
      </x:c>
      <x:c r="E9" s="30" t="str">
        <x:v>T014、T015；A008；building.interior_mode</x:v>
      </x:c>
      <x:c r="F9" s="30" t="str">
        <x:v>室内抽象搜索，可有漏检与耗时，不假称室内视觉闭环</x:v>
      </x:c>
    </x:row>
    <x:row r="10" ht="100" customHeight="1">
      <x:c r="A10" s="30" t="str">
        <x:v>U06</x:v>
      </x:c>
      <x:c r="B10" s="30" t="str">
        <x:v>本会话</x:v>
      </x:c>
      <x:c r="C10" s="30" t="str">
        <x:v>用户原话</x:v>
      </x:c>
      <x:c r="D10" s="30" t="str">
        <x:v>救援而言，不是所有建筑物都要考虑么？还是说只需要考虑那些损坏的？这样视觉上的信息才能支撑决策</x:v>
      </x:c>
      <x:c r="E10" s="30" t="str">
        <x:v>T001–T015；building/region/belief</x:v>
      </x:c>
      <x:c r="F10" s="30" t="str">
        <x:v>所有建筑进入潜在评估范围，Agent选择是否进一步搜索</x:v>
      </x:c>
    </x:row>
    <x:row r="11" ht="100" customHeight="1">
      <x:c r="A11" s="30" t="str">
        <x:v>U07</x:v>
      </x:c>
      <x:c r="B11" s="30" t="str">
        <x:v>本会话</x:v>
      </x:c>
      <x:c r="C11" s="30" t="str">
        <x:v>用户原话</x:v>
      </x:c>
      <x:c r="D11" s="30" t="str">
        <x:v>2*2 km，且高程之类的地面信息不影响</x:v>
      </x:c>
      <x:c r="E11" s="30" t="str">
        <x:v>episode.map_bounds_m；region.base_elevation_m</x:v>
      </x:c>
      <x:c r="F11" s="30" t="str">
        <x:v>本期平面2km×2km；外部山地/洞穴评测不宣称已复现</x:v>
      </x:c>
    </x:row>
    <x:row r="12" ht="100" customHeight="1">
      <x:c r="A12" s="30" t="str">
        <x:v>U08</x:v>
      </x:c>
      <x:c r="B12" s="30" t="str">
        <x:v>本会话</x:v>
      </x:c>
      <x:c r="C12" s="30" t="str">
        <x:v>用户原话</x:v>
      </x:c>
      <x:c r="D12" s="30" t="str">
        <x:v>agent认知中再增加对于当前的task，也就是分配的任务？</x:v>
      </x:c>
      <x:c r="E12" s="30" t="str">
        <x:v>T077–T088；task/assignment/belief.current_goal_context</x:v>
      </x:c>
      <x:c r="F12" s="30" t="str">
        <x:v>当前任务、接受与分配、承诺、恢复原任务均独立记录</x:v>
      </x:c>
    </x:row>
    <x:row r="13" ht="100" customHeight="1">
      <x:c r="A13" s="30" t="str">
        <x:v>U09</x:v>
      </x:c>
      <x:c r="B13" s="30" t="str">
        <x:v>本会话</x:v>
      </x:c>
      <x:c r="C13" s="30" t="str">
        <x:v>用户原话</x:v>
      </x:c>
      <x:c r="D13" s="30" t="str">
        <x:v>清理障碍物也算的，通信计算都算的</x:v>
      </x:c>
      <x:c r="E13" s="30" t="str">
        <x:v>T022–T026、T047–T068、T093–T096</x:v>
      </x:c>
      <x:c r="F13" s="30" t="str">
        <x:v>物理工程、网络服务、计算服务均为任务类型</x:v>
      </x:c>
    </x:row>
    <x:row r="14" ht="100" customHeight="1">
      <x:c r="A14" s="30" t="str">
        <x:v>U10</x:v>
      </x:c>
      <x:c r="B14" s="30" t="str">
        <x:v>原话整理.docx 第16–18页</x:v>
      </x:c>
      <x:c r="C14" s="30" t="str">
        <x:v>用户原话</x:v>
      </x:c>
      <x:c r="D14" s="30" t="str">
        <x:v>这些功能需要哪些 harness 的技能？这些技能应该去列表列出来，然后如何去实现？</x:v>
      </x:c>
      <x:c r="E14" s="30" t="str">
        <x:v>全部Task→Sequence→Action→Capability→Field映射</x:v>
      </x:c>
      <x:c r="F14" s="30" t="str">
        <x:v>不用几个抽象能力面替代具体可执行动作</x:v>
      </x:c>
    </x:row>
    <x:row r="15" ht="100" customHeight="1">
      <x:c r="A15" s="30" t="str">
        <x:v>U11</x:v>
      </x:c>
      <x:c r="B15" s="30" t="str">
        <x:v>原话整理.docx 第17页</x:v>
      </x:c>
      <x:c r="C15" s="30" t="str">
        <x:v>用户原话节选</x:v>
      </x:c>
      <x:c r="D15" s="30" t="str">
        <x:v>这些调用和使用过程的时延消耗和能量消耗又应该是否计算到 Harness 内部作为一个可观测的元数据和优化目标？</x:v>
      </x:c>
      <x:c r="E15" s="30" t="str">
        <x:v>platform/radio/compute/job/evaluation</x:v>
      </x:c>
      <x:c r="F15" s="30" t="str">
        <x:v>记录调用/传输/等待/占用成本，避免重复计能量</x:v>
      </x:c>
    </x:row>
    <x:row r="16" ht="100" customHeight="1">
      <x:c r="A16" s="30" t="str">
        <x:v>U12</x:v>
      </x:c>
      <x:c r="B16" s="30" t="str">
        <x:v>原话整理.docx 第10页</x:v>
      </x:c>
      <x:c r="C16" s="30" t="str">
        <x:v>用户原话</x:v>
      </x:c>
      <x:c r="D16" s="30" t="str">
        <x:v>接触就是交付么？你是不是简化流程了</x:v>
      </x:c>
      <x:c r="E16" s="30" t="str">
        <x:v>T039–T041；A025–A027；item/human</x:v>
      </x:c>
      <x:c r="F16" s="30" t="str">
        <x:v>释放、落地、领取、回执和最终移交不混算</x:v>
      </x:c>
    </x:row>
    <x:row r="17" ht="100" customHeight="1">
      <x:c r="A17" s="30" t="str">
        <x:v>U13</x:v>
      </x:c>
      <x:c r="B17" s="30" t="str">
        <x:v>原话整理.docx 第13–14页</x:v>
      </x:c>
      <x:c r="C17" s="30" t="str">
        <x:v>用户语音转写节选；未核对音频</x:v>
      </x:c>
      <x:c r="D17" s="30" t="str">
        <x:v>哪些信息是需要给周围智能体分享的</x:v>
      </x:c>
      <x:c r="E17" s="30" t="str">
        <x:v>T064、T074、T096；cache/service/message</x:v>
      </x:c>
      <x:c r="F17" s="30" t="str">
        <x:v>特征/KV共享保留为需兼容验证的研究任务，不默认省通信</x:v>
      </x:c>
    </x:row>
    <x:row r="18" ht="100" customHeight="1">
      <x:c r="A18" s="30" t="str">
        <x:v>U14</x:v>
      </x:c>
      <x:c r="B18" s="30" t="str">
        <x:v>原话整理.docx 第15页</x:v>
      </x:c>
      <x:c r="C18" s="30" t="str">
        <x:v>用户原话节选</x:v>
      </x:c>
      <x:c r="D18" s="30" t="str">
        <x:v>中心控制器而言，并不知道任何一个无人机历史走过哪些地方的过程当中观测到哪些原始数据</x:v>
      </x:c>
      <x:c r="E18" s="30" t="str">
        <x:v>T070、T074、T075、T085</x:v>
      </x:c>
      <x:c r="F18" s="30" t="str">
        <x:v>本地历史不全局共享，中心只有已收到的内容</x:v>
      </x:c>
    </x:row>
    <x:row r="19" ht="100" customHeight="1">
      <x:c r="A19" s="30" t="str">
        <x:v>U15</x:v>
      </x:c>
      <x:c r="B19" s="30" t="str">
        <x:v>原话整理.docx 首页及检索范围</x:v>
      </x:c>
      <x:c r="C19" s="30" t="str">
        <x:v>来源限制</x:v>
      </x:c>
      <x:c r="D19" s="30" t="str">
        <x:v>历史窗口存在不完整标记，附件正文未纳入；不据此宣称覆盖全部历史</x:v>
      </x:c>
      <x:c r="E19" s="30" t="str">
        <x:v>全表来源边界</x:v>
      </x:c>
      <x:c r="F19" s="30" t="str">
        <x:v>本会话+已检索原话/需求；Dario独立原始讨论未完整取得，不杜撰归因</x:v>
      </x:c>
    </x:row>
  </x:sheetData>
  <x:mergeCells>
    <x:mergeCell ref="A1:F1"/>
    <x:mergeCell ref="A2:F2"/>
  </x:mergeCells>
  <x:pageMargins left="0.7" right="0.7" top="0.75" bottom="0.75" header="0.3" footer="0.3"/>
  <x:tableParts count="1">
    <x:tablePart xmlns:r="http://schemas.openxmlformats.org/officeDocument/2006/relationships" r:id="R830ab701d82f46a5"/>
  </x:tableParts>
</x:worksheet>
</file>

<file path=xl/worksheets/sheet3.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40" hidden="0" customWidth="1"/>
    <x:col min="3" max="3" width="25" hidden="0" customWidth="1"/>
    <x:col min="4" max="4" width="42" hidden="0" customWidth="1"/>
    <x:col min="5" max="5" width="53" hidden="0" customWidth="1"/>
    <x:col min="6" max="6" width="53" hidden="0" customWidth="1"/>
    <x:col min="7" max="7" width="42" hidden="0" customWidth="1"/>
    <x:col min="8" max="8" width="55" hidden="0" customWidth="1"/>
  </x:cols>
  <x:sheetData>
    <x:row r="1" ht="33" customHeight="1">
      <x:c r="A1" s="8" t="str">
        <x:v>来源证据与支持边界</x:v>
      </x:c>
      <x:c r="B1" s="8"/>
      <x:c r="C1" s="8"/>
      <x:c r="D1" s="8"/>
      <x:c r="E1" s="8"/>
      <x:c r="F1" s="8"/>
      <x:c r="G1" s="8"/>
      <x:c r="H1" s="8"/>
    </x:row>
    <x:row r="2" ht="34" customHeight="1">
      <x:c r="A2" s="15" t="str">
        <x:v>24个公共来源记录 + 2个用户/项目资料；来源支持概念/数据，不为本项目的总数、医学参数或已实现能力背书</x:v>
      </x:c>
      <x:c r="B2" s="15"/>
      <x:c r="C2" s="15"/>
      <x:c r="D2" s="15"/>
      <x:c r="E2" s="15"/>
      <x:c r="F2" s="15"/>
      <x:c r="G2" s="15"/>
      <x:c r="H2" s="15"/>
    </x:row>
    <x:row r="3">
      <x:c r="A3" s="4"/>
      <x:c r="B3" s="4"/>
      <x:c r="C3" s="4"/>
      <x:c r="D3" s="4"/>
      <x:c r="E3" s="4"/>
      <x:c r="F3" s="4"/>
      <x:c r="G3" s="4"/>
      <x:c r="H3" s="4"/>
    </x:row>
    <x:row r="4" ht="29" customHeight="1">
      <x:c r="A4" s="23" t="str">
        <x:v>来源ID</x:v>
      </x:c>
      <x:c r="B4" s="23" t="str">
        <x:v>标题</x:v>
      </x:c>
      <x:c r="C4" s="23" t="str">
        <x:v>性质</x:v>
      </x:c>
      <x:c r="D4" s="23" t="str">
        <x:v>版本/核查口径</x:v>
      </x:c>
      <x:c r="E4" s="23" t="str">
        <x:v>支持哪些内容</x:v>
      </x:c>
      <x:c r="F4" s="23" t="str">
        <x:v>不能据此声称什么</x:v>
      </x:c>
      <x:c r="G4" s="23" t="str">
        <x:v>许可说明</x:v>
      </x:c>
      <x:c r="H4" s="23" t="str">
        <x:v>来源URL/文件</x:v>
      </x:c>
    </x:row>
    <x:row r="5" ht="120" customHeight="1">
      <x:c r="A5" s="30" t="str">
        <x:v>S01</x:v>
      </x:c>
      <x:c r="B5" s="30" t="str">
        <x:v>INSARAG Guidelines 2020, Vol II Manual B: Operations</x:v>
      </x:c>
      <x:c r="C5" s="30" t="str">
        <x:v>专业官方指南</x:v>
      </x:c>
      <x:c r="D5" s="30" t="str">
        <x:v>2020；打印页32–34及工作现场标记章节</x:v>
      </x:c>
      <x:c r="E5" s="30" t="str">
        <x:v>ASR 1–5；评估、现场分级、快速/完整搜索、破拆、支撑、起吊、移交、现场标记</x:v>
      </x:c>
      <x:c r="F5" s="30" t="str">
        <x:v>不是机器人能力表；ASR5包括遗体恢复，不能等同存活者救援；2027版生效前按2020版标注</x:v>
      </x:c>
      <x:c r="G5" s="30" t="str">
        <x:v>代码、数据及资产许可分别核查；本表不授予再分发许可</x:v>
      </x:c>
      <x:c r="H5" s="30" t="str">
        <x:v>https://insarag.org/wp-content/uploads/2021/06/INSARAG20Guidelines20Vol20II2C20Man20B.pdf</x:v>
      </x:c>
    </x:row>
    <x:row r="6" ht="120" customHeight="1">
      <x:c r="A6" s="30" t="str">
        <x:v>S02</x:v>
      </x:c>
      <x:c r="B6" s="30" t="str">
        <x:v>NIST/DHS Response Robot Performance Standards</x:v>
      </x:c>
      <x:c r="C6" s="30" t="str">
        <x:v>专业官方文档</x:v>
      </x:c>
      <x:c r="D6" s="30" t="str">
        <x:v>2026-10-22 核查</x:v>
      </x:c>
      <x:c r="E6" s="30" t="str">
        <x:v>按任务测量感知、机动、导航、操作、能量、通信、人机交互和安全能力</x:v>
      </x:c>
      <x:c r="F6" s="30" t="str">
        <x:v>不提供统一的机器人载重/越障阈值；参数必须来自具体设备或声明的仿真规格</x:v>
      </x:c>
      <x:c r="G6" s="30" t="str">
        <x:v>代码、数据及资产许可分别核查；本表不授予再分发许可</x:v>
      </x:c>
      <x:c r="H6" s="30" t="str">
        <x:v>https://www.nist.gov/programs-projects/department-homeland-security-response-robot-performance-standards</x:v>
      </x:c>
    </x:row>
    <x:row r="7" ht="120" customHeight="1">
      <x:c r="A7" s="30" t="str">
        <x:v>S03</x:v>
      </x:c>
      <x:c r="B7" s="30" t="str">
        <x:v>RoboCup Rescue Agent Simulation manual</x:v>
      </x:c>
      <x:c r="C7" s="30" t="str">
        <x:v>官方仿真文档</x:v>
      </x:c>
      <x:c r="D7" s="30" t="str">
        <x:v>manual v1.6, 2023-02-06</x:v>
      </x:c>
      <x:c r="E7" s="30" t="str">
        <x:v>道路/建筑/阻塞、人类HP与buriedness、清障、火灾、消防供水、救护与带宽限制</x:v>
      </x:c>
      <x:c r="F7" s="30" t="str">
        <x:v>仿真属性不是临床或结构安全认证；不把Agent Simulation与Virtual Robot League混为一谈</x:v>
      </x:c>
      <x:c r="G7" s="30" t="str">
        <x:v>代码、数据及资产许可分别核查；本表不授予再分发许可</x:v>
      </x:c>
      <x:c r="H7" s="30" t="str">
        <x:v>https://roborescue.github.io/rcrs-server/rcrs-server/index.html</x:v>
      </x:c>
    </x:row>
    <x:row r="8" ht="120" customHeight="1">
      <x:c r="A8" s="30" t="str">
        <x:v>S04</x:v>
      </x:c>
      <x:c r="B8" s="30" t="str">
        <x:v>DARPA Subterranean Challenge</x:v>
      </x:c>
      <x:c r="C8" s="30" t="str">
        <x:v>官方基准</x:v>
      </x:c>
      <x:c r="D8" s="30" t="str">
        <x:v>2026-10-22 核查</x:v>
      </x:c>
      <x:c r="E8" s="30" t="str">
        <x:v>Tunnel/Urban/Cave；异构探索、有限通信；10类artifact搜索定位报告</x:v>
      </x:c>
      <x:c r="F8" s="30" t="str">
        <x:v>找到survivor道具不等于实施解救；找到灭火器不等于具有灭火能力</x:v>
      </x:c>
      <x:c r="G8" s="30" t="str">
        <x:v>代码、数据及资产许可分别核查；本表不授予再分发许可</x:v>
      </x:c>
      <x:c r="H8" s="30" t="str">
        <x:v>https://www.darpa.mil/research/programs/darpa-subterranean-challenge</x:v>
      </x:c>
    </x:row>
    <x:row r="9" ht="120" customHeight="1">
      <x:c r="A9" s="30" t="str">
        <x:v>S05</x:v>
      </x:c>
      <x:c r="B9" s="30" t="str">
        <x:v>ESARBench official project + released task schema</x:v>
      </x:c>
      <x:c r="C9" s="30" t="str">
        <x:v>作者基准/数据</x:v>
      </x:c>
      <x:c r="D9" s="30" t="str">
        <x:v>2026论文 arXiv:2605.01371；README SHA 6e01b48ad4510909e36af39a2aa987d17d33a330</x:v>
      </x:c>
      <x:c r="E9" s="30" t="str">
        <x:v>4地图、12事件、60时刻快照、600任务配置；13天气；RGB-D探索、线索与人员定位</x:v>
      </x:c>
      <x:c r="F9" s="30" t="str">
        <x:v>600不是600种业务/动作序列；本轮核对官方结构、示例JSON和完整cue字典，未逐一运行600任务</x:v>
      </x:c>
      <x:c r="G9" s="30" t="str">
        <x:v>代码、数据及资产许可分别核查；本表不授予再分发许可</x:v>
      </x:c>
      <x:c r="H9" s="30" t="str">
        <x:v>https://4amgodvzx.github.io/ESAR.github.io/</x:v>
      </x:c>
    </x:row>
    <x:row r="10" ht="120" customHeight="1">
      <x:c r="A10" s="30" t="str">
        <x:v>S06</x:v>
      </x:c>
      <x:c r="B10" s="30" t="str">
        <x:v>RescueBench / Gym-Rescue</x:v>
      </x:c>
      <x:c r="C10" s="30" t="str">
        <x:v>作者基准/代码</x:v>
      </x:c>
      <x:c r="D10" s="30" t="str">
        <x:v>2026, arXiv:2606.01848</x:v>
      </x:c>
      <x:c r="E10" s="30" t="str">
        <x:v>多模态探索→目标交互→记忆引导返回→担架移交；分级难度及专家轨迹工具</x:v>
      </x:c>
      <x:c r="F10" s="30" t="str">
        <x:v>是仿真交互，不自动证实本项目机器狗能搬人；任务数未独立重计</x:v>
      </x:c>
      <x:c r="G10" s="30" t="str">
        <x:v>代码Apache-2.0；地图/数据另审</x:v>
      </x:c>
      <x:c r="H10" s="30" t="str">
        <x:v>https://github.com/UnrealZoo/RescueBench</x:v>
      </x:c>
    </x:row>
    <x:row r="11" ht="120" customHeight="1">
      <x:c r="A11" s="30" t="str">
        <x:v>S07</x:v>
      </x:c>
      <x:c r="B11" s="30" t="str">
        <x:v>RescueNet</x:v>
      </x:c>
      <x:c r="C11" s="30" t="str">
        <x:v>作者视觉数据</x:v>
      </x:c>
      <x:c r="D11" s="30" t="str">
        <x:v>官方README</x:v>
      </x:c>
      <x:c r="E11" s="30" t="str">
        <x:v>含背景11个语义类；4级可见建筑损毁、道路清晰/堵塞、车辆树木水体泳池</x:v>
      </x:c>
      <x:c r="F11" s="30" t="str">
        <x:v>像素标签不是机械通行/结构安全/人员需求真值；不提供救援动作序列</x:v>
      </x:c>
      <x:c r="G11" s="30" t="str">
        <x:v>CC BY-NC-ND（按官方数据条款；参考不等于可改后再分发）</x:v>
      </x:c>
      <x:c r="H11" s="30" t="str">
        <x:v>https://github.com/BinaLab/RescueNet-A-High-Resolution-Post-Disaster-UAV-Dataset-for-Semantic-Segmentation</x:v>
      </x:c>
    </x:row>
    <x:row r="12" ht="120" customHeight="1">
      <x:c r="A12" s="30" t="str">
        <x:v>S08</x:v>
      </x:c>
      <x:c r="B12" s="30" t="str">
        <x:v>FloodNet Supervised</x:v>
      </x:c>
      <x:c r="C12" s="30" t="str">
        <x:v>作者视觉数据</x:v>
      </x:c>
      <x:c r="D12" s="30" t="str">
        <x:v>官方README</x:v>
      </x:c>
      <x:c r="E12" s="30" t="str">
        <x:v>含背景10语义类；建筑/道路受淹与未受淹；水体树车泳池草地</x:v>
      </x:c>
      <x:c r="F12" s="30" t="str">
        <x:v>受淹标签不等于水深、流速或可涉水性；VQA问题不是机器人任务</x:v>
      </x:c>
      <x:c r="G12" s="30" t="str">
        <x:v>官方CDLA条款；使用前保留完整数据许可</x:v>
      </x:c>
      <x:c r="H12" s="30" t="str">
        <x:v>https://github.com/BinaLab/FloodNet-Supervised_v1.0</x:v>
      </x:c>
    </x:row>
    <x:row r="13" ht="120" customHeight="1">
      <x:c r="A13" s="30" t="str">
        <x:v>S09</x:v>
      </x:c>
      <x:c r="B13" s="30" t="str">
        <x:v>xBD original paper</x:v>
      </x:c>
      <x:c r="C13" s="30" t="str">
        <x:v>作者数据论文</x:v>
      </x:c>
      <x:c r="D13" s="30" t="str">
        <x:v>2026-10-22 核查</x:v>
      </x:c>
      <x:c r="E13" s="30" t="str">
        <x:v>灾前灾后建筑轮廓与no/minor/major/destroyed损毁标注；跨灾种外观</x:v>
      </x:c>
      <x:c r="F13" s="30" t="str">
        <x:v>不推出建筑内人员概率、伤情、消防/医疗能力或结构安全</x:v>
      </x:c>
      <x:c r="G13" s="30" t="str">
        <x:v>代码、数据及资产许可分别核查；本表不授予再分发许可</x:v>
      </x:c>
      <x:c r="H13" s="30" t="str">
        <x:v>https://arxiv.org/abs/1911.09296</x:v>
      </x:c>
    </x:row>
    <x:row r="14" ht="120" customHeight="1">
      <x:c r="A14" s="30" t="str">
        <x:v>S10</x:v>
      </x:c>
      <x:c r="B14" s="30" t="str">
        <x:v>3DAeroRelief</x:v>
      </x:c>
      <x:c r="C14" s="30" t="str">
        <x:v>作者三维数据</x:v>
      </x:c>
      <x:c r="D14" s="30" t="str">
        <x:v>2026-10-22 核查</x:v>
      </x:c>
      <x:c r="E14" s="30" t="str">
        <x:v>灾后三维重建/点云与场景结构参考</x:v>
      </x:c>
      <x:c r="F14" s="30" t="str">
        <x:v>本轮未逐个下载区域；不将其计入已实现动作或完整可交互三维地图</x:v>
      </x:c>
      <x:c r="G14" s="30" t="str">
        <x:v>代码、数据及资产许可分别核查；本表不授予再分发许可</x:v>
      </x:c>
      <x:c r="H14" s="30" t="str">
        <x:v>https://github.com/BinaLab/3DAeroRelief</x:v>
      </x:c>
    </x:row>
    <x:row r="15" ht="120" customHeight="1">
      <x:c r="A15" s="30" t="str">
        <x:v>S11</x:v>
      </x:c>
      <x:c r="B15" s="30" t="str">
        <x:v>NOMAD person-search dataset</x:v>
      </x:c>
      <x:c r="C15" s="30" t="str">
        <x:v>作者感知数据</x:v>
      </x:c>
      <x:c r="D15" s="30" t="str">
        <x:v>2026-10-22 核查</x:v>
      </x:c>
      <x:c r="E15" s="30" t="str">
        <x:v>人员姿态、距离、遮挡与检测难度；42,825帧、100演员（论文口径）</x:v>
      </x:c>
      <x:c r="F15" s="30" t="str">
        <x:v>不是导航模型NoMaD；不是医疗诊断或救援操作轨迹</x:v>
      </x:c>
      <x:c r="G15" s="30" t="str">
        <x:v>代码、数据及资产许可分别核查；本表不授予再分发许可</x:v>
      </x:c>
      <x:c r="H15" s="30" t="str">
        <x:v>https://arxiv.org/abs/2309.09518</x:v>
      </x:c>
    </x:row>
    <x:row r="16" ht="120" customHeight="1">
      <x:c r="A16" s="30" t="str">
        <x:v>S12</x:v>
      </x:c>
      <x:c r="B16" s="30" t="str">
        <x:v>SeaDronesSee official benchmark</x:v>
      </x:c>
      <x:c r="C16" s="30" t="str">
        <x:v>作者水域视觉数据</x:v>
      </x:c>
      <x:c r="D16" s="30" t="str">
        <x:v>v1标签口径</x:v>
      </x:c>
      <x:c r="E16" s="30" t="str">
        <x:v>水中人、船、浮具、救生衣等；本表按v1六类保留</x:v>
      </x:c>
      <x:c r="F16" s="30" t="str">
        <x:v>v1/v2分类不得混用；检测不等于起吊、救助或海况控制</x:v>
      </x:c>
      <x:c r="G16" s="30" t="str">
        <x:v>代码、数据及资产许可分别核查；本表不授予再分发许可</x:v>
      </x:c>
      <x:c r="H16" s="30" t="str">
        <x:v>https://seadronessee.cs.uni-tuebingen.de/leaderboard</x:v>
      </x:c>
    </x:row>
    <x:row r="17" ht="120" customHeight="1">
      <x:c r="A17" s="30" t="str">
        <x:v>S13</x:v>
      </x:c>
      <x:c r="B17" s="30" t="str">
        <x:v>MOBDrone</x:v>
      </x:c>
      <x:c r="C17" s="30" t="str">
        <x:v>作者水域视觉数据</x:v>
      </x:c>
      <x:c r="D17" s="30" t="str">
        <x:v>2026-10-22 核查</x:v>
      </x:c>
      <x:c r="E17" s="30" t="str">
        <x:v>Man-overboard航拍人员和海面目标检测</x:v>
      </x:c>
      <x:c r="F17" s="30" t="str">
        <x:v>不是物资投送、机械回收或转运任务数据</x:v>
      </x:c>
      <x:c r="G17" s="30" t="str">
        <x:v>代码、数据及资产许可分别核查；本表不授予再分发许可</x:v>
      </x:c>
      <x:c r="H17" s="30" t="str">
        <x:v>https://arxiv.org/abs/2203.07973</x:v>
      </x:c>
    </x:row>
    <x:row r="18" ht="120" customHeight="1">
      <x:c r="A18" s="30" t="str">
        <x:v>S14</x:v>
      </x:c>
      <x:c r="B18" s="30" t="str">
        <x:v>HEROES</x:v>
      </x:c>
      <x:c r="C18" s="30" t="str">
        <x:v>作者仿真论文</x:v>
      </x:c>
      <x:c r="D18" s="30" t="str">
        <x:v>2026-10-22 核查</x:v>
      </x:c>
      <x:c r="E18" s="30" t="str">
        <x:v>人类/应急机器人、灾后场景和大规模伤亡事件的可编辑仿真参考</x:v>
      </x:c>
      <x:c r="F18" s="30" t="str">
        <x:v>UE工程不能直接作为Three.js场景；其存在不证明本项目所有动作已实现</x:v>
      </x:c>
      <x:c r="G18" s="30" t="str">
        <x:v>代码、数据及资产许可分别核查；本表不授予再分发许可</x:v>
      </x:c>
      <x:c r="H18" s="30" t="str">
        <x:v>https://arxiv.org/abs/2309.14508</x:v>
      </x:c>
    </x:row>
    <x:row r="19" ht="120" customHeight="1">
      <x:c r="A19" s="30" t="str">
        <x:v>S15</x:v>
      </x:c>
      <x:c r="B19" s="30" t="str">
        <x:v>SAREnv</x:v>
      </x:c>
      <x:c r="C19" s="30" t="str">
        <x:v>作者开源环境</x:v>
      </x:c>
      <x:c r="D19" s="30" t="str">
        <x:v>2026-10-22 核查</x:v>
      </x:c>
      <x:c r="E19" s="30" t="str">
        <x:v>地图与搜索环境/搜索先验，补足区域搜索布局</x:v>
      </x:c>
      <x:c r="F19" s="30" t="str">
        <x:v>GeoJSON/NPY不提供真实洪水、人类需求、完整协作标签</x:v>
      </x:c>
      <x:c r="G19" s="30" t="str">
        <x:v>代码、数据及资产许可分别核查；本表不授予再分发许可</x:v>
      </x:c>
      <x:c r="H19" s="30" t="str">
        <x:v>https://github.com/namurproject/SAREnv</x:v>
      </x:c>
    </x:row>
    <x:row r="20" ht="120" customHeight="1">
      <x:c r="A20" s="30" t="str">
        <x:v>S16</x:v>
      </x:c>
      <x:c r="B20" s="30" t="str">
        <x:v>AerialVLN / AirVLN</x:v>
      </x:c>
      <x:c r="C20" s="30" t="str">
        <x:v>作者导航基准</x:v>
      </x:c>
      <x:c r="D20" s="30" t="str">
        <x:v>2026-10-22 核查</x:v>
      </x:c>
      <x:c r="E20" s="30" t="str">
        <x:v>语言引导空中导航、环境接口、示范/采集训练入口</x:v>
      </x:c>
      <x:c r="F20" s="30" t="str">
        <x:v>导航指令/轨迹不等于救援种类；不把路径条数算成新业务</x:v>
      </x:c>
      <x:c r="G20" s="30" t="str">
        <x:v>代码、数据及资产许可分别核查；本表不授予再分发许可</x:v>
      </x:c>
      <x:c r="H20" s="30" t="str">
        <x:v>https://github.com/AirVLN/AirVLN</x:v>
      </x:c>
    </x:row>
    <x:row r="21" ht="120" customHeight="1">
      <x:c r="A21" s="30" t="str">
        <x:v>S17</x:v>
      </x:c>
      <x:c r="B21" s="30" t="str">
        <x:v>ns-3 Wi-Fi Model Library</x:v>
      </x:c>
      <x:c r="C21" s="30" t="str">
        <x:v>官方技术文档</x:v>
      </x:c>
      <x:c r="D21" s="30" t="str">
        <x:v>2026-10-22 核查</x:v>
      </x:c>
      <x:c r="E21" s="30" t="str">
        <x:v>PHY/MAC、队列、传输、传播、重传/ACK、接收失败、可采集链路指标</x:v>
      </x:c>
      <x:c r="F21" s="30" t="str">
        <x:v>应用业务送达/任务接收仍需适配；不是临床或救援规范；具体版本需运行时锁定</x:v>
      </x:c>
      <x:c r="G21" s="30" t="str">
        <x:v>代码、数据及资产许可分别核查；本表不授予再分发许可</x:v>
      </x:c>
      <x:c r="H21" s="30" t="str">
        <x:v>https://www.nsnam.org/docs/models/html/wifi-design.html</x:v>
      </x:c>
    </x:row>
    <x:row r="22" ht="120" customHeight="1">
      <x:c r="A22" s="30" t="str">
        <x:v>S18</x:v>
      </x:c>
      <x:c r="B22" s="30" t="str">
        <x:v>ns-3 Energy Framework</x:v>
      </x:c>
      <x:c r="C22" s="30" t="str">
        <x:v>官方技术文档</x:v>
      </x:c>
      <x:c r="D22" s="30" t="str">
        <x:v>2026-10-22 核查</x:v>
      </x:c>
      <x:c r="E22" s="30" t="str">
        <x:v>能源源、设备耗能、状态依赖消耗、剩余容量</x:v>
      </x:c>
      <x:c r="F22" s="30" t="str">
        <x:v>整机/通信/计算能量不得重复计费；参数须设备标定或声明假设</x:v>
      </x:c>
      <x:c r="G22" s="30" t="str">
        <x:v>代码、数据及资产许可分别核查；本表不授予再分发许可</x:v>
      </x:c>
      <x:c r="H22" s="30" t="str">
        <x:v>https://www.nsnam.org/docs/models/html/energy.html</x:v>
      </x:c>
    </x:row>
    <x:row r="23" ht="120" customHeight="1">
      <x:c r="A23" s="30" t="str">
        <x:v>S19</x:v>
      </x:c>
      <x:c r="B23" s="30" t="str">
        <x:v>ROS 2 Actions design</x:v>
      </x:c>
      <x:c r="C23" s="30" t="str">
        <x:v>官方技术规范</x:v>
      </x:c>
      <x:c r="D23" s="30" t="str">
        <x:v>2019-03，2020-05修改</x:v>
      </x:c>
      <x:c r="E23" s="30" t="str">
        <x:v>goal、feedback、result、接受/拒绝、执行、取消、结果</x:v>
      </x:c>
      <x:c r="F23" s="30" t="str">
        <x:v>本项目Task状态和动作命名是映射设计，不宣称完全照搬ROS标准</x:v>
      </x:c>
      <x:c r="G23" s="30" t="str">
        <x:v>代码、数据及资产许可分别核查；本表不授予再分发许可</x:v>
      </x:c>
      <x:c r="H23" s="30" t="str">
        <x:v>https://design.ros2.org/articles/actions.html</x:v>
      </x:c>
    </x:row>
    <x:row r="24" ht="120" customHeight="1">
      <x:c r="A24" s="30" t="str">
        <x:v>S20</x:v>
      </x:c>
      <x:c r="B24" s="30" t="str">
        <x:v>Kubernetes resource management</x:v>
      </x:c>
      <x:c r="C24" s="30" t="str">
        <x:v>官方技术文档</x:v>
      </x:c>
      <x:c r="D24" s="30" t="str">
        <x:v>2026-10-22 核查</x:v>
      </x:c>
      <x:c r="E24" s="30" t="str">
        <x:v>CPU/内存请求、限制、资源占用与准入概念</x:v>
      </x:c>
      <x:c r="F24" s="30" t="str">
        <x:v>只支撑资源语义，不要求部署Kubernetes，也不提供模型运行时延</x:v>
      </x:c>
      <x:c r="G24" s="30" t="str">
        <x:v>代码、数据及资产许可分别核查；本表不授予再分发许可</x:v>
      </x:c>
      <x:c r="H24" s="30" t="str">
        <x:v>https://kubernetes.io/docs/concepts/configuration/manage-resources-containers/</x:v>
      </x:c>
    </x:row>
    <x:row r="25" ht="120" customHeight="1">
      <x:c r="A25" s="30" t="str">
        <x:v>S21</x:v>
      </x:c>
      <x:c r="B25" s="30" t="str">
        <x:v>MLCommons Inference workload methodology</x:v>
      </x:c>
      <x:c r="C25" s="30" t="str">
        <x:v>官方性能基准</x:v>
      </x:c>
      <x:c r="D25" s="30" t="str">
        <x:v>2026-10-22 核查</x:v>
      </x:c>
      <x:c r="E25" s="30" t="str">
        <x:v>推理质量、负载、时延与吞吐的可测量口径</x:v>
      </x:c>
      <x:c r="F25" s="30" t="str">
        <x:v>本项目服务时延/显存/功耗须实测或声明建模，不能照抄成设备真值</x:v>
      </x:c>
      <x:c r="G25" s="30" t="str">
        <x:v>代码、数据及资产许可分别核查；本表不授予再分发许可</x:v>
      </x:c>
      <x:c r="H25" s="30" t="str">
        <x:v>https://docs.mlcommons.org/inference/benchmarks/language/llama3_1-8b/</x:v>
      </x:c>
    </x:row>
    <x:row r="26" ht="120" customHeight="1">
      <x:c r="A26" s="30" t="str">
        <x:v>S22</x:v>
      </x:c>
      <x:c r="B26" s="30" t="str">
        <x:v>UNDRR Risk &amp; Resilience hazard scope</x:v>
      </x:c>
      <x:c r="C26" s="30" t="str">
        <x:v>官方灾害资料</x:v>
      </x:c>
      <x:c r="D26" s="30" t="str">
        <x:v>2026-10-22 核查</x:v>
      </x:c>
      <x:c r="E26" s="30" t="str">
        <x:v>地震、风暴、洪水、海啸、滑坡、野火等危险类别的区分</x:v>
      </x:c>
      <x:c r="F26" s="30" t="str">
        <x:v>支持灾害分类，不提供对应机器人动作、专业操作流程或伤亡概率</x:v>
      </x:c>
      <x:c r="G26" s="30" t="str">
        <x:v>代码、数据及资产许可分别核查；本表不授予再分发许可</x:v>
      </x:c>
      <x:c r="H26" s="30" t="str">
        <x:v>https://www.undrr.org/m/risk-and-resilience-maps/</x:v>
      </x:c>
    </x:row>
    <x:row r="27" ht="120" customHeight="1">
      <x:c r="A27" s="30" t="str">
        <x:v>S23</x:v>
      </x:c>
      <x:c r="B27" s="30" t="str">
        <x:v>xBD-S12 official dataset metadata</x:v>
      </x:c>
      <x:c r="C27" s="30" t="str">
        <x:v>作者衍生数据</x:v>
      </x:c>
      <x:c r="D27" s="30" t="str">
        <x:v>2026-10-22 核查</x:v>
      </x:c>
      <x:c r="E27" s="30" t="str">
        <x:v>原xView2 disaster_type: volcano,flooding,wind,earthquake,tsunami,fire及分割字段</x:v>
      </x:c>
      <x:c r="F27" s="30" t="str">
        <x:v>仅用于源分类映射；火山场景是本项目扩展，不宣称已建模</x:v>
      </x:c>
      <x:c r="G27" s="30" t="str">
        <x:v>代码、数据及资产许可分别核查；本表不授予再分发许可</x:v>
      </x:c>
      <x:c r="H27" s="30" t="str">
        <x:v>https://github.com/prs-eth/xbd-s12/blob/main/DATASET.md</x:v>
      </x:c>
    </x:row>
    <x:row r="28" ht="120" customHeight="1">
      <x:c r="A28" s="30" t="str">
        <x:v>S24</x:v>
      </x:c>
      <x:c r="B28" s="30" t="str">
        <x:v>用户原话与本轮需求</x:v>
      </x:c>
      <x:c r="C28" s="30" t="str">
        <x:v>用户资料</x:v>
      </x:c>
      <x:c r="D28" s="30" t="str">
        <x:v>原话来源2026-10-16—19及本会话</x:v>
      </x:c>
      <x:c r="E28" s="30" t="str">
        <x:v>任务条件化视觉；具体技能；通信计算成本；全部建筑评估；室内A；当前任务和设备约束</x:v>
      </x:c>
      <x:c r="F28" s="30" t="str">
        <x:v>原话文件明示历史窗口不完整；混合粘贴材料不视为用户本人观点；Dario独立原文未取全</x:v>
      </x:c>
      <x:c r="G28" s="30" t="str">
        <x:v>代码、数据及资产许可分别核查；本表不授予再分发许可</x:v>
      </x:c>
      <x:c r="H28" s="30" t="str">
        <x:v>2026-10-19_dot_用户意图原话整理.docx；本会话原文</x:v>
      </x:c>
    </x:row>
    <x:row r="29" ht="120" customHeight="1">
      <x:c r="A29" s="30" t="str">
        <x:v>S25</x:v>
      </x:c>
      <x:c r="B29" s="30" t="str">
        <x:v>AeroAgentSim companion requirements</x:v>
      </x:c>
      <x:c r="C29" s="30" t="str">
        <x:v>项目需求资料</x:v>
      </x:c>
      <x:c r="D29" s="30" t="str">
        <x:v>2026-10-17 v1.0</x:v>
      </x:c>
      <x:c r="E29" s="30" t="str">
        <x:v>发现/复核/定位/证据/参与/中继/投送/核验/恢复原任务，局部历史和送达门禁</x:v>
      </x:c>
      <x:c r="F29" s="30" t="str">
        <x:v>是需求与历史基线，不代表当前代码或运行已验收</x:v>
      </x:c>
      <x:c r="G29" s="30" t="str">
        <x:v>代码、数据及资产许可分别核查；本表不授予再分发许可</x:v>
      </x:c>
      <x:c r="H29" s="30" t="str">
        <x:v>AeroAgentSim_Rescue_Companion_Requirements_v1.0.docx</x:v>
      </x:c>
    </x:row>
    <x:row r="30" ht="120" customHeight="1">
      <x:c r="A30" s="30" t="str">
        <x:v>S26</x:v>
      </x:c>
      <x:c r="B30" s="30" t="str">
        <x:v>ESAR released cue_list and task_data schema</x:v>
      </x:c>
      <x:c r="C30" s="30" t="str">
        <x:v>作者数据文件</x:v>
      </x:c>
      <x:c r="D30" s="30" t="str">
        <x:v>task_data blob SHA d92b91b2a53892fbd85f5e98db40a2ec237153bb</x:v>
      </x:c>
      <x:c r="E30" s="30" t="str">
        <x:v>10种普通线索+Fire/Flare；4地图本地ID；task字段与天气配置</x:v>
      </x:c>
      <x:c r="F30" s="30" t="str">
        <x:v>cue_id必须连map解析；同名对象重复实例不是新语义类别</x:v>
      </x:c>
      <x:c r="G30" s="30" t="str">
        <x:v>代码、数据及资产许可分别核查；本表不授予再分发许可</x:v>
      </x:c>
      <x:c r="H30" s="30" t="str">
        <x:v>https://raw.githubusercontent.com/4amGodvzx/ESAR/main/data/cue_list.json</x:v>
      </x:c>
    </x:row>
  </x:sheetData>
  <x:mergeCells>
    <x:mergeCell ref="A1:H1"/>
    <x:mergeCell ref="A2:H2"/>
  </x:mergeCells>
  <x:pageMargins left="0.7" right="0.7" top="0.75" bottom="0.75" header="0.3" footer="0.3"/>
  <x:tableParts count="1">
    <x:tablePart xmlns:r="http://schemas.openxmlformats.org/officeDocument/2006/relationships" r:id="R805683f3974145a2"/>
  </x:tableParts>
</x:worksheet>
</file>

<file path=xl/worksheets/sheet4.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36" hidden="0" customWidth="1"/>
    <x:col min="3" max="3" width="14" hidden="0" customWidth="1"/>
    <x:col min="4" max="4" width="28" hidden="0" customWidth="1"/>
    <x:col min="5" max="5" width="50" hidden="0" customWidth="1"/>
    <x:col min="6" max="6" width="78" hidden="0" customWidth="1"/>
    <x:col min="7" max="7" width="18" hidden="0" customWidth="1"/>
    <x:col min="8" max="8" width="55" hidden="0" customWidth="1"/>
  </x:cols>
  <x:sheetData>
    <x:row r="1" ht="33" customHeight="1">
      <x:c r="A1" s="8" t="str">
        <x:v>18类救援情境</x:v>
      </x:c>
      <x:c r="B1" s="8"/>
      <x:c r="C1" s="8"/>
      <x:c r="D1" s="8"/>
      <x:c r="E1" s="8"/>
      <x:c r="F1" s="8"/>
      <x:c r="G1" s="8"/>
      <x:c r="H1" s="8"/>
    </x:row>
    <x:row r="2" ht="34" customHeight="1">
      <x:c r="A2" s="15" t="str">
        <x:v>是本版研究覆盖分类，不是全球唯一灾害分类；前3类适配当前2×2km平面基线，其余完整保留为扩展或外部基准</x:v>
      </x:c>
      <x:c r="B2" s="15"/>
      <x:c r="C2" s="15"/>
      <x:c r="D2" s="15"/>
      <x:c r="E2" s="15"/>
      <x:c r="F2" s="15"/>
      <x:c r="G2" s="15"/>
      <x:c r="H2" s="15"/>
    </x:row>
    <x:row r="3">
      <x:c r="A3" s="4"/>
      <x:c r="B3" s="4"/>
      <x:c r="C3" s="4"/>
      <x:c r="D3" s="4"/>
      <x:c r="E3" s="4"/>
      <x:c r="F3" s="4"/>
      <x:c r="G3" s="4"/>
      <x:c r="H3" s="4"/>
    </x:row>
    <x:row r="4" ht="29" customHeight="1">
      <x:c r="A4" s="23" t="str">
        <x:v>情境ID</x:v>
      </x:c>
      <x:c r="B4" s="23" t="str">
        <x:v>名称</x:v>
      </x:c>
      <x:c r="C4" s="23" t="str">
        <x:v>家族</x:v>
      </x:c>
      <x:c r="D4" s="23" t="str">
        <x:v>当前范围</x:v>
      </x:c>
      <x:c r="E4" s="23" t="str">
        <x:v>关键边界</x:v>
      </x:c>
      <x:c r="F4" s="23" t="str">
        <x:v>可用任务池</x:v>
      </x:c>
      <x:c r="G4" s="23" t="str">
        <x:v>来源ID</x:v>
      </x:c>
      <x:c r="H4" s="23" t="str">
        <x:v>来源URL</x:v>
      </x:c>
    </x:row>
    <x:row r="5" ht="140" customHeight="1">
      <x:c r="A5" s="30" t="str">
        <x:v>SC01</x:v>
      </x:c>
      <x:c r="B5" s="30" t="str">
        <x:v>地震/建筑坍塌街区</x:v>
      </x:c>
      <x:c r="C5" s="30" t="str">
        <x:v>灾损</x:v>
      </x:c>
      <x:c r="D5" s="30" t="str">
        <x:v>当前平面主场景</x:v>
      </x:c>
      <x:c r="E5" s="30" t="str">
        <x:v>建筑损毁、残骸、入口及室内A；不模拟倒塌动力学</x:v>
      </x:c>
      <x:c r="F5" s="30" t="str">
        <x:v>T001；T002；T003；T004；T007；T008；T009；T010；T011；T012；T013；T014；T015；T019；T020；T021；T022；T023；T024；T025；T026；T027；T028；T029；T030；T031；T032；T033；T034；T035；T037；T038；T039；T040；T041；T042；T043；T044；T045；T046；T047；T048；T049；T050；T051；T052；T053；T054；T055；T056；T057；T058；T059；T060；T061；T062；T063；T064；T065；T066；T067；T068；T069；T070；T071；T072；T073；T074；T075；T076；T077；T078；T079；T080；T081；T082；T083；T084；T085；T086；T087；T088；T089；T090；T091；T092；T096</x:v>
      </x:c>
      <x:c r="G5" s="30" t="str">
        <x:v>S01；S07；S09；S14</x:v>
      </x:c>
      <x:c r="H5" s="30" t="str">
        <x:v>https://insarag.org/wp-content/uploads/2021/06/INSARAG20Guidelines20Vol20II2C20Man20B.pdf
https://github.com/BinaLab/RescueNet-A-High-Resolution-Post-Disaster-UAV-Dataset-for-Semantic-Segmentation
https://arxiv.org/abs/1911.09296
https://arxiv.org/abs/2309.14508</x:v>
      </x:c>
    </x:row>
    <x:row r="6" ht="140" customHeight="1">
      <x:c r="A6" s="30" t="str">
        <x:v>SC02</x:v>
      </x:c>
      <x:c r="B6" s="30" t="str">
        <x:v>台风/强风/龙卷风灾后街区</x:v>
      </x:c>
      <x:c r="C6" s="30" t="str">
        <x:v>灾损</x:v>
      </x:c>
      <x:c r="D6" s="30" t="str">
        <x:v>当前平面主场景</x:v>
      </x:c>
      <x:c r="E6" s="30" t="str">
        <x:v>屋顶/附属物/倒树与道路；不是把所有RC都同样碎裂</x:v>
      </x:c>
      <x:c r="F6" s="30" t="str">
        <x:v>T001；T002；T003；T004；T007；T008；T009；T010；T011；T012；T013；T014；T015；T019；T020；T021；T022；T023；T024；T026；T027；T028；T029；T030；T031；T032；T033；T034；T035；T038；T039；T040；T041；T042；T043；T044；T045；T046；T047；T048；T049；T050；T051；T052；T053；T054；T055；T056；T057；T058；T059；T060；T061；T062；T063；T064；T065；T066；T067；T068；T069；T070；T071；T072；T073；T074；T075；T076；T077；T078；T079；T080；T081；T082；T083；T084；T085；T086；T087；T088；T089；T090；T091；T092；T096</x:v>
      </x:c>
      <x:c r="G6" s="30" t="str">
        <x:v>S07；S09；S22</x:v>
      </x:c>
      <x:c r="H6" s="30" t="str">
        <x:v>https://github.com/BinaLab/RescueNet-A-High-Resolution-Post-Disaster-UAV-Dataset-for-Semantic-Segmentation
https://arxiv.org/abs/1911.09296
https://www.undrr.org/m/risk-and-resilience-maps/</x:v>
      </x:c>
    </x:row>
    <x:row r="7" ht="140" customHeight="1">
      <x:c r="A7" s="30" t="str">
        <x:v>SC03</x:v>
      </x:c>
      <x:c r="B7" s="30" t="str">
        <x:v>城市/河流洪涝</x:v>
      </x:c>
      <x:c r="C7" s="30" t="str">
        <x:v>灾损</x:v>
      </x:c>
      <x:c r="D7" s="30" t="str">
        <x:v>当前平面主场景</x:v>
      </x:c>
      <x:c r="E7" s="30" t="str">
        <x:v>水深或阈值模型必须声明；浅水不自动允许狗涉水</x:v>
      </x:c>
      <x:c r="F7" s="30" t="str">
        <x:v>T001；T002；T003；T004；T005；T007；T008；T009；T010；T011；T012；T013；T014；T015；T019；T020；T021；T022；T023；T027；T028；T029；T030；T031；T032；T033；T034；T035；T036；T038；T039；T040；T041；T042；T043；T044；T045；T046；T047；T048；T049；T050；T051；T052；T053；T054；T055；T056；T057；T058；T059；T060；T061；T062；T063；T064；T065；T066；T067；T068；T069；T070；T071；T072；T073；T074；T075；T076；T077；T078；T079；T080；T081；T082；T083；T084；T085；T086；T087；T088；T089；T090；T091；T092；T096</x:v>
      </x:c>
      <x:c r="G7" s="30" t="str">
        <x:v>S08；S09；S12</x:v>
      </x:c>
      <x:c r="H7" s="30" t="str">
        <x:v>https://github.com/BinaLab/FloodNet-Supervised_v1.0
https://arxiv.org/abs/1911.09296
https://seadronessee.cs.uni-tuebingen.de/leaderboard</x:v>
      </x:c>
    </x:row>
    <x:row r="8" ht="140" customHeight="1">
      <x:c r="A8" s="30" t="str">
        <x:v>SC04</x:v>
      </x:c>
      <x:c r="B8" s="30" t="str">
        <x:v>海啸/风暴潮沿海淹没</x:v>
      </x:c>
      <x:c r="C8" s="30" t="str">
        <x:v>灾损</x:v>
      </x:c>
      <x:c r="D8" s="30" t="str">
        <x:v>扩展</x:v>
      </x:c>
      <x:c r="E8" s="30" t="str">
        <x:v>淹没/漂移/残骸可抽象，不宣称海啸/流体力学</x:v>
      </x:c>
      <x:c r="F8" s="30" t="str">
        <x:v>T001；T002；T003；T004；T005；T007；T008；T009；T010；T011；T012；T013；T014；T015；T019；T020；T021；T022；T023；T027；T028；T029；T030；T031；T032；T033；T034；T035；T036；T038；T039；T040；T041；T042；T043；T044；T045；T046；T047；T048；T049；T050；T051；T052；T053；T054；T055；T056；T057；T058；T059；T060；T061；T062；T063；T064；T065；T066；T067；T068；T069；T070；T071；T072；T073；T074；T075；T076；T077；T078；T079；T080；T081；T082；T083；T084；T085；T086；T087；T088；T089；T090；T091；T092；T096</x:v>
      </x:c>
      <x:c r="G8" s="30" t="str">
        <x:v>S09；S22；S23</x:v>
      </x:c>
      <x:c r="H8" s="30" t="str">
        <x:v>https://arxiv.org/abs/1911.09296
https://www.undrr.org/m/risk-and-resilience-maps/
https://github.com/prs-eth/xbd-s12/blob/main/DATASET.md</x:v>
      </x:c>
    </x:row>
    <x:row r="9" ht="140" customHeight="1">
      <x:c r="A9" s="30" t="str">
        <x:v>SC05</x:v>
      </x:c>
      <x:c r="B9" s="30" t="str">
        <x:v>海上/开放水域落水人员</x:v>
      </x:c>
      <x:c r="C9" s="30" t="str">
        <x:v>水域</x:v>
      </x:c>
      <x:c r="D9" s="30" t="str">
        <x:v>扩展</x:v>
      </x:c>
      <x:c r="E9" s="30" t="str">
        <x:v>独立水面主体与海况；地面车/狗不能直接承担回收</x:v>
      </x:c>
      <x:c r="F9" s="30" t="str">
        <x:v>T001；T005；T009；T010；T011；T012；T016；T019；T020；T021；T027；T028；T029；T030；T033；T034；T035；T036；T038；T039；T040；T041；T042；T043；T044；T045；T046；T047；T048；T049；T050；T051；T052；T053；T054；T055；T056；T057；T058；T059；T060；T061；T062；T063；T064；T065；T066；T067；T068；T069；T070；T071；T072；T073；T074；T075；T076；T077；T078；T079；T080；T081；T082；T083；T084；T085；T086；T087；T088；T089；T090；T091；T092；T096</x:v>
      </x:c>
      <x:c r="G9" s="30" t="str">
        <x:v>S12；S13</x:v>
      </x:c>
      <x:c r="H9" s="30" t="str">
        <x:v>https://seadronessee.cs.uni-tuebingen.de/leaderboard
https://arxiv.org/abs/2203.07973</x:v>
      </x:c>
    </x:row>
    <x:row r="10" ht="140" customHeight="1">
      <x:c r="A10" s="30" t="str">
        <x:v>SC06</x:v>
      </x:c>
      <x:c r="B10" s="30" t="str">
        <x:v>建筑/街区火灾与烟雾</x:v>
      </x:c>
      <x:c r="C10" s="30" t="str">
        <x:v>灾损</x:v>
      </x:c>
      <x:c r="D10" s="30" t="str">
        <x:v>扩展</x:v>
      </x:c>
      <x:c r="E10" s="30" t="str">
        <x:v>火烟演化与消防耗材；专业消防能力单列</x:v>
      </x:c>
      <x:c r="F10" s="30" t="str">
        <x:v>T001；T002；T003；T004；T006；T007；T008；T009；T010；T011；T012；T013；T014；T015；T016；T017；T019；T020；T021；T022；T023；T024；T025；T026；T027；T028；T029；T030；T031；T032；T033；T034；T035；T038；T039；T040；T041；T042；T043；T044；T045；T046；T047；T048；T049；T050；T051；T052；T053；T054；T055；T056；T057；T058；T059；T060；T061；T062；T063；T064；T065；T066；T067；T068；T069；T070；T071；T072；T073；T074；T075；T076；T077；T078；T079；T080；T081；T082；T083；T084；T085；T086；T087；T088；T089；T090；T091；T092；T093；T094；T095；T096</x:v>
      </x:c>
      <x:c r="G10" s="30" t="str">
        <x:v>S01；S03</x:v>
      </x:c>
      <x:c r="H10" s="30" t="str">
        <x:v>https://insarag.org/wp-content/uploads/2021/06/INSARAG20Guidelines20Vol20II2C20Man20B.pdf
https://roborescue.github.io/rcrs-server/rcrs-server/index.html</x:v>
      </x:c>
    </x:row>
    <x:row r="11" ht="140" customHeight="1">
      <x:c r="A11" s="30" t="str">
        <x:v>SC07</x:v>
      </x:c>
      <x:c r="B11" s="30" t="str">
        <x:v>野火/林地城市交界灾害</x:v>
      </x:c>
      <x:c r="C11" s="30" t="str">
        <x:v>灾损</x:v>
      </x:c>
      <x:c r="D11" s="30" t="str">
        <x:v>扩展</x:v>
      </x:c>
      <x:c r="E11" s="30" t="str">
        <x:v>林地遮挡、逃生路径与火线；不强制引入精细火传播</x:v>
      </x:c>
      <x:c r="F11" s="30" t="str">
        <x:v>T001；T003；T006；T007；T008；T009；T010；T011；T012；T013；T016；T017；T018；T019；T020；T021；T022；T023；T027；T028；T029；T030；T031；T032；T033；T034；T035；T038；T039；T040；T041；T042；T043；T044；T045；T046；T047；T048；T049；T050；T051；T052；T053；T054；T055；T056；T057；T058；T059；T060；T061；T062；T063；T064；T065；T066；T067；T068；T069；T070；T071；T072；T073；T074；T075；T076；T077；T078；T079；T080；T081；T082；T083；T084；T085；T086；T087；T088；T089；T090；T091；T092；T093；T094；T095；T096</x:v>
      </x:c>
      <x:c r="G11" s="30" t="str">
        <x:v>S09；S22；S23</x:v>
      </x:c>
      <x:c r="H11" s="30" t="str">
        <x:v>https://arxiv.org/abs/1911.09296
https://www.undrr.org/m/risk-and-resilience-maps/
https://github.com/prs-eth/xbd-s12/blob/main/DATASET.md</x:v>
      </x:c>
    </x:row>
    <x:row r="12" ht="140" customHeight="1">
      <x:c r="A12" s="30" t="str">
        <x:v>SC08</x:v>
      </x:c>
      <x:c r="B12" s="30" t="str">
        <x:v>滑坡/泥石流/地面塌陷受灾区</x:v>
      </x:c>
      <x:c r="C12" s="30" t="str">
        <x:v>灾损</x:v>
      </x:c>
      <x:c r="D12" s="30" t="str">
        <x:v>扩展</x:v>
      </x:c>
      <x:c r="E12" s="30" t="str">
        <x:v>当前平面表示仅覆盖灾后堆积/阻塞，不能评估坡体动力</x:v>
      </x:c>
      <x:c r="F12" s="30" t="str">
        <x:v>T001；T002；T003；T004；T007；T008；T009；T010；T011；T012；T013；T014；T015；T016；T017；T018；T019；T020；T021；T022；T023；T024；T025；T026；T027；T028；T029；T030；T031；T032；T033；T034；T035；T036；T037；T038；T039；T040；T041；T042；T043；T044；T045；T046；T047；T048；T049；T050；T051；T052；T053；T054；T055；T056；T057；T058；T059；T060；T061；T062；T063；T064；T065；T066；T067；T068；T069；T070；T071；T072；T073；T074；T075；T076；T077；T078；T079；T080；T081；T082；T083；T084；T085；T086；T087；T088；T089；T090；T091；T092；T095；T096</x:v>
      </x:c>
      <x:c r="G12" s="30" t="str">
        <x:v>S01；S22</x:v>
      </x:c>
      <x:c r="H12" s="30" t="str">
        <x:v>https://insarag.org/wp-content/uploads/2021/06/INSARAG20Guidelines20Vol20II2C20Man20B.pdf
https://www.undrr.org/m/risk-and-resilience-maps/</x:v>
      </x:c>
    </x:row>
    <x:row r="13" ht="140" customHeight="1">
      <x:c r="A13" s="30" t="str">
        <x:v>SC09</x:v>
      </x:c>
      <x:c r="B13" s="30" t="str">
        <x:v>火山灰/喷发后影响区</x:v>
      </x:c>
      <x:c r="C13" s="30" t="str">
        <x:v>灾损</x:v>
      </x:c>
      <x:c r="D13" s="30" t="str">
        <x:v>扩展</x:v>
      </x:c>
      <x:c r="E13" s="30" t="str">
        <x:v>仅灾后可见损毁/能见度和禁入规则；不声称火山专业救援全谱</x:v>
      </x:c>
      <x:c r="F13" s="30" t="str">
        <x:v>T001；T002；T003；T004；T006；T007；T008；T009；T010；T011；T012；T013；T014；T015；T016；T017；T018；T019；T020；T021；T022；T023；T024；T025；T026；T027；T028；T029；T030；T031；T032；T033；T034；T035；T038；T039；T040；T041；T042；T043；T044；T045；T046；T047；T048；T049；T050；T051；T052；T053；T054；T055；T056；T057；T058；T059；T060；T061；T062；T063；T064；T065；T066；T067；T068；T069；T070；T071；T072；T073；T074；T075；T076；T077；T078；T079；T080；T081；T082；T083；T084；T085；T086；T087；T088；T089；T090；T091；T092；T095；T096</x:v>
      </x:c>
      <x:c r="G13" s="30" t="str">
        <x:v>S09；S23</x:v>
      </x:c>
      <x:c r="H13" s="30" t="str">
        <x:v>https://arxiv.org/abs/1911.09296
https://github.com/prs-eth/xbd-s12/blob/main/DATASET.md</x:v>
      </x:c>
    </x:row>
    <x:row r="14" ht="140" customHeight="1">
      <x:c r="A14" s="30" t="str">
        <x:v>SC10</x:v>
      </x:c>
      <x:c r="B14" s="30" t="str">
        <x:v>山地林区/郊野失踪搜索</x:v>
      </x:c>
      <x:c r="C14" s="30" t="str">
        <x:v>野外</x:v>
      </x:c>
      <x:c r="D14" s="30" t="str">
        <x:v>扩展/外部基准</x:v>
      </x:c>
      <x:c r="E14" s="30" t="str">
        <x:v>ESAR Aotai；平面投影不能代替真实山地地形评测</x:v>
      </x:c>
      <x:c r="F14" s="30" t="str">
        <x:v>T001；T003；T008；T009；T010；T011；T012；T013；T016；T017；T018；T019；T020；T021；T022；T027；T028；T029；T030；T031；T032；T033；T034；T035；T038；T039；T040；T041；T042；T043；T044；T045；T046；T047；T048；T049；T050；T051；T052；T053；T054；T055；T056；T057；T058；T059；T060；T061；T062；T063；T064；T065；T066；T067；T068；T069；T070；T071；T072；T073；T074；T075；T076；T077；T078；T079；T080；T081；T082；T083；T084；T085；T086；T087；T088；T089；T090；T091；T092；T096</x:v>
      </x:c>
      <x:c r="G14" s="30" t="str">
        <x:v>S05；S11；S15</x:v>
      </x:c>
      <x:c r="H14" s="30" t="str">
        <x:v>https://4amgodvzx.github.io/ESAR.github.io/
https://arxiv.org/abs/2309.09518
https://github.com/namurproject/SAREnv</x:v>
      </x:c>
    </x:row>
    <x:row r="15" ht="140" customHeight="1">
      <x:c r="A15" s="30" t="str">
        <x:v>SC11</x:v>
      </x:c>
      <x:c r="B15" s="30" t="str">
        <x:v>荒漠/戈壁失踪搜索</x:v>
      </x:c>
      <x:c r="C15" s="30" t="str">
        <x:v>野外</x:v>
      </x:c>
      <x:c r="D15" s="30" t="str">
        <x:v>扩展/外部基准</x:v>
      </x:c>
      <x:c r="E15" s="30" t="str">
        <x:v>ESAR Lop Nur；沙尘、稀疏线索、距离与能源</x:v>
      </x:c>
      <x:c r="F15" s="30" t="str">
        <x:v>T001；T003；T008；T009；T010；T011；T012；T013；T016；T017；T018；T019；T020；T021；T022；T027；T028；T029；T030；T031；T032；T033；T034；T035；T038；T039；T040；T041；T042；T043；T044；T045；T046；T047；T048；T049；T050；T051；T052；T053；T054；T055；T056；T057；T058；T059；T060；T061；T062；T063；T064；T065；T066；T067；T068；T069；T070；T071；T072；T073；T074；T075；T076；T077；T078；T079；T080；T081；T082；T083；T084；T085；T086；T087；T088；T089；T090；T091；T092；T096</x:v>
      </x:c>
      <x:c r="G15" s="30" t="str">
        <x:v>S05</x:v>
      </x:c>
      <x:c r="H15" s="30" t="str">
        <x:v>https://4amgodvzx.github.io/ESAR.github.io/</x:v>
      </x:c>
    </x:row>
    <x:row r="16" ht="140" customHeight="1">
      <x:c r="A16" s="30" t="str">
        <x:v>SC12</x:v>
      </x:c>
      <x:c r="B16" s="30" t="str">
        <x:v>雪地/高山失踪搜索</x:v>
      </x:c>
      <x:c r="C16" s="30" t="str">
        <x:v>野外</x:v>
      </x:c>
      <x:c r="D16" s="30" t="str">
        <x:v>扩展/外部基准</x:v>
      </x:c>
      <x:c r="E16" s="30" t="str">
        <x:v>ESAR K2；严寒/陡坡能力不得以平地图模拟认证</x:v>
      </x:c>
      <x:c r="F16" s="30" t="str">
        <x:v>T001；T003；T008；T009；T010；T011；T012；T013；T016；T017；T018；T019；T020；T021；T022；T027；T028；T029；T030；T031；T032；T033；T034；T035；T038；T039；T040；T041；T042；T043；T044；T045；T046；T047；T048；T049；T050；T051；T052；T053；T054；T055；T056；T057；T058；T059；T060；T061；T062；T063；T064；T065；T066；T067；T068；T069；T070；T071；T072；T073；T074；T075；T076；T077；T078；T079；T080；T081；T082；T083；T084；T085；T086；T087；T088；T089；T090；T091；T092；T096</x:v>
      </x:c>
      <x:c r="G16" s="30" t="str">
        <x:v>S05</x:v>
      </x:c>
      <x:c r="H16" s="30" t="str">
        <x:v>https://4amgodvzx.github.io/ESAR.github.io/</x:v>
      </x:c>
    </x:row>
    <x:row r="17" ht="140" customHeight="1">
      <x:c r="A17" s="30" t="str">
        <x:v>SC13</x:v>
      </x:c>
      <x:c r="B17" s="30" t="str">
        <x:v>海岸丘陵/崖壁/滨海失踪搜索</x:v>
      </x:c>
      <x:c r="C17" s="30" t="str">
        <x:v>野外</x:v>
      </x:c>
      <x:c r="D17" s="30" t="str">
        <x:v>扩展/外部基准</x:v>
      </x:c>
      <x:c r="E17" s="30" t="str">
        <x:v>ESAR Dapeng；不是单纯落水，保持岸线/受困位置差异</x:v>
      </x:c>
      <x:c r="F17" s="30" t="str">
        <x:v>T001；T003；T005；T008；T009；T010；T011；T012；T013；T016；T017；T018；T019；T020；T021；T022；T027；T028；T029；T030；T031；T032；T033；T034；T035；T036；T038；T039；T040；T041；T042；T043；T044；T045；T046；T047；T048；T049；T050；T051；T052；T053；T054；T055；T056；T057；T058；T059；T060；T061；T062；T063；T064；T065；T066；T067；T068；T069；T070；T071；T072；T073；T074；T075；T076；T077；T078；T079；T080；T081；T082；T083；T084；T085；T086；T087；T088；T089；T090；T091；T092；T096</x:v>
      </x:c>
      <x:c r="G17" s="30" t="str">
        <x:v>S05；S12</x:v>
      </x:c>
      <x:c r="H17" s="30" t="str">
        <x:v>https://4amgodvzx.github.io/ESAR.github.io/
https://seadronessee.cs.uni-tuebingen.de/leaderboard</x:v>
      </x:c>
    </x:row>
    <x:row r="18" ht="140" customHeight="1">
      <x:c r="A18" s="30" t="str">
        <x:v>SC14</x:v>
      </x:c>
      <x:c r="B18" s="30" t="str">
        <x:v>地下城市/地铁/多层地下设施</x:v>
      </x:c>
      <x:c r="C18" s="30" t="str">
        <x:v>地下</x:v>
      </x:c>
      <x:c r="D18" s="30" t="str">
        <x:v>扩展/外部基准</x:v>
      </x:c>
      <x:c r="E18" s="30" t="str">
        <x:v>SubT Urban；室内可先A，但不能宣称复现完整三维地下导航</x:v>
      </x:c>
      <x:c r="F18" s="30" t="str">
        <x:v>T001；T003；T004；T006；T008；T009；T010；T011；T012；T013；T014；T015；T016；T017；T018；T019；T020；T021；T022；T023；T024；T025；T026；T027；T028；T029；T030；T031；T032；T033；T034；T035；T038；T039；T040；T041；T042；T043；T044；T045；T046；T047；T048；T049；T050；T051；T052；T053；T054；T055；T056；T057；T058；T059；T060；T061；T062；T063；T064；T065；T066；T067；T068；T069；T070；T071；T072；T073；T074；T075；T076；T077；T078；T079；T080；T081；T082；T083；T084；T085；T086；T087；T088；T089；T090；T091；T092；T095；T096</x:v>
      </x:c>
      <x:c r="G18" s="30" t="str">
        <x:v>S04</x:v>
      </x:c>
      <x:c r="H18" s="30" t="str">
        <x:v>https://www.darpa.mil/research/programs/darpa-subterranean-challenge</x:v>
      </x:c>
    </x:row>
    <x:row r="19" ht="140" customHeight="1">
      <x:c r="A19" s="30" t="str">
        <x:v>SC15</x:v>
      </x:c>
      <x:c r="B19" s="30" t="str">
        <x:v>隧道/矿井设施</x:v>
      </x:c>
      <x:c r="C19" s="30" t="str">
        <x:v>地下</x:v>
      </x:c>
      <x:c r="D19" s="30" t="str">
        <x:v>扩展/外部基准</x:v>
      </x:c>
      <x:c r="E19" s="30" t="str">
        <x:v>SubT Tunnel；通信/回路/气体线索，专业进入约束</x:v>
      </x:c>
      <x:c r="F19" s="30" t="str">
        <x:v>T001；T003；T004；T006；T008；T009；T010；T011；T012；T013；T014；T015；T016；T017；T018；T019；T020；T021；T022；T023；T024；T025；T026；T027；T028；T029；T030；T031；T032；T033；T034；T035；T038；T039；T040；T041；T042；T043；T044；T045；T046；T047；T048；T049；T050；T051；T052；T053；T054；T055；T056；T057；T058；T059；T060；T061；T062；T063；T064；T065；T066；T067；T068；T069；T070；T071；T072；T073；T074；T075；T076；T077；T078；T079；T080；T081；T082；T083；T084；T085；T086；T087；T088；T089；T090；T091；T092；T095；T096</x:v>
      </x:c>
      <x:c r="G19" s="30" t="str">
        <x:v>S04</x:v>
      </x:c>
      <x:c r="H19" s="30" t="str">
        <x:v>https://www.darpa.mil/research/programs/darpa-subterranean-challenge</x:v>
      </x:c>
    </x:row>
    <x:row r="20" ht="140" customHeight="1">
      <x:c r="A20" s="30" t="str">
        <x:v>SC16</x:v>
      </x:c>
      <x:c r="B20" s="30" t="str">
        <x:v>天然洞穴</x:v>
      </x:c>
      <x:c r="C20" s="30" t="str">
        <x:v>地下</x:v>
      </x:c>
      <x:c r="D20" s="30" t="str">
        <x:v>扩展/外部基准</x:v>
      </x:c>
      <x:c r="E20" s="30" t="str">
        <x:v>SubT Cave；低照度/狭窄/非规则通行；非平面几何留待外部验证</x:v>
      </x:c>
      <x:c r="F20" s="30" t="str">
        <x:v>T001；T003；T004；T006；T008；T009；T010；T011；T012；T013；T014；T015；T016；T017；T018；T019；T020；T021；T022；T023；T024；T025；T026；T027；T028；T029；T030；T031；T032；T033；T034；T035；T038；T039；T040；T041；T042；T043；T044；T045；T046；T047；T048；T049；T050；T051；T052；T053；T054；T055；T056；T057；T058；T059；T060；T061；T062；T063；T064；T065；T066；T067；T068；T069；T070；T071；T072；T073；T074；T075；T076；T077；T078；T079；T080；T081；T082；T083；T084；T085；T086；T087；T088；T089；T090；T091；T092；T095；T096</x:v>
      </x:c>
      <x:c r="G20" s="30" t="str">
        <x:v>S04</x:v>
      </x:c>
      <x:c r="H20" s="30" t="str">
        <x:v>https://www.darpa.mil/research/programs/darpa-subterranean-challenge</x:v>
      </x:c>
    </x:row>
    <x:row r="21" ht="140" customHeight="1">
      <x:c r="A21" s="30" t="str">
        <x:v>SC17</x:v>
      </x:c>
      <x:c r="B21" s="30" t="str">
        <x:v>交通/工业事故与多伤员现场</x:v>
      </x:c>
      <x:c r="C21" s="30" t="str">
        <x:v>事故</x:v>
      </x:c>
      <x:c r="D21" s="30" t="str">
        <x:v>扩展</x:v>
      </x:c>
      <x:c r="E21" s="30" t="str">
        <x:v>车辆/设备障碍、火烟、多人支援；不默认重型操作主体存在</x:v>
      </x:c>
      <x:c r="F21" s="30" t="str">
        <x:v>T001；T003；T004；T006；T008；T009；T010；T011；T012；T013；T014；T015；T016；T017；T018；T019；T020；T021；T022；T023；T024；T025；T026；T027；T028；T029；T030；T031；T032；T033；T034；T035；T036；T037；T038；T039；T040；T041；T042；T043；T044；T045；T046；T047；T048；T049；T050；T051；T052；T053；T054；T055；T056；T057；T058；T059；T060；T061；T062；T063；T064；T065；T066；T067；T068；T069；T070；T071；T072；T073；T074；T075；T076；T077；T078；T079；T080；T081；T082；T083；T084；T085；T086；T087；T088；T089；T090；T091；T092；T093；T094；T095；T096</x:v>
      </x:c>
      <x:c r="G21" s="30" t="str">
        <x:v>S01；S03；S14；S24</x:v>
      </x:c>
      <x:c r="H21" s="30" t="str">
        <x:v>https://insarag.org/wp-content/uploads/2021/06/INSARAG20Guidelines20Vol20II2C20Man20B.pdf
https://roborescue.github.io/rcrs-server/rcrs-server/index.html
https://arxiv.org/abs/2309.14508</x:v>
      </x:c>
    </x:row>
    <x:row r="22" ht="140" customHeight="1">
      <x:c r="A22" s="30" t="str">
        <x:v>SC18</x:v>
      </x:c>
      <x:c r="B22" s="30" t="str">
        <x:v>危险物质/气体暴露现场</x:v>
      </x:c>
      <x:c r="C22" s="30" t="str">
        <x:v>危险源</x:v>
      </x:c>
      <x:c r="D22" s="30" t="str">
        <x:v>扩展</x:v>
      </x:c>
      <x:c r="E22" s="30" t="str">
        <x:v>本版仅检测/警戒/外部力量请求/受控接近，不涵盖CBRN处置全流程</x:v>
      </x:c>
      <x:c r="F22" s="30" t="str">
        <x:v>T001；T003；T004；T006；T008；T009；T010；T011；T012；T013；T014；T015；T016；T017；T018；T019；T020；T021；T027；T028；T029；T030；T031；T033；T034；T035；T038；T039；T040；T041；T042；T043；T044；T045；T046；T047；T048；T049；T050；T051；T052；T053；T054；T055；T056；T057；T058；T059；T060；T061；T062；T063；T064；T065；T066；T067；T068；T069；T070；T071；T072；T073；T074；T075；T076；T077；T078；T079；T080；T081；T082；T083；T084；T085；T086；T087；T088；T089；T090；T091；T092；T095；T096</x:v>
      </x:c>
      <x:c r="G22" s="30" t="str">
        <x:v>S01；S02；S04</x:v>
      </x:c>
      <x:c r="H22" s="30" t="str">
        <x:v>https://insarag.org/wp-content/uploads/2021/06/INSARAG20Guidelines20Vol20II2C20Man20B.pdf
https://www.nist.gov/programs-projects/department-homeland-security-response-robot-performance-standards
https://www.darpa.mil/research/programs/darpa-subterranean-challenge</x:v>
      </x:c>
    </x:row>
  </x:sheetData>
  <x:mergeCells>
    <x:mergeCell ref="A1:H1"/>
    <x:mergeCell ref="A2:H2"/>
  </x:mergeCells>
  <x:pageMargins left="0.7" right="0.7" top="0.75" bottom="0.75" header="0.3" footer="0.3"/>
  <x:tableParts count="1">
    <x:tablePart xmlns:r="http://schemas.openxmlformats.org/officeDocument/2006/relationships" r:id="Ra43cae866e2f4cbb"/>
  </x:tableParts>
</x:worksheet>
</file>

<file path=xl/worksheets/sheet5.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4" hidden="0" customWidth="1"/>
    <x:col min="2" max="2" width="42" hidden="0" customWidth="1"/>
    <x:col min="3" max="3" width="60" hidden="0" customWidth="1"/>
    <x:col min="4" max="4" width="44" hidden="0" customWidth="1"/>
  </x:cols>
  <x:sheetData>
    <x:row r="1" ht="33" customHeight="1">
      <x:c r="A1" s="8" t="str">
        <x:v>8类可叠加实验条件</x:v>
      </x:c>
      <x:c r="B1" s="8"/>
      <x:c r="C1" s="8"/>
      <x:c r="D1" s="8"/>
    </x:row>
    <x:row r="2" ht="34" customHeight="1">
      <x:c r="A2" s="15" t="str">
        <x:v>可与救援情境组合，但不将18×8算成144个已建场景；这些条件应影响真实信息、资源与执行结果</x:v>
      </x:c>
      <x:c r="B2" s="15"/>
      <x:c r="C2" s="15"/>
      <x:c r="D2" s="15"/>
    </x:row>
    <x:row r="3">
      <x:c r="A3" s="4"/>
      <x:c r="B3" s="4"/>
      <x:c r="C3" s="4"/>
      <x:c r="D3" s="4"/>
    </x:row>
    <x:row r="4" ht="29" customHeight="1">
      <x:c r="A4" s="23" t="str">
        <x:v>条件ID</x:v>
      </x:c>
      <x:c r="B4" s="23" t="str">
        <x:v>条件</x:v>
      </x:c>
      <x:c r="C4" s="23" t="str">
        <x:v>关联字段</x:v>
      </x:c>
      <x:c r="D4" s="23" t="str">
        <x:v>关联任务</x:v>
      </x:c>
    </x:row>
    <x:row r="5" ht="84" customHeight="1">
      <x:c r="A5" s="30" t="str">
        <x:v>OV01</x:v>
      </x:c>
      <x:c r="B5" s="30" t="str">
        <x:v>视觉不确定/遮挡/照明变化</x:v>
      </x:c>
      <x:c r="C5" s="30" t="str">
        <x:v>hazard.visibility_m
hazard.illumination
human.visibility_context
sensor.exposure</x:v>
      </x:c>
      <x:c r="D5" s="30" t="str">
        <x:v>T011；T016；T017；T072</x:v>
      </x:c>
    </x:row>
    <x:row r="6" ht="84" customHeight="1">
      <x:c r="A6" s="30" t="str">
        <x:v>OV02</x:v>
      </x:c>
      <x:c r="B6" s="30" t="str">
        <x:v>链路稀疏/衰减/丢包</x:v>
      </x:c>
      <x:c r="C6" s="30" t="str">
        <x:v>link.state
link.loss_rate
radio.channel
message.status</x:v>
      </x:c>
      <x:c r="D6" s="30" t="str">
        <x:v>T047；T049；T053；T055</x:v>
      </x:c>
    </x:row>
    <x:row r="7" ht="84" customHeight="1">
      <x:c r="A7" s="30" t="str">
        <x:v>OV03</x:v>
      </x:c>
      <x:c r="B7" s="30" t="str">
        <x:v>分区失联/移动重联</x:v>
      </x:c>
      <x:c r="C7" s="30" t="str">
        <x:v>link.outage_duration_s
cache.location
message.ttl_s</x:v>
      </x:c>
      <x:c r="D7" s="30" t="str">
        <x:v>T048；T054；T056；T085</x:v>
      </x:c>
    </x:row>
    <x:row r="8" ht="84" customHeight="1">
      <x:c r="A8" s="30" t="str">
        <x:v>OV04</x:v>
      </x:c>
      <x:c r="B8" s="30" t="str">
        <x:v>算力不足/排队/服务故障</x:v>
      </x:c>
      <x:c r="C8" s="30" t="str">
        <x:v>compute.availability
compute.queue_ids
compute.memory_used_bytes
service.status</x:v>
      </x:c>
      <x:c r="D8" s="30" t="str">
        <x:v>T060；T061；T062；T065；T066；T092</x:v>
      </x:c>
    </x:row>
    <x:row r="9" ht="84" customHeight="1">
      <x:c r="A9" s="30" t="str">
        <x:v>OV05</x:v>
      </x:c>
      <x:c r="B9" s="30" t="str">
        <x:v>能源/载荷/耗材/库存不足</x:v>
      </x:c>
      <x:c r="C9" s="30" t="str">
        <x:v>platform.battery_remaining_Wh
platform.payload_used_kg
station.inventory
equipment.consumable_remaining</x:v>
      </x:c>
      <x:c r="D9" s="30" t="str">
        <x:v>T038；T042；T043；T044；T045；T094</x:v>
      </x:c>
    </x:row>
    <x:row r="10" ht="84" customHeight="1">
      <x:c r="A10" s="30" t="str">
        <x:v>OV06</x:v>
      </x:c>
      <x:c r="B10" s="30" t="str">
        <x:v>已有任务/截止期/多Agent资源冲突</x:v>
      </x:c>
      <x:c r="C10" s="30" t="str">
        <x:v>task.commitment_window
task.deadline_s
task.interruptibility
assignment.decision</x:v>
      </x:c>
      <x:c r="D10" s="30" t="str">
        <x:v>T079；T080；T081；T083；T084；T085</x:v>
      </x:c>
    </x:row>
    <x:row r="11" ht="84" customHeight="1">
      <x:c r="A11" s="30" t="str">
        <x:v>OV07</x:v>
      </x:c>
      <x:c r="B11" s="30" t="str">
        <x:v>次生危险/重新阻塞/目标移动</x:v>
      </x:c>
      <x:c r="C11" s="30" t="str">
        <x:v>hazard.secondary_event
obstacle.state
road.topology_revision
human.location_context</x:v>
      </x:c>
      <x:c r="D11" s="30" t="str">
        <x:v>T012；T023；T086；T089</x:v>
      </x:c>
    </x:row>
    <x:row r="12" ht="84" customHeight="1">
      <x:c r="A12" s="30" t="str">
        <x:v>OV08</x:v>
      </x:c>
      <x:c r="B12" s="30" t="str">
        <x:v>设备异常/错误证据/版本陈旧</x:v>
      </x:c>
      <x:c r="C12" s="30" t="str">
        <x:v>equipment.health
belief.conflict_state
task.revision
message.correlation_id</x:v>
      </x:c>
      <x:c r="D12" s="30" t="str">
        <x:v>T073；T075；T085；T090；T092</x:v>
      </x:c>
    </x:row>
  </x:sheetData>
  <x:mergeCells>
    <x:mergeCell ref="A1:D1"/>
    <x:mergeCell ref="A2:D2"/>
  </x:mergeCells>
  <x:pageMargins left="0.7" right="0.7" top="0.75" bottom="0.75" header="0.3" footer="0.3"/>
  <x:tableParts count="1">
    <x:tablePart xmlns:r="http://schemas.openxmlformats.org/officeDocument/2006/relationships" r:id="R7c25a3ecc6044387"/>
  </x:tableParts>
</x:worksheet>
</file>

<file path=xl/worksheets/sheet6.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22" hidden="0" customWidth="1"/>
    <x:col min="3" max="3" width="36" hidden="0" customWidth="1"/>
    <x:col min="4" max="4" width="34" hidden="0" customWidth="1"/>
    <x:col min="5" max="5" width="58" hidden="0" customWidth="1"/>
    <x:col min="6" max="6" width="24" hidden="0" customWidth="1"/>
    <x:col min="7" max="7" width="38" hidden="0" customWidth="1"/>
    <x:col min="8" max="8" width="38" hidden="0" customWidth="1"/>
    <x:col min="9" max="9" width="46" hidden="0" customWidth="1"/>
    <x:col min="10" max="10" width="20" hidden="0" customWidth="1"/>
    <x:col min="11" max="11" width="55" hidden="0" customWidth="1"/>
  </x:cols>
  <x:sheetData>
    <x:row r="1" ht="33" customHeight="1">
      <x:c r="A1" s="8" t="str">
        <x:v>96种具体任务：目标、动作、能力和情境</x:v>
      </x:c>
      <x:c r="B1" s="8"/>
      <x:c r="C1" s="8"/>
      <x:c r="D1" s="8"/>
      <x:c r="E1" s="8"/>
      <x:c r="F1" s="8"/>
      <x:c r="G1" s="8"/>
      <x:c r="H1" s="8"/>
      <x:c r="I1" s="8"/>
      <x:c r="J1" s="8"/>
      <x:c r="K1" s="8"/>
    </x:row>
    <x:row r="2" ht="34" customHeight="1">
      <x:c r="A2" s="15" t="str">
        <x:v>任务是期望结果，不是600个配置样本；能力列是跨分支/跨主体的能力集合，不要求一台机器狗拥有全部能力</x:v>
      </x:c>
      <x:c r="B2" s="15"/>
      <x:c r="C2" s="15"/>
      <x:c r="D2" s="15"/>
      <x:c r="E2" s="15"/>
      <x:c r="F2" s="15"/>
      <x:c r="G2" s="15"/>
      <x:c r="H2" s="15"/>
      <x:c r="I2" s="15"/>
      <x:c r="J2" s="15"/>
      <x:c r="K2" s="15"/>
    </x:row>
    <x:row r="3">
      <x:c r="A3" s="4"/>
      <x:c r="B3" s="4"/>
      <x:c r="C3" s="4"/>
      <x:c r="D3" s="4"/>
      <x:c r="E3" s="4"/>
      <x:c r="F3" s="4"/>
      <x:c r="G3" s="4"/>
      <x:c r="H3" s="4"/>
      <x:c r="I3" s="4"/>
      <x:c r="J3" s="4"/>
      <x:c r="K3" s="4"/>
    </x:row>
    <x:row r="4" ht="29" customHeight="1">
      <x:c r="A4" s="23" t="str">
        <x:v>任务ID</x:v>
      </x:c>
      <x:c r="B4" s="23" t="str">
        <x:v>任务组</x:v>
      </x:c>
      <x:c r="C4" s="23" t="str">
        <x:v>任务名称</x:v>
      </x:c>
      <x:c r="D4" s="23" t="str">
        <x:v>启用范围</x:v>
      </x:c>
      <x:c r="E4" s="23" t="str">
        <x:v>完成判据</x:v>
      </x:c>
      <x:c r="F4" s="23" t="str">
        <x:v>参考序列ID</x:v>
      </x:c>
      <x:c r="G4" s="23" t="str">
        <x:v>操作ID</x:v>
      </x:c>
      <x:c r="H4" s="23" t="str">
        <x:v>能力ID（按主体/分支）</x:v>
      </x:c>
      <x:c r="I4" s="23" t="str">
        <x:v>可用情境</x:v>
      </x:c>
      <x:c r="J4" s="23" t="str">
        <x:v>来源ID</x:v>
      </x:c>
      <x:c r="K4" s="23" t="str">
        <x:v>来源URL</x:v>
      </x:c>
    </x:row>
    <x:row r="5" ht="108" customHeight="1">
      <x:c r="A5" s="30" t="str">
        <x:v>T001</x:v>
      </x:c>
      <x:c r="B5" s="30" t="str">
        <x:v>灾情评估</x:v>
      </x:c>
      <x:c r="C5" s="30" t="str">
        <x:v>区域快速普查</x:v>
      </x:c>
      <x:c r="D5" s="30" t="str">
        <x:v>基线：依实际装配启用</x:v>
      </x:c>
      <x:c r="E5" s="30" t="str">
        <x:v>输出带空间覆盖与证据的区域概况，不把未观测处当已评估</x:v>
      </x:c>
      <x:c r="F5" s="30" t="str">
        <x:v>Q001</x:v>
      </x:c>
      <x:c r="G5" s="30" t="str">
        <x:v>A001；A005；A044；A006；A041；A036</x:v>
      </x:c>
      <x:c r="H5" s="30" t="str">
        <x:v>C01；C05；C12；C31；C35；C39；C44；C45</x:v>
      </x:c>
      <x:c r="I5" s="30" t="str">
        <x:v>SC01；SC02；SC03；SC04；SC05；SC06；SC07；SC08；SC09；SC10；SC11；SC12；SC13；SC14；SC15；SC16；SC17；SC18</x:v>
      </x:c>
      <x:c r="J5" s="30" t="str">
        <x:v>S01；S05；S07</x:v>
      </x:c>
      <x:c r="K5" s="30" t="str">
        <x:v>https://insarag.org/wp-content/uploads/2021/06/INSARAG20Guidelines20Vol20II2C20Man20B.pdf
https://4amgodvzx.github.io/ESAR.github.io/
https://github.com/BinaLab/RescueNet-A-High-Resolution-Post-Disaster-UAV-Dataset-for-Semantic-Segmentation</x:v>
      </x:c>
    </x:row>
    <x:row r="6" ht="108" customHeight="1">
      <x:c r="A6" s="30" t="str">
        <x:v>T002</x:v>
      </x:c>
      <x:c r="B6" s="30" t="str">
        <x:v>灾情评估</x:v>
      </x:c>
      <x:c r="C6" s="30" t="str">
        <x:v>建筑外部损毁评估</x:v>
      </x:c>
      <x:c r="D6" s="30" t="str">
        <x:v>基线：依实际装配启用</x:v>
      </x:c>
      <x:c r="E6" s="30" t="str">
        <x:v>提交建筑损毁估计及置信度，和结构安全判断分开</x:v>
      </x:c>
      <x:c r="F6" s="30" t="str">
        <x:v>Q002</x:v>
      </x:c>
      <x:c r="G6" s="30" t="str">
        <x:v>A001；A005；A044；A006；A041；A036</x:v>
      </x:c>
      <x:c r="H6" s="30" t="str">
        <x:v>C01；C05；C12；C31；C35；C39；C44；C45</x:v>
      </x:c>
      <x:c r="I6" s="30" t="str">
        <x:v>SC01；SC02；SC03；SC04；SC06；SC08；SC09</x:v>
      </x:c>
      <x:c r="J6" s="30" t="str">
        <x:v>S01；S07；S09</x:v>
      </x:c>
      <x:c r="K6" s="30" t="str">
        <x:v>https://insarag.org/wp-content/uploads/2021/06/INSARAG20Guidelines20Vol20II2C20Man20B.pdf
https://github.com/BinaLab/RescueNet-A-High-Resolution-Post-Disaster-UAV-Dataset-for-Semantic-Segmentation
https://arxiv.org/abs/1911.09296</x:v>
      </x:c>
    </x:row>
    <x:row r="7" ht="108" customHeight="1">
      <x:c r="A7" s="30" t="str">
        <x:v>T003</x:v>
      </x:c>
      <x:c r="B7" s="30" t="str">
        <x:v>灾情评估</x:v>
      </x:c>
      <x:c r="C7" s="30" t="str">
        <x:v>道路与通路灾后评估</x:v>
      </x:c>
      <x:c r="D7" s="30" t="str">
        <x:v>基线：依实际装配启用</x:v>
      </x:c>
      <x:c r="E7" s="30" t="str">
        <x:v>形成按平台的通行估计/障碍证据</x:v>
      </x:c>
      <x:c r="F7" s="30" t="str">
        <x:v>Q003</x:v>
      </x:c>
      <x:c r="G7" s="30" t="str">
        <x:v>A001；A002；A005；A011；A041；A036</x:v>
      </x:c>
      <x:c r="H7" s="30" t="str">
        <x:v>C01；C02；C05；C09；C14；C31；C39；C44；C45</x:v>
      </x:c>
      <x:c r="I7" s="30" t="str">
        <x:v>SC01；SC02；SC03；SC04；SC06；SC07；SC08；SC09；SC10；SC11；SC12；SC13；SC14；SC15；SC16；SC17；SC18</x:v>
      </x:c>
      <x:c r="J7" s="30" t="str">
        <x:v>S03；S07；S08</x:v>
      </x:c>
      <x:c r="K7" s="30" t="str">
        <x:v>https://roborescue.github.io/rcrs-server/rcrs-server/index.html
https://github.com/BinaLab/RescueNet-A-High-Resolution-Post-Disaster-UAV-Dataset-for-Semantic-Segmentation
https://github.com/BinaLab/FloodNet-Supervised_v1.0</x:v>
      </x:c>
    </x:row>
    <x:row r="8" ht="108" customHeight="1">
      <x:c r="A8" s="30" t="str">
        <x:v>T004</x:v>
      </x:c>
      <x:c r="B8" s="30" t="str">
        <x:v>灾情评估</x:v>
      </x:c>
      <x:c r="C8" s="30" t="str">
        <x:v>入口与屋顶交付区检查</x:v>
      </x:c>
      <x:c r="D8" s="30" t="str">
        <x:v>基线：依实际装配启用</x:v>
      </x:c>
      <x:c r="E8" s="30" t="str">
        <x:v>记录入口/屋顶的可见净空、接近区和不确定性</x:v>
      </x:c>
      <x:c r="F8" s="30" t="str">
        <x:v>Q004</x:v>
      </x:c>
      <x:c r="G8" s="30" t="str">
        <x:v>A001；A002；A005；A011；A041</x:v>
      </x:c>
      <x:c r="H8" s="30" t="str">
        <x:v>C01；C02；C05；C09；C14；C39；C44；C45</x:v>
      </x:c>
      <x:c r="I8" s="30" t="str">
        <x:v>SC01；SC02；SC03；SC04；SC06；SC08；SC09；SC14；SC15；SC16；SC17；SC18</x:v>
      </x:c>
      <x:c r="J8" s="30" t="str">
        <x:v>S01；S02；S24</x:v>
      </x:c>
      <x:c r="K8" s="30" t="str">
        <x:v>https://insarag.org/wp-content/uploads/2021/06/INSARAG20Guidelines20Vol20II2C20Man20B.pdf
https://www.nist.gov/programs-projects/department-homeland-security-response-robot-performance-standards</x:v>
      </x:c>
    </x:row>
    <x:row r="9" ht="108" customHeight="1">
      <x:c r="A9" s="30" t="str">
        <x:v>T005</x:v>
      </x:c>
      <x:c r="B9" s="30" t="str">
        <x:v>灾情评估</x:v>
      </x:c>
      <x:c r="C9" s="30" t="str">
        <x:v>水域边界与涉水条件评估</x:v>
      </x:c>
      <x:c r="D9" s="30" t="str">
        <x:v>基线：依实际装配启用</x:v>
      </x:c>
      <x:c r="E9" s="30" t="str">
        <x:v>报告淹水边界；无深度量测则不伪造水深</x:v>
      </x:c>
      <x:c r="F9" s="30" t="str">
        <x:v>Q005</x:v>
      </x:c>
      <x:c r="G9" s="30" t="str">
        <x:v>A001；A005；A007；A041；A036</x:v>
      </x:c>
      <x:c r="H9" s="30" t="str">
        <x:v>C01；C04；C05；C31；C39；C40；C44；C45</x:v>
      </x:c>
      <x:c r="I9" s="30" t="str">
        <x:v>SC03；SC04；SC05；SC13</x:v>
      </x:c>
      <x:c r="J9" s="30" t="str">
        <x:v>S08；S12；S13</x:v>
      </x:c>
      <x:c r="K9" s="30" t="str">
        <x:v>https://github.com/BinaLab/FloodNet-Supervised_v1.0
https://seadronessee.cs.uni-tuebingen.de/leaderboard
https://arxiv.org/abs/2203.07973</x:v>
      </x:c>
    </x:row>
    <x:row r="10" ht="108" customHeight="1">
      <x:c r="A10" s="30" t="str">
        <x:v>T006</x:v>
      </x:c>
      <x:c r="B10" s="30" t="str">
        <x:v>灾情评估</x:v>
      </x:c>
      <x:c r="C10" s="30" t="str">
        <x:v>火烟与危险源侦察</x:v>
      </x:c>
      <x:c r="D10" s="30" t="str">
        <x:v>基线：依实际装配启用</x:v>
      </x:c>
      <x:c r="E10" s="30" t="str">
        <x:v>报告火烟/气体可测证据与危险区估计</x:v>
      </x:c>
      <x:c r="F10" s="30" t="str">
        <x:v>Q006</x:v>
      </x:c>
      <x:c r="G10" s="30" t="str">
        <x:v>A001；A002；A005；A006；A041；A036</x:v>
      </x:c>
      <x:c r="H10" s="30" t="str">
        <x:v>C01；C02；C05；C10；C12；C31；C35；C39；C44；C45</x:v>
      </x:c>
      <x:c r="I10" s="30" t="str">
        <x:v>SC06；SC07；SC09；SC14；SC15；SC16；SC17；SC18</x:v>
      </x:c>
      <x:c r="J10" s="30" t="str">
        <x:v>S01；S03；S04</x:v>
      </x:c>
      <x:c r="K10" s="30" t="str">
        <x:v>https://insarag.org/wp-content/uploads/2021/06/INSARAG20Guidelines20Vol20II2C20Man20B.pdf
https://roborescue.github.io/rcrs-server/rcrs-server/index.html
https://www.darpa.mil/research/programs/darpa-subterranean-challenge</x:v>
      </x:c>
    </x:row>
    <x:row r="11" ht="108" customHeight="1">
      <x:c r="A11" s="30" t="str">
        <x:v>T007</x:v>
      </x:c>
      <x:c r="B11" s="30" t="str">
        <x:v>灾情评估</x:v>
      </x:c>
      <x:c r="C11" s="30" t="str">
        <x:v>灾前灾后变化与地图更新</x:v>
      </x:c>
      <x:c r="D11" s="30" t="str">
        <x:v>基线：依实际装配启用</x:v>
      </x:c>
      <x:c r="E11" s="30" t="str">
        <x:v>形成变化证据和地图修订，不覆写真值</x:v>
      </x:c>
      <x:c r="F11" s="30" t="str">
        <x:v>Q007</x:v>
      </x:c>
      <x:c r="G11" s="30" t="str">
        <x:v>A038；A005；A044；A006；A040；A041</x:v>
      </x:c>
      <x:c r="H11" s="30" t="str">
        <x:v>C05；C12；C35；C39；C44</x:v>
      </x:c>
      <x:c r="I11" s="30" t="str">
        <x:v>SC01；SC02；SC03；SC04；SC06；SC07；SC08；SC09</x:v>
      </x:c>
      <x:c r="J11" s="30" t="str">
        <x:v>S07；S08；S09</x:v>
      </x:c>
      <x:c r="K11" s="30" t="str">
        <x:v>https://github.com/BinaLab/RescueNet-A-High-Resolution-Post-Disaster-UAV-Dataset-for-Semantic-Segmentation
https://github.com/BinaLab/FloodNet-Supervised_v1.0
https://arxiv.org/abs/1911.09296</x:v>
      </x:c>
    </x:row>
    <x:row r="12" ht="108" customHeight="1">
      <x:c r="A12" s="30" t="str">
        <x:v>T008</x:v>
      </x:c>
      <x:c r="B12" s="30" t="str">
        <x:v>灾情评估</x:v>
      </x:c>
      <x:c r="C12" s="30" t="str">
        <x:v>建筑/区域覆盖登记</x:v>
      </x:c>
      <x:c r="D12" s="30" t="str">
        <x:v>基线：依实际装配启用</x:v>
      </x:c>
      <x:c r="E12" s="30" t="str">
        <x:v>登记实际评估/搜索范围及未覆盖部分</x:v>
      </x:c>
      <x:c r="F12" s="30" t="str">
        <x:v>Q008</x:v>
      </x:c>
      <x:c r="G12" s="30" t="str">
        <x:v>A038；A010；A054；A036</x:v>
      </x:c>
      <x:c r="H12" s="30" t="str">
        <x:v>C31；C39；C43</x:v>
      </x:c>
      <x:c r="I12" s="30" t="str">
        <x:v>SC01；SC02；SC03；SC04；SC06；SC07；SC08；SC09；SC10；SC11；SC12；SC13；SC14；SC15；SC16；SC17；SC18</x:v>
      </x:c>
      <x:c r="J12" s="30" t="str">
        <x:v>S01；S24</x:v>
      </x:c>
      <x:c r="K12" s="30" t="str">
        <x:v>https://insarag.org/wp-content/uploads/2021/06/INSARAG20Guidelines20Vol20II2C20Man20B.pdf</x:v>
      </x:c>
    </x:row>
    <x:row r="13" ht="108" customHeight="1">
      <x:c r="A13" s="30" t="str">
        <x:v>T009</x:v>
      </x:c>
      <x:c r="B13" s="30" t="str">
        <x:v>搜索与定位</x:v>
      </x:c>
      <x:c r="C13" s="30" t="str">
        <x:v>系统空中人员搜索</x:v>
      </x:c>
      <x:c r="D13" s="30" t="str">
        <x:v>基线：依实际装配启用</x:v>
      </x:c>
      <x:c r="E13" s="30" t="str">
        <x:v>在给定预算搜索人员并报告候选，未检出保留不确定</x:v>
      </x:c>
      <x:c r="F13" s="30" t="str">
        <x:v>Q009</x:v>
      </x:c>
      <x:c r="G13" s="30" t="str">
        <x:v>A001；A005；A044；A006；A007；A041；A036</x:v>
      </x:c>
      <x:c r="H13" s="30" t="str">
        <x:v>C01；C04；C05；C12；C31；C35；C39；C40；C44；C45</x:v>
      </x:c>
      <x:c r="I13" s="30" t="str">
        <x:v>SC01；SC02；SC03；SC04；SC05；SC06；SC07；SC08；SC09；SC10；SC11；SC12；SC13；SC14；SC15；SC16；SC17；SC18</x:v>
      </x:c>
      <x:c r="J13" s="30" t="str">
        <x:v>S04；S05；S11</x:v>
      </x:c>
      <x:c r="K13" s="30" t="str">
        <x:v>https://www.darpa.mil/research/programs/darpa-subterranean-challenge
https://4amgodvzx.github.io/ESAR.github.io/
https://arxiv.org/abs/2309.09518</x:v>
      </x:c>
    </x:row>
    <x:row r="14" ht="108" customHeight="1">
      <x:c r="A14" s="30" t="str">
        <x:v>T010</x:v>
      </x:c>
      <x:c r="B14" s="30" t="str">
        <x:v>搜索与定位</x:v>
      </x:c>
      <x:c r="C14" s="30" t="str">
        <x:v>线索发现与语义解读</x:v>
      </x:c>
      <x:c r="D14" s="30" t="str">
        <x:v>基线：依实际装配启用</x:v>
      </x:c>
      <x:c r="E14" s="30" t="str">
        <x:v>记录物品线索位置及关联推断，不直接得知其真实主人</x:v>
      </x:c>
      <x:c r="F14" s="30" t="str">
        <x:v>Q010</x:v>
      </x:c>
      <x:c r="G14" s="30" t="str">
        <x:v>A001；A002；A005；A006；A038；A041</x:v>
      </x:c>
      <x:c r="H14" s="30" t="str">
        <x:v>C01；C02；C05；C12；C35；C39；C44；C45</x:v>
      </x:c>
      <x:c r="I14" s="30" t="str">
        <x:v>SC01；SC02；SC03；SC04；SC05；SC06；SC07；SC08；SC09；SC10；SC11；SC12；SC13；SC14；SC15；SC16；SC17；SC18</x:v>
      </x:c>
      <x:c r="J14" s="30" t="str">
        <x:v>S04；S05；S26</x:v>
      </x:c>
      <x:c r="K14" s="30" t="str">
        <x:v>https://www.darpa.mil/research/programs/darpa-subterranean-challenge
https://4amgodvzx.github.io/ESAR.github.io/
https://raw.githubusercontent.com/4amGodvzx/ESAR/main/data/cue_list.json</x:v>
      </x:c>
    </x:row>
    <x:row r="15" ht="108" customHeight="1">
      <x:c r="A15" s="30" t="str">
        <x:v>T011</x:v>
      </x:c>
      <x:c r="B15" s="30" t="str">
        <x:v>搜索与定位</x:v>
      </x:c>
      <x:c r="C15" s="30" t="str">
        <x:v>疑似目标多视角复核</x:v>
      </x:c>
      <x:c r="D15" s="30" t="str">
        <x:v>基线：依实际装配启用</x:v>
      </x:c>
      <x:c r="E15" s="30" t="str">
        <x:v>给出确认/排除/仍不确定和对应新证据</x:v>
      </x:c>
      <x:c r="F15" s="30" t="str">
        <x:v>Q011；Q097</x:v>
      </x:c>
      <x:c r="G15" s="30" t="str">
        <x:v>A001；A002；A005；A006；A040；A041；A036</x:v>
      </x:c>
      <x:c r="H15" s="30" t="str">
        <x:v>C01；C02；C05；C12；C31；C35；C39；C44；C45</x:v>
      </x:c>
      <x:c r="I15" s="30" t="str">
        <x:v>SC01；SC02；SC03；SC04；SC05；SC06；SC07；SC08；SC09；SC10；SC11；SC12；SC13；SC14；SC15；SC16；SC17；SC18</x:v>
      </x:c>
      <x:c r="J15" s="30" t="str">
        <x:v>S05；S11；S24</x:v>
      </x:c>
      <x:c r="K15" s="30" t="str">
        <x:v>https://4amgodvzx.github.io/ESAR.github.io/
https://arxiv.org/abs/2309.09518</x:v>
      </x:c>
    </x:row>
    <x:row r="16" ht="108" customHeight="1">
      <x:c r="A16" s="30" t="str">
        <x:v>T012</x:v>
      </x:c>
      <x:c r="B16" s="30" t="str">
        <x:v>搜索与定位</x:v>
      </x:c>
      <x:c r="C16" s="30" t="str">
        <x:v>目标定位跟踪与跨视角关联</x:v>
      </x:c>
      <x:c r="D16" s="30" t="str">
        <x:v>基线：依实际装配启用</x:v>
      </x:c>
      <x:c r="E16" s="30" t="str">
        <x:v>得到带误差的轨迹/位置，去重而不读取真值ID</x:v>
      </x:c>
      <x:c r="F16" s="30" t="str">
        <x:v>Q012</x:v>
      </x:c>
      <x:c r="G16" s="30" t="str">
        <x:v>A005；A007；A040；A041；A036</x:v>
      </x:c>
      <x:c r="H16" s="30" t="str">
        <x:v>C04；C05；C31；C35；C39；C40；C44</x:v>
      </x:c>
      <x:c r="I16" s="30" t="str">
        <x:v>SC01；SC02；SC03；SC04；SC05；SC06；SC07；SC08；SC09；SC10；SC11；SC12；SC13；SC14；SC15；SC16；SC17；SC18</x:v>
      </x:c>
      <x:c r="J16" s="30" t="str">
        <x:v>S04；S05；S11</x:v>
      </x:c>
      <x:c r="K16" s="30" t="str">
        <x:v>https://www.darpa.mil/research/programs/darpa-subterranean-challenge
https://4amgodvzx.github.io/ESAR.github.io/
https://arxiv.org/abs/2309.09518</x:v>
      </x:c>
    </x:row>
    <x:row r="17" ht="108" customHeight="1">
      <x:c r="A17" s="30" t="str">
        <x:v>T013</x:v>
      </x:c>
      <x:c r="B17" s="30" t="str">
        <x:v>搜索与定位</x:v>
      </x:c>
      <x:c r="C17" s="30" t="str">
        <x:v>近地外部与狭窄区搜索</x:v>
      </x:c>
      <x:c r="D17" s="30" t="str">
        <x:v>基线：依实际装配启用</x:v>
      </x:c>
      <x:c r="E17" s="30" t="str">
        <x:v>完成可达外部空间的实际感知，不假定所有缝隙可进</x:v>
      </x:c>
      <x:c r="F17" s="30" t="str">
        <x:v>Q013</x:v>
      </x:c>
      <x:c r="G17" s="30" t="str">
        <x:v>A002；A011；A005；A006；A007；A041</x:v>
      </x:c>
      <x:c r="H17" s="30" t="str">
        <x:v>C02；C04；C05；C09；C12；C14；C35；C39；C40；C44</x:v>
      </x:c>
      <x:c r="I17" s="30" t="str">
        <x:v>SC01；SC02；SC03；SC04；SC06；SC07；SC08；SC09；SC10；SC11；SC12；SC13；SC14；SC15；SC16；SC17；SC18</x:v>
      </x:c>
      <x:c r="J17" s="30" t="str">
        <x:v>S01；S02；S04</x:v>
      </x:c>
      <x:c r="K17" s="30" t="str">
        <x:v>https://insarag.org/wp-content/uploads/2021/06/INSARAG20Guidelines20Vol20II2C20Man20B.pdf
https://www.nist.gov/programs-projects/department-homeland-security-response-robot-performance-standards
https://www.darpa.mil/research/programs/darpa-subterranean-challenge</x:v>
      </x:c>
    </x:row>
    <x:row r="18" ht="108" customHeight="1">
      <x:c r="A18" s="30" t="str">
        <x:v>T014</x:v>
      </x:c>
      <x:c r="B18" s="30" t="str">
        <x:v>搜索与定位</x:v>
      </x:c>
      <x:c r="C18" s="30" t="str">
        <x:v>建筑内部初次抽象搜索</x:v>
      </x:c>
      <x:c r="D18" s="30" t="str">
        <x:v>基线：依实际装配启用</x:v>
      </x:c>
      <x:c r="E18" s="30" t="str">
        <x:v>完成约定覆盖/耗时并产出本地报告；不自动解救</x:v>
      </x:c>
      <x:c r="F18" s="30" t="str">
        <x:v>Q014；Q099；Q110</x:v>
      </x:c>
      <x:c r="G18" s="30" t="str">
        <x:v>A002；A008；A041；A036；A054</x:v>
      </x:c>
      <x:c r="H18" s="30" t="str">
        <x:v>C02；C15；C31；C39；C43；C44</x:v>
      </x:c>
      <x:c r="I18" s="30" t="str">
        <x:v>SC01；SC02；SC03；SC04；SC06；SC08；SC09；SC14；SC15；SC16；SC17；SC18</x:v>
      </x:c>
      <x:c r="J18" s="30" t="str">
        <x:v>S01；S24</x:v>
      </x:c>
      <x:c r="K18" s="30" t="str">
        <x:v>https://insarag.org/wp-content/uploads/2021/06/INSARAG20Guidelines20Vol20II2C20Man20B.pdf</x:v>
      </x:c>
    </x:row>
    <x:row r="19" ht="108" customHeight="1">
      <x:c r="A19" s="30" t="str">
        <x:v>T015</x:v>
      </x:c>
      <x:c r="B19" s="30" t="str">
        <x:v>搜索与定位</x:v>
      </x:c>
      <x:c r="C19" s="30" t="str">
        <x:v>建筑内部复搜/完整搜索</x:v>
      </x:c>
      <x:c r="D19" s="30" t="str">
        <x:v>基线：依实际装配启用</x:v>
      </x:c>
      <x:c r="E19" s="30" t="str">
        <x:v>补足上次未覆盖区域，允许仍不确定或受阻</x:v>
      </x:c>
      <x:c r="F19" s="30" t="str">
        <x:v>Q015；Q110</x:v>
      </x:c>
      <x:c r="G19" s="30" t="str">
        <x:v>A038；A002；A008；A010；A041；A036</x:v>
      </x:c>
      <x:c r="H19" s="30" t="str">
        <x:v>C02；C15；C31；C39；C43；C44</x:v>
      </x:c>
      <x:c r="I19" s="30" t="str">
        <x:v>SC01；SC02；SC03；SC04；SC06；SC08；SC09；SC14；SC15；SC16；SC17；SC18</x:v>
      </x:c>
      <x:c r="J19" s="30" t="str">
        <x:v>S01；S24</x:v>
      </x:c>
      <x:c r="K19" s="30" t="str">
        <x:v>https://insarag.org/wp-content/uploads/2021/06/INSARAG20Guidelines20Vol20II2C20Man20B.pdf</x:v>
      </x:c>
    </x:row>
    <x:row r="20" ht="108" customHeight="1">
      <x:c r="A20" s="30" t="str">
        <x:v>T016</x:v>
      </x:c>
      <x:c r="B20" s="30" t="str">
        <x:v>搜索与定位</x:v>
      </x:c>
      <x:c r="C20" s="30" t="str">
        <x:v>热成像补充搜索</x:v>
      </x:c>
      <x:c r="D20" s="30" t="str">
        <x:v>条件扩展：明确设备/专业服务后启用</x:v>
      </x:c>
      <x:c r="E20" s="30" t="str">
        <x:v>使用真实可用热像或明确热像模型发现线索，不透墙</x:v>
      </x:c>
      <x:c r="F20" s="30" t="str">
        <x:v>Q016</x:v>
      </x:c>
      <x:c r="G20" s="30" t="str">
        <x:v>A001；A002；A005；A044；A006；A007；A041</x:v>
      </x:c>
      <x:c r="H20" s="30" t="str">
        <x:v>C01；C02；C04；C05；C06；C12；C35；C39；C40；C44；C45</x:v>
      </x:c>
      <x:c r="I20" s="30" t="str">
        <x:v>SC05；SC06；SC07；SC08；SC09；SC10；SC11；SC12；SC13；SC14；SC15；SC16；SC17；SC18</x:v>
      </x:c>
      <x:c r="J20" s="30" t="str">
        <x:v>S02；S25</x:v>
      </x:c>
      <x:c r="K20" s="30" t="str">
        <x:v>https://www.nist.gov/programs-projects/department-homeland-security-response-robot-performance-standards</x:v>
      </x:c>
    </x:row>
    <x:row r="21" ht="108" customHeight="1">
      <x:c r="A21" s="30" t="str">
        <x:v>T017</x:v>
      </x:c>
      <x:c r="B21" s="30" t="str">
        <x:v>搜索与定位</x:v>
      </x:c>
      <x:c r="C21" s="30" t="str">
        <x:v>声音线索搜索</x:v>
      </x:c>
      <x:c r="D21" s="30" t="str">
        <x:v>条件扩展：明确设备/专业服务后启用</x:v>
      </x:c>
      <x:c r="E21" s="30" t="str">
        <x:v>通过声学观测给出方向/位置不确定性</x:v>
      </x:c>
      <x:c r="F21" s="30" t="str">
        <x:v>Q017</x:v>
      </x:c>
      <x:c r="G21" s="30" t="str">
        <x:v>A002；A005；A044；A006；A007；A041</x:v>
      </x:c>
      <x:c r="H21" s="30" t="str">
        <x:v>C02；C04；C05；C07；C12；C35；C39；C40；C44</x:v>
      </x:c>
      <x:c r="I21" s="30" t="str">
        <x:v>SC06；SC07；SC08；SC09；SC10；SC11；SC12；SC13；SC14；SC15；SC16；SC17；SC18</x:v>
      </x:c>
      <x:c r="J21" s="30" t="str">
        <x:v>S01；S02</x:v>
      </x:c>
      <x:c r="K21" s="30" t="str">
        <x:v>https://insarag.org/wp-content/uploads/2021/06/INSARAG20Guidelines20Vol20II2C20Man20B.pdf
https://www.nist.gov/programs-projects/department-homeland-security-response-robot-performance-standards</x:v>
      </x:c>
    </x:row>
    <x:row r="22" ht="108" customHeight="1">
      <x:c r="A22" s="30" t="str">
        <x:v>T018</x:v>
      </x:c>
      <x:c r="B22" s="30" t="str">
        <x:v>搜索与定位</x:v>
      </x:c>
      <x:c r="C22" s="30" t="str">
        <x:v>RF/手机线索搜索</x:v>
      </x:c>
      <x:c r="D22" s="30" t="str">
        <x:v>条件扩展：明确设备/专业服务后启用</x:v>
      </x:c>
      <x:c r="E22" s="30" t="str">
        <x:v>在已声明设备协议与授权条件下定位信号线索</x:v>
      </x:c>
      <x:c r="F22" s="30" t="str">
        <x:v>Q018</x:v>
      </x:c>
      <x:c r="G22" s="30" t="str">
        <x:v>A001；A002；A005；A044；A006；A007；A041</x:v>
      </x:c>
      <x:c r="H22" s="30" t="str">
        <x:v>C01；C02；C04；C05；C08；C12；C35；C39；C40；C44；C45</x:v>
      </x:c>
      <x:c r="I22" s="30" t="str">
        <x:v>SC07；SC08；SC09；SC10；SC11；SC12；SC13；SC14；SC15；SC16；SC17；SC18</x:v>
      </x:c>
      <x:c r="J22" s="30" t="str">
        <x:v>S02；S04</x:v>
      </x:c>
      <x:c r="K22" s="30" t="str">
        <x:v>https://www.nist.gov/programs-projects/department-homeland-security-response-robot-performance-standards
https://www.darpa.mil/research/programs/darpa-subterranean-challenge</x:v>
      </x:c>
    </x:row>
    <x:row r="23" ht="108" customHeight="1">
      <x:c r="A23" s="30" t="str">
        <x:v>T019</x:v>
      </x:c>
      <x:c r="B23" s="30" t="str">
        <x:v>通行与工程</x:v>
      </x:c>
      <x:c r="C23" s="30" t="str">
        <x:v>空中转场与观察点到达</x:v>
      </x:c>
      <x:c r="D23" s="30" t="str">
        <x:v>基线：依实际装配启用</x:v>
      </x:c>
      <x:c r="E23" s="30" t="str">
        <x:v>实际到达合法观察/中继点并确认位姿</x:v>
      </x:c>
      <x:c r="F23" s="30" t="str">
        <x:v>Q019</x:v>
      </x:c>
      <x:c r="G23" s="30" t="str">
        <x:v>A066；A001；A004；A054</x:v>
      </x:c>
      <x:c r="H23" s="30" t="str">
        <x:v>C01；C14；C35；C43；C45</x:v>
      </x:c>
      <x:c r="I23" s="30" t="str">
        <x:v>SC01；SC02；SC03；SC04；SC05；SC06；SC07；SC08；SC09；SC10；SC11；SC12；SC13；SC14；SC15；SC16；SC17；SC18</x:v>
      </x:c>
      <x:c r="J23" s="30" t="str">
        <x:v>S02；S05；S16</x:v>
      </x:c>
      <x:c r="K23" s="30" t="str">
        <x:v>https://www.nist.gov/programs-projects/department-homeland-security-response-robot-performance-standards
https://4amgodvzx.github.io/ESAR.github.io/
https://github.com/AirVLN/AirVLN</x:v>
      </x:c>
    </x:row>
    <x:row r="24" ht="108" customHeight="1">
      <x:c r="A24" s="30" t="str">
        <x:v>T020</x:v>
      </x:c>
      <x:c r="B24" s="30" t="str">
        <x:v>通行与工程</x:v>
      </x:c>
      <x:c r="C24" s="30" t="str">
        <x:v>地面转场与绕行</x:v>
      </x:c>
      <x:c r="D24" s="30" t="str">
        <x:v>基线：依实际装配启用</x:v>
      </x:c>
      <x:c r="E24" s="30" t="str">
        <x:v>按可通行路线到达目标，失败反馈阻碍</x:v>
      </x:c>
      <x:c r="F24" s="30" t="str">
        <x:v>Q020；Q098</x:v>
      </x:c>
      <x:c r="G24" s="30" t="str">
        <x:v>A011；A066；A002；A054</x:v>
      </x:c>
      <x:c r="H24" s="30" t="str">
        <x:v>C02；C09；C14；C35；C43</x:v>
      </x:c>
      <x:c r="I24" s="30" t="str">
        <x:v>SC01；SC02；SC03；SC04；SC05；SC06；SC07；SC08；SC09；SC10；SC11；SC12；SC13；SC14；SC15；SC16；SC17；SC18</x:v>
      </x:c>
      <x:c r="J24" s="30" t="str">
        <x:v>S02；S03</x:v>
      </x:c>
      <x:c r="K24" s="30" t="str">
        <x:v>https://www.nist.gov/programs-projects/department-homeland-security-response-robot-performance-standards
https://roborescue.github.io/rcrs-server/rcrs-server/index.html</x:v>
      </x:c>
    </x:row>
    <x:row r="25" ht="108" customHeight="1">
      <x:c r="A25" s="30" t="str">
        <x:v>T021</x:v>
      </x:c>
      <x:c r="B25" s="30" t="str">
        <x:v>通行与工程</x:v>
      </x:c>
      <x:c r="C25" s="30" t="str">
        <x:v>障碍接近探测与路径验证</x:v>
      </x:c>
      <x:c r="D25" s="30" t="str">
        <x:v>基线：依实际装配启用</x:v>
      </x:c>
      <x:c r="E25" s="30" t="str">
        <x:v>获取局部净空/阻碍证据，不能远程查询隐蔽通行答案</x:v>
      </x:c>
      <x:c r="F25" s="30" t="str">
        <x:v>Q021；Q098</x:v>
      </x:c>
      <x:c r="G25" s="30" t="str">
        <x:v>A002；A011；A041；A036</x:v>
      </x:c>
      <x:c r="H25" s="30" t="str">
        <x:v>C02；C09；C14；C31；C39；C44</x:v>
      </x:c>
      <x:c r="I25" s="30" t="str">
        <x:v>SC01；SC02；SC03；SC04；SC05；SC06；SC07；SC08；SC09；SC10；SC11；SC12；SC13；SC14；SC15；SC16；SC17；SC18</x:v>
      </x:c>
      <x:c r="J25" s="30" t="str">
        <x:v>S02；S03</x:v>
      </x:c>
      <x:c r="K25" s="30" t="str">
        <x:v>https://www.nist.gov/programs-projects/department-homeland-security-response-robot-performance-standards
https://roborescue.github.io/rcrs-server/rcrs-server/index.html</x:v>
      </x:c>
    </x:row>
    <x:row r="26" ht="108" customHeight="1">
      <x:c r="A26" s="30" t="str">
        <x:v>T022</x:v>
      </x:c>
      <x:c r="B26" s="30" t="str">
        <x:v>通行与工程</x:v>
      </x:c>
      <x:c r="C26" s="30" t="str">
        <x:v>轻型残骸移除</x:v>
      </x:c>
      <x:c r="D26" s="30" t="str">
        <x:v>条件扩展：明确设备/专业服务后启用</x:v>
      </x:c>
      <x:c r="E26" s="30" t="str">
        <x:v>在装备额定范围内移走轻障碍并验证通路变化</x:v>
      </x:c>
      <x:c r="F26" s="30" t="str">
        <x:v>Q022；Q100</x:v>
      </x:c>
      <x:c r="G26" s="30" t="str">
        <x:v>A002；A011；A012；A054</x:v>
      </x:c>
      <x:c r="H26" s="30" t="str">
        <x:v>C02；C09；C14；C16；C43</x:v>
      </x:c>
      <x:c r="I26" s="30" t="str">
        <x:v>SC01；SC02；SC03；SC04；SC06；SC07；SC08；SC09；SC10；SC11；SC12；SC13；SC14；SC15；SC16；SC17</x:v>
      </x:c>
      <x:c r="J26" s="30" t="str">
        <x:v>S01；S02</x:v>
      </x:c>
      <x:c r="K26" s="30" t="str">
        <x:v>https://insarag.org/wp-content/uploads/2021/06/INSARAG20Guidelines20Vol20II2C20Man20B.pdf
https://www.nist.gov/programs-projects/department-homeland-security-response-robot-performance-standards</x:v>
      </x:c>
    </x:row>
    <x:row r="27" ht="108" customHeight="1">
      <x:c r="A27" s="30" t="str">
        <x:v>T023</x:v>
      </x:c>
      <x:c r="B27" s="30" t="str">
        <x:v>通行与工程</x:v>
      </x:c>
      <x:c r="C27" s="30" t="str">
        <x:v>重型道路清障</x:v>
      </x:c>
      <x:c r="D27" s="30" t="str">
        <x:v>条件扩展：明确设备/专业服务后启用</x:v>
      </x:c>
      <x:c r="E27" s="30" t="str">
        <x:v>工程主体完成清运，真实残骸/道路状态改变</x:v>
      </x:c>
      <x:c r="F27" s="30" t="str">
        <x:v>Q023；Q099</x:v>
      </x:c>
      <x:c r="G27" s="30" t="str">
        <x:v>A059；A013；A011；A054；A036</x:v>
      </x:c>
      <x:c r="H27" s="30" t="str">
        <x:v>C09；C14；C17；C31；C43；C46</x:v>
      </x:c>
      <x:c r="I27" s="30" t="str">
        <x:v>SC01；SC02；SC03；SC04；SC06；SC07；SC08；SC09；SC14；SC15；SC16；SC17</x:v>
      </x:c>
      <x:c r="J27" s="30" t="str">
        <x:v>S01；S03</x:v>
      </x:c>
      <x:c r="K27" s="30" t="str">
        <x:v>https://insarag.org/wp-content/uploads/2021/06/INSARAG20Guidelines20Vol20II2C20Man20B.pdf
https://roborescue.github.io/rcrs-server/rcrs-server/index.html</x:v>
      </x:c>
    </x:row>
    <x:row r="28" ht="108" customHeight="1">
      <x:c r="A28" s="30" t="str">
        <x:v>T024</x:v>
      </x:c>
      <x:c r="B28" s="30" t="str">
        <x:v>通行与工程</x:v>
      </x:c>
      <x:c r="C28" s="30" t="str">
        <x:v>入口开辟与局部破拆</x:v>
      </x:c>
      <x:c r="D28" s="30" t="str">
        <x:v>条件扩展：明确设备/专业服务后启用</x:v>
      </x:c>
      <x:c r="E28" s="30" t="str">
        <x:v>获得可用入口/缺口，保持安全与结构限制</x:v>
      </x:c>
      <x:c r="F28" s="30" t="str">
        <x:v>Q024</x:v>
      </x:c>
      <x:c r="G28" s="30" t="str">
        <x:v>A059；A014；A011；A054</x:v>
      </x:c>
      <x:c r="H28" s="30" t="str">
        <x:v>C09；C14；C18；C31；C43；C46</x:v>
      </x:c>
      <x:c r="I28" s="30" t="str">
        <x:v>SC01；SC02；SC06；SC08；SC09；SC14；SC15；SC16；SC17</x:v>
      </x:c>
      <x:c r="J28" s="30" t="str">
        <x:v>S01</x:v>
      </x:c>
      <x:c r="K28" s="30" t="str">
        <x:v>https://insarag.org/wp-content/uploads/2021/06/INSARAG20Guidelines20Vol20II2C20Man20B.pdf</x:v>
      </x:c>
    </x:row>
    <x:row r="29" ht="108" customHeight="1">
      <x:c r="A29" s="30" t="str">
        <x:v>T025</x:v>
      </x:c>
      <x:c r="B29" s="30" t="str">
        <x:v>通行与工程</x:v>
      </x:c>
      <x:c r="C29" s="30" t="str">
        <x:v>危险结构临时支撑</x:v>
      </x:c>
      <x:c r="D29" s="30" t="str">
        <x:v>条件扩展：明确设备/专业服务后启用</x:v>
      </x:c>
      <x:c r="E29" s="30" t="str">
        <x:v>登记实际支撑区域/剩余危险，不宣称全楼安全</x:v>
      </x:c>
      <x:c r="F29" s="30" t="str">
        <x:v>Q025</x:v>
      </x:c>
      <x:c r="G29" s="30" t="str">
        <x:v>A059；A015；A054；A036</x:v>
      </x:c>
      <x:c r="H29" s="30" t="str">
        <x:v>C19；C31；C43；C46</x:v>
      </x:c>
      <x:c r="I29" s="30" t="str">
        <x:v>SC01；SC06；SC08；SC09；SC14；SC15；SC16；SC17</x:v>
      </x:c>
      <x:c r="J29" s="30" t="str">
        <x:v>S01</x:v>
      </x:c>
      <x:c r="K29" s="30" t="str">
        <x:v>https://insarag.org/wp-content/uploads/2021/06/INSARAG20Guidelines20Vol20II2C20Man20B.pdf</x:v>
      </x:c>
    </x:row>
    <x:row r="30" ht="108" customHeight="1">
      <x:c r="A30" s="30" t="str">
        <x:v>T026</x:v>
      </x:c>
      <x:c r="B30" s="30" t="str">
        <x:v>通行与工程</x:v>
      </x:c>
      <x:c r="C30" s="30" t="str">
        <x:v>吊升/移置大块障碍</x:v>
      </x:c>
      <x:c r="D30" s="30" t="str">
        <x:v>条件扩展：明确设备/专业服务后启用</x:v>
      </x:c>
      <x:c r="E30" s="30" t="str">
        <x:v>大障碍移置到合法区域，净空/遮挡重新计算</x:v>
      </x:c>
      <x:c r="F30" s="30" t="str">
        <x:v>Q026</x:v>
      </x:c>
      <x:c r="G30" s="30" t="str">
        <x:v>A059；A016；A011；A054</x:v>
      </x:c>
      <x:c r="H30" s="30" t="str">
        <x:v>C09；C14；C20；C31；C43；C46</x:v>
      </x:c>
      <x:c r="I30" s="30" t="str">
        <x:v>SC01；SC02；SC06；SC08；SC09；SC14；SC15；SC16；SC17</x:v>
      </x:c>
      <x:c r="J30" s="30" t="str">
        <x:v>S01；S02</x:v>
      </x:c>
      <x:c r="K30" s="30" t="str">
        <x:v>https://insarag.org/wp-content/uploads/2021/06/INSARAG20Guidelines20Vol20II2C20Man20B.pdf
https://www.nist.gov/programs-projects/department-homeland-security-response-robot-performance-standards</x:v>
      </x:c>
    </x:row>
    <x:row r="31" ht="108" customHeight="1">
      <x:c r="A31" s="30" t="str">
        <x:v>T027</x:v>
      </x:c>
      <x:c r="B31" s="30" t="str">
        <x:v>人员支援</x:v>
      </x:c>
      <x:c r="C31" s="30" t="str">
        <x:v>建立联系并确认需求</x:v>
      </x:c>
      <x:c r="D31" s="30" t="str">
        <x:v>基线：依实际装配启用</x:v>
      </x:c>
      <x:c r="E31" s="30" t="str">
        <x:v>获有效人员响应/需求；无响应留unknown</x:v>
      </x:c>
      <x:c r="F31" s="30" t="str">
        <x:v>Q027</x:v>
      </x:c>
      <x:c r="G31" s="30" t="str">
        <x:v>A001；A002；A009；A041；A036</x:v>
      </x:c>
      <x:c r="H31" s="30" t="str">
        <x:v>C01；C02；C11；C31；C39；C44；C45</x:v>
      </x:c>
      <x:c r="I31" s="30" t="str">
        <x:v>SC01；SC02；SC03；SC04；SC05；SC06；SC07；SC08；SC09；SC10；SC11；SC12；SC13；SC14；SC15；SC16；SC17；SC18</x:v>
      </x:c>
      <x:c r="J31" s="30" t="str">
        <x:v>S01；S24</x:v>
      </x:c>
      <x:c r="K31" s="30" t="str">
        <x:v>https://insarag.org/wp-content/uploads/2021/06/INSARAG20Guidelines20Vol20II2C20Man20B.pdf</x:v>
      </x:c>
    </x:row>
    <x:row r="32" ht="108" customHeight="1">
      <x:c r="A32" s="30" t="str">
        <x:v>T028</x:v>
      </x:c>
      <x:c r="B32" s="30" t="str">
        <x:v>人员支援</x:v>
      </x:c>
      <x:c r="C32" s="30" t="str">
        <x:v>安全警示与避险引导</x:v>
      </x:c>
      <x:c r="D32" s="30" t="str">
        <x:v>基线：依实际装配启用</x:v>
      </x:c>
      <x:c r="E32" s="30" t="str">
        <x:v>观察/确认人员响应和安全去向，不以播报即完成</x:v>
      </x:c>
      <x:c r="F32" s="30" t="str">
        <x:v>Q028</x:v>
      </x:c>
      <x:c r="G32" s="30" t="str">
        <x:v>A009；A002；A054；A036</x:v>
      </x:c>
      <x:c r="H32" s="30" t="str">
        <x:v>C02；C11；C31；C43</x:v>
      </x:c>
      <x:c r="I32" s="30" t="str">
        <x:v>SC01；SC02；SC03；SC04；SC05；SC06；SC07；SC08；SC09；SC10；SC11；SC12；SC13；SC14；SC15；SC16；SC17；SC18</x:v>
      </x:c>
      <x:c r="J32" s="30" t="str">
        <x:v>S01；S24</x:v>
      </x:c>
      <x:c r="K32" s="30" t="str">
        <x:v>https://insarag.org/wp-content/uploads/2021/06/INSARAG20Guidelines20Vol20II2C20Man20B.pdf</x:v>
      </x:c>
    </x:row>
    <x:row r="33" ht="108" customHeight="1">
      <x:c r="A33" s="30" t="str">
        <x:v>T029</x:v>
      </x:c>
      <x:c r="B33" s="30" t="str">
        <x:v>人员支援</x:v>
      </x:c>
      <x:c r="C33" s="30" t="str">
        <x:v>专业伤员评估与分级</x:v>
      </x:c>
      <x:c r="D33" s="30" t="str">
        <x:v>条件扩展：明确设备/专业服务后启用</x:v>
      </x:c>
      <x:c r="E33" s="30" t="str">
        <x:v>授权服务形成评估记录；区分模型化与实测</x:v>
      </x:c>
      <x:c r="F33" s="30" t="str">
        <x:v>Q029</x:v>
      </x:c>
      <x:c r="G33" s="30" t="str">
        <x:v>A059；A018；A036；A054</x:v>
      </x:c>
      <x:c r="H33" s="30" t="str">
        <x:v>C21；C31；C43；C46</x:v>
      </x:c>
      <x:c r="I33" s="30" t="str">
        <x:v>SC01；SC02；SC03；SC04；SC05；SC06；SC07；SC08；SC09；SC10；SC11；SC12；SC13；SC14；SC15；SC16；SC17；SC18</x:v>
      </x:c>
      <x:c r="J33" s="30" t="str">
        <x:v>S01</x:v>
      </x:c>
      <x:c r="K33" s="30" t="str">
        <x:v>https://insarag.org/wp-content/uploads/2021/06/INSARAG20Guidelines20Vol20II2C20Man20B.pdf</x:v>
      </x:c>
    </x:row>
    <x:row r="34" ht="108" customHeight="1">
      <x:c r="A34" s="30" t="str">
        <x:v>T030</x:v>
      </x:c>
      <x:c r="B34" s="30" t="str">
        <x:v>人员支援</x:v>
      </x:c>
      <x:c r="C34" s="30" t="str">
        <x:v>人员基础物资支援</x:v>
      </x:c>
      <x:c r="D34" s="30" t="str">
        <x:v>基线：依实际装配启用</x:v>
      </x:c>
      <x:c r="E34" s="30" t="str">
        <x:v>匹配需求的物资实际领取/签收，不自动治愈</x:v>
      </x:c>
      <x:c r="F34" s="30" t="str">
        <x:v>Q030；Q101</x:v>
      </x:c>
      <x:c r="G34" s="30" t="str">
        <x:v>A024；A001；A002；A025；A026；A027；A036</x:v>
      </x:c>
      <x:c r="H34" s="30" t="str">
        <x:v>C01；C02；C05；C24；C25；C26；C31；C45</x:v>
      </x:c>
      <x:c r="I34" s="30" t="str">
        <x:v>SC01；SC02；SC03；SC04；SC05；SC06；SC07；SC08；SC09；SC10；SC11；SC12；SC13；SC14；SC15；SC16；SC17；SC18</x:v>
      </x:c>
      <x:c r="J34" s="30" t="str">
        <x:v>S24；S25</x:v>
      </x:c>
      <x:c r="K34" s="30" t="str"/>
    </x:row>
    <x:row r="35" ht="108" customHeight="1">
      <x:c r="A35" s="30" t="str">
        <x:v>T031</x:v>
      </x:c>
      <x:c r="B35" s="30" t="str">
        <x:v>人员支援</x:v>
      </x:c>
      <x:c r="C35" s="30" t="str">
        <x:v>专业初步救护</x:v>
      </x:c>
      <x:c r="D35" s="30" t="str">
        <x:v>条件扩展：明确设备/专业服务后启用</x:v>
      </x:c>
      <x:c r="E35" s="30" t="str">
        <x:v>消耗适用耗材并获得专业服务结果</x:v>
      </x:c>
      <x:c r="F35" s="30" t="str">
        <x:v>Q031</x:v>
      </x:c>
      <x:c r="G35" s="30" t="str">
        <x:v>A059；A018；A019；A054；A036</x:v>
      </x:c>
      <x:c r="H35" s="30" t="str">
        <x:v>C21；C31；C43；C46</x:v>
      </x:c>
      <x:c r="I35" s="30" t="str">
        <x:v>SC01；SC02；SC03；SC04；SC06；SC07；SC08；SC09；SC10；SC11；SC12；SC13；SC14；SC15；SC16；SC17；SC18</x:v>
      </x:c>
      <x:c r="J35" s="30" t="str">
        <x:v>S01</x:v>
      </x:c>
      <x:c r="K35" s="30" t="str">
        <x:v>https://insarag.org/wp-content/uploads/2021/06/INSARAG20Guidelines20Vol20II2C20Man20B.pdf</x:v>
      </x:c>
    </x:row>
    <x:row r="36" ht="108" customHeight="1">
      <x:c r="A36" s="30" t="str">
        <x:v>T032</x:v>
      </x:c>
      <x:c r="B36" s="30" t="str">
        <x:v>人员支援</x:v>
      </x:c>
      <x:c r="C36" s="30" t="str">
        <x:v>受困解除/解困</x:v>
      </x:c>
      <x:c r="D36" s="30" t="str">
        <x:v>条件扩展：明确设备/专业服务后启用</x:v>
      </x:c>
      <x:c r="E36" s="30" t="str">
        <x:v>受困条件被真实解除，保留转运/医疗需求</x:v>
      </x:c>
      <x:c r="F36" s="30" t="str">
        <x:v>Q032</x:v>
      </x:c>
      <x:c r="G36" s="30" t="str">
        <x:v>A059；A015；A016；A014；A017；A054</x:v>
      </x:c>
      <x:c r="H36" s="30" t="str">
        <x:v>C18；C19；C20；C31；C43；C46</x:v>
      </x:c>
      <x:c r="I36" s="30" t="str">
        <x:v>SC01；SC02；SC03；SC04；SC06；SC07；SC08；SC09；SC10；SC11；SC12；SC13；SC14；SC15；SC16；SC17</x:v>
      </x:c>
      <x:c r="J36" s="30" t="str">
        <x:v>S01</x:v>
      </x:c>
      <x:c r="K36" s="30" t="str">
        <x:v>https://insarag.org/wp-content/uploads/2021/06/INSARAG20Guidelines20Vol20II2C20Man20B.pdf</x:v>
      </x:c>
    </x:row>
    <x:row r="37" ht="108" customHeight="1">
      <x:c r="A37" s="30" t="str">
        <x:v>T033</x:v>
      </x:c>
      <x:c r="B37" s="30" t="str">
        <x:v>人员支援</x:v>
      </x:c>
      <x:c r="C37" s="30" t="str">
        <x:v>人员装载</x:v>
      </x:c>
      <x:c r="D37" s="30" t="str">
        <x:v>条件扩展：明确设备/专业服务后启用</x:v>
      </x:c>
      <x:c r="E37" s="30" t="str">
        <x:v>人员实际附着合格载具并计入承载</x:v>
      </x:c>
      <x:c r="F37" s="30" t="str">
        <x:v>Q033</x:v>
      </x:c>
      <x:c r="G37" s="30" t="str">
        <x:v>A020；A054</x:v>
      </x:c>
      <x:c r="H37" s="30" t="str">
        <x:v>C22；C43</x:v>
      </x:c>
      <x:c r="I37" s="30" t="str">
        <x:v>SC01；SC02；SC03；SC04；SC05；SC06；SC07；SC08；SC09；SC10；SC11；SC12；SC13；SC14；SC15；SC16；SC17；SC18</x:v>
      </x:c>
      <x:c r="J37" s="30" t="str">
        <x:v>S01；S03；S06</x:v>
      </x:c>
      <x:c r="K37" s="30" t="str">
        <x:v>https://insarag.org/wp-content/uploads/2021/06/INSARAG20Guidelines20Vol20II2C20Man20B.pdf
https://roborescue.github.io/rcrs-server/rcrs-server/index.html
https://github.com/UnrealZoo/RescueBench</x:v>
      </x:c>
    </x:row>
    <x:row r="38" ht="108" customHeight="1">
      <x:c r="A38" s="30" t="str">
        <x:v>T034</x:v>
      </x:c>
      <x:c r="B38" s="30" t="str">
        <x:v>人员支援</x:v>
      </x:c>
      <x:c r="C38" s="30" t="str">
        <x:v>人员转运</x:v>
      </x:c>
      <x:c r="D38" s="30" t="str">
        <x:v>条件扩展：明确设备/专业服务后启用</x:v>
      </x:c>
      <x:c r="E38" s="30" t="str">
        <x:v>人员到达兼容接收点，未签收不算最终移交</x:v>
      </x:c>
      <x:c r="F38" s="30" t="str">
        <x:v>Q034</x:v>
      </x:c>
      <x:c r="G38" s="30" t="str">
        <x:v>A020；A021；A054</x:v>
      </x:c>
      <x:c r="H38" s="30" t="str">
        <x:v>C22；C43</x:v>
      </x:c>
      <x:c r="I38" s="30" t="str">
        <x:v>SC01；SC02；SC03；SC04；SC05；SC06；SC07；SC08；SC09；SC10；SC11；SC12；SC13；SC14；SC15；SC16；SC17；SC18</x:v>
      </x:c>
      <x:c r="J38" s="30" t="str">
        <x:v>S01；S03；S06</x:v>
      </x:c>
      <x:c r="K38" s="30" t="str">
        <x:v>https://insarag.org/wp-content/uploads/2021/06/INSARAG20Guidelines20Vol20II2C20Man20B.pdf
https://roborescue.github.io/rcrs-server/rcrs-server/index.html
https://github.com/UnrealZoo/RescueBench</x:v>
      </x:c>
    </x:row>
    <x:row r="39" ht="108" customHeight="1">
      <x:c r="A39" s="30" t="str">
        <x:v>T035</x:v>
      </x:c>
      <x:c r="B39" s="30" t="str">
        <x:v>人员支援</x:v>
      </x:c>
      <x:c r="C39" s="30" t="str">
        <x:v>救援/医疗最终移交</x:v>
      </x:c>
      <x:c r="D39" s="30" t="str">
        <x:v>条件扩展：明确设备/专业服务后启用</x:v>
      </x:c>
      <x:c r="E39" s="30" t="str">
        <x:v>接收端确认身份/接收且运输占用解除</x:v>
      </x:c>
      <x:c r="F39" s="30" t="str">
        <x:v>Q035</x:v>
      </x:c>
      <x:c r="G39" s="30" t="str">
        <x:v>A021；A022；A036；A054</x:v>
      </x:c>
      <x:c r="H39" s="30" t="str">
        <x:v>C22；C31；C43；C46</x:v>
      </x:c>
      <x:c r="I39" s="30" t="str">
        <x:v>SC01；SC02；SC03；SC04；SC05；SC06；SC07；SC08；SC09；SC10；SC11；SC12；SC13；SC14；SC15；SC16；SC17；SC18</x:v>
      </x:c>
      <x:c r="J39" s="30" t="str">
        <x:v>S01；S06</x:v>
      </x:c>
      <x:c r="K39" s="30" t="str">
        <x:v>https://insarag.org/wp-content/uploads/2021/06/INSARAG20Guidelines20Vol20II2C20Man20B.pdf
https://github.com/UnrealZoo/RescueBench</x:v>
      </x:c>
    </x:row>
    <x:row r="40" ht="108" customHeight="1">
      <x:c r="A40" s="30" t="str">
        <x:v>T036</x:v>
      </x:c>
      <x:c r="B40" s="30" t="str">
        <x:v>人员支援</x:v>
      </x:c>
      <x:c r="C40" s="30" t="str">
        <x:v>水中人员救助回收</x:v>
      </x:c>
      <x:c r="D40" s="30" t="str">
        <x:v>条件扩展：明确设备/专业服务后启用</x:v>
      </x:c>
      <x:c r="E40" s="30" t="str">
        <x:v>由具备水域能力者回收与移交</x:v>
      </x:c>
      <x:c r="F40" s="30" t="str">
        <x:v>Q036</x:v>
      </x:c>
      <x:c r="G40" s="30" t="str">
        <x:v>A003；A023；A021；A022；A036</x:v>
      </x:c>
      <x:c r="H40" s="30" t="str">
        <x:v>C03；C22；C23；C31；C46</x:v>
      </x:c>
      <x:c r="I40" s="30" t="str">
        <x:v>SC03；SC04；SC05；SC08；SC13；SC17</x:v>
      </x:c>
      <x:c r="J40" s="30" t="str">
        <x:v>S02；S12；S13</x:v>
      </x:c>
      <x:c r="K40" s="30" t="str">
        <x:v>https://www.nist.gov/programs-projects/department-homeland-security-response-robot-performance-standards
https://seadronessee.cs.uni-tuebingen.de/leaderboard
https://arxiv.org/abs/2203.07973</x:v>
      </x:c>
    </x:row>
    <x:row r="41" ht="108" customHeight="1">
      <x:c r="A41" s="30" t="str">
        <x:v>T037</x:v>
      </x:c>
      <x:c r="B41" s="30" t="str">
        <x:v>人员支援</x:v>
      </x:c>
      <x:c r="C41" s="30" t="str">
        <x:v>救援转恢复阶段的遗体移交</x:v>
      </x:c>
      <x:c r="D41" s="30" t="str">
        <x:v>条件扩展：明确设备/专业服务后启用</x:v>
      </x:c>
      <x:c r="E41" s="30" t="str">
        <x:v>只在明确恢复阶段与授权力量下记录；不计存活救援得分</x:v>
      </x:c>
      <x:c r="F41" s="30" t="str">
        <x:v>Q037</x:v>
      </x:c>
      <x:c r="G41" s="30" t="str">
        <x:v>A059；A020；A021；A022；A010</x:v>
      </x:c>
      <x:c r="H41" s="30" t="str">
        <x:v>C22；C31；C43；C46</x:v>
      </x:c>
      <x:c r="I41" s="30" t="str">
        <x:v>SC01；SC08；SC17</x:v>
      </x:c>
      <x:c r="J41" s="30" t="str">
        <x:v>S01</x:v>
      </x:c>
      <x:c r="K41" s="30" t="str">
        <x:v>https://insarag.org/wp-content/uploads/2021/06/INSARAG20Guidelines20Vol20II2C20Man20B.pdf</x:v>
      </x:c>
    </x:row>
    <x:row r="42" ht="108" customHeight="1">
      <x:c r="A42" s="30" t="str">
        <x:v>T038</x:v>
      </x:c>
      <x:c r="B42" s="30" t="str">
        <x:v>后勤与能源</x:v>
      </x:c>
      <x:c r="C42" s="30" t="str">
        <x:v>货物取用与挂载</x:v>
      </x:c>
      <x:c r="D42" s="30" t="str">
        <x:v>基线：依实际装配启用</x:v>
      </x:c>
      <x:c r="E42" s="30" t="str">
        <x:v>指定物资从库存转到平台且容量检查通过</x:v>
      </x:c>
      <x:c r="F42" s="30" t="str">
        <x:v>Q038；Q101</x:v>
      </x:c>
      <x:c r="G42" s="30" t="str">
        <x:v>A028；A024；A054</x:v>
      </x:c>
      <x:c r="H42" s="30" t="str">
        <x:v>C24；C27；C43</x:v>
      </x:c>
      <x:c r="I42" s="30" t="str">
        <x:v>SC01；SC02；SC03；SC04；SC05；SC06；SC07；SC08；SC09；SC10；SC11；SC12；SC13；SC14；SC15；SC16；SC17；SC18</x:v>
      </x:c>
      <x:c r="J42" s="30" t="str">
        <x:v>S24；S25</x:v>
      </x:c>
      <x:c r="K42" s="30" t="str"/>
    </x:row>
    <x:row r="43" ht="108" customHeight="1">
      <x:c r="A43" s="30" t="str">
        <x:v>T039</x:v>
      </x:c>
      <x:c r="B43" s="30" t="str">
        <x:v>后勤与能源</x:v>
      </x:c>
      <x:c r="C43" s="30" t="str">
        <x:v>无人机精确物资投送</x:v>
      </x:c>
      <x:c r="D43" s="30" t="str">
        <x:v>基线：依实际装配启用</x:v>
      </x:c>
      <x:c r="E43" s="30" t="str">
        <x:v>真实释放和落点记录；不等于目标领取</x:v>
      </x:c>
      <x:c r="F43" s="30" t="str">
        <x:v>Q039；Q111</x:v>
      </x:c>
      <x:c r="G43" s="30" t="str">
        <x:v>A024；A001；A025；A054</x:v>
      </x:c>
      <x:c r="H43" s="30" t="str">
        <x:v>C01；C24；C25；C43；C45</x:v>
      </x:c>
      <x:c r="I43" s="30" t="str">
        <x:v>SC01；SC02；SC03；SC04；SC05；SC06；SC07；SC08；SC09；SC10；SC11；SC12；SC13；SC14；SC15；SC16；SC17；SC18</x:v>
      </x:c>
      <x:c r="J43" s="30" t="str">
        <x:v>S24；S25</x:v>
      </x:c>
      <x:c r="K43" s="30" t="str"/>
    </x:row>
    <x:row r="44" ht="108" customHeight="1">
      <x:c r="A44" s="30" t="str">
        <x:v>T040</x:v>
      </x:c>
      <x:c r="B44" s="30" t="str">
        <x:v>后勤与能源</x:v>
      </x:c>
      <x:c r="C44" s="30" t="str">
        <x:v>地面物资送达与卸放</x:v>
      </x:c>
      <x:c r="D44" s="30" t="str">
        <x:v>基线：依实际装配启用</x:v>
      </x:c>
      <x:c r="E44" s="30" t="str">
        <x:v>合法卸载主体把物资放到交付区</x:v>
      </x:c>
      <x:c r="F44" s="30" t="str">
        <x:v>Q040</x:v>
      </x:c>
      <x:c r="G44" s="30" t="str">
        <x:v>A024；A002；A026；A054</x:v>
      </x:c>
      <x:c r="H44" s="30" t="str">
        <x:v>C02；C24；C26；C43</x:v>
      </x:c>
      <x:c r="I44" s="30" t="str">
        <x:v>SC01；SC02；SC03；SC04；SC05；SC06；SC07；SC08；SC09；SC10；SC11；SC12；SC13；SC14；SC15；SC16；SC17；SC18</x:v>
      </x:c>
      <x:c r="J44" s="30" t="str">
        <x:v>S02；S24</x:v>
      </x:c>
      <x:c r="K44" s="30" t="str">
        <x:v>https://www.nist.gov/programs-projects/department-homeland-security-response-robot-performance-standards</x:v>
      </x:c>
    </x:row>
    <x:row r="45" ht="108" customHeight="1">
      <x:c r="A45" s="30" t="str">
        <x:v>T041</x:v>
      </x:c>
      <x:c r="B45" s="30" t="str">
        <x:v>后勤与能源</x:v>
      </x:c>
      <x:c r="C45" s="30" t="str">
        <x:v>交付复核与收货报告</x:v>
      </x:c>
      <x:c r="D45" s="30" t="str">
        <x:v>基线：依实际装配启用</x:v>
      </x:c>
      <x:c r="E45" s="30" t="str">
        <x:v>有效签收回执送达所需接收者</x:v>
      </x:c>
      <x:c r="F45" s="30" t="str">
        <x:v>Q041；Q111</x:v>
      </x:c>
      <x:c r="G45" s="30" t="str">
        <x:v>A005；A027；A036；A037；A054</x:v>
      </x:c>
      <x:c r="H45" s="30" t="str">
        <x:v>C05；C31；C43</x:v>
      </x:c>
      <x:c r="I45" s="30" t="str">
        <x:v>SC01；SC02；SC03；SC04；SC05；SC06；SC07；SC08；SC09；SC10；SC11；SC12；SC13；SC14；SC15；SC16；SC17；SC18</x:v>
      </x:c>
      <x:c r="J45" s="30" t="str">
        <x:v>S24；S25</x:v>
      </x:c>
      <x:c r="K45" s="30" t="str"/>
    </x:row>
    <x:row r="46" ht="108" customHeight="1">
      <x:c r="A46" s="30" t="str">
        <x:v>T042</x:v>
      </x:c>
      <x:c r="B46" s="30" t="str">
        <x:v>后勤与能源</x:v>
      </x:c>
      <x:c r="C46" s="30" t="str">
        <x:v>物资/器材补给</x:v>
      </x:c>
      <x:c r="D46" s="30" t="str">
        <x:v>基线：依实际装配启用</x:v>
      </x:c>
      <x:c r="E46" s="30" t="str">
        <x:v>库存减少、载荷/耗材增加且耗时计入</x:v>
      </x:c>
      <x:c r="F46" s="30" t="str">
        <x:v>Q042</x:v>
      </x:c>
      <x:c r="G46" s="30" t="str">
        <x:v>A002；A028；A024；A054</x:v>
      </x:c>
      <x:c r="H46" s="30" t="str">
        <x:v>C02；C24；C27；C43</x:v>
      </x:c>
      <x:c r="I46" s="30" t="str">
        <x:v>SC01；SC02；SC03；SC04；SC05；SC06；SC07；SC08；SC09；SC10；SC11；SC12；SC13；SC14；SC15；SC16；SC17；SC18</x:v>
      </x:c>
      <x:c r="J46" s="30" t="str">
        <x:v>S01；S24</x:v>
      </x:c>
      <x:c r="K46" s="30" t="str">
        <x:v>https://insarag.org/wp-content/uploads/2021/06/INSARAG20Guidelines20Vol20II2C20Man20B.pdf</x:v>
      </x:c>
    </x:row>
    <x:row r="47" ht="108" customHeight="1">
      <x:c r="A47" s="30" t="str">
        <x:v>T043</x:v>
      </x:c>
      <x:c r="B47" s="30" t="str">
        <x:v>后勤与能源</x:v>
      </x:c>
      <x:c r="C47" s="30" t="str">
        <x:v>平台充电</x:v>
      </x:c>
      <x:c r="D47" s="30" t="str">
        <x:v>基线：依实际装配启用</x:v>
      </x:c>
      <x:c r="E47" s="30" t="str">
        <x:v>按实际功率/队列达到目标电量</x:v>
      </x:c>
      <x:c r="F47" s="30" t="str">
        <x:v>Q043；Q102</x:v>
      </x:c>
      <x:c r="G47" s="30" t="str">
        <x:v>A001；A002；A029；A054</x:v>
      </x:c>
      <x:c r="H47" s="30" t="str">
        <x:v>C01；C02；C28；C43；C45</x:v>
      </x:c>
      <x:c r="I47" s="30" t="str">
        <x:v>SC01；SC02；SC03；SC04；SC05；SC06；SC07；SC08；SC09；SC10；SC11；SC12；SC13；SC14；SC15；SC16；SC17；SC18</x:v>
      </x:c>
      <x:c r="J47" s="30" t="str">
        <x:v>S18；S24</x:v>
      </x:c>
      <x:c r="K47" s="30" t="str">
        <x:v>https://www.nsnam.org/docs/models/html/energy.html</x:v>
      </x:c>
    </x:row>
    <x:row r="48" ht="108" customHeight="1">
      <x:c r="A48" s="30" t="str">
        <x:v>T044</x:v>
      </x:c>
      <x:c r="B48" s="30" t="str">
        <x:v>后勤与能源</x:v>
      </x:c>
      <x:c r="C48" s="30" t="str">
        <x:v>平台换电</x:v>
      </x:c>
      <x:c r="D48" s="30" t="str">
        <x:v>基线：依实际装配启用</x:v>
      </x:c>
      <x:c r="E48" s="30" t="str">
        <x:v>兼容新电池装入且旧电池转移，操作服务占用计入</x:v>
      </x:c>
      <x:c r="F48" s="30" t="str">
        <x:v>Q044</x:v>
      </x:c>
      <x:c r="G48" s="30" t="str">
        <x:v>A001；A002；A030；A054</x:v>
      </x:c>
      <x:c r="H48" s="30" t="str">
        <x:v>C01；C02；C29；C43；C45</x:v>
      </x:c>
      <x:c r="I48" s="30" t="str">
        <x:v>SC01；SC02；SC03；SC04；SC05；SC06；SC07；SC08；SC09；SC10；SC11；SC12；SC13；SC14；SC15；SC16；SC17；SC18</x:v>
      </x:c>
      <x:c r="J48" s="30" t="str">
        <x:v>S24</x:v>
      </x:c>
      <x:c r="K48" s="30" t="str"/>
    </x:row>
    <x:row r="49" ht="108" customHeight="1">
      <x:c r="A49" s="30" t="str">
        <x:v>T045</x:v>
      </x:c>
      <x:c r="B49" s="30" t="str">
        <x:v>后勤与能源</x:v>
      </x:c>
      <x:c r="C49" s="30" t="str">
        <x:v>返航/返站与安全撤离</x:v>
      </x:c>
      <x:c r="D49" s="30" t="str">
        <x:v>基线：依实际装配启用</x:v>
      </x:c>
      <x:c r="E49" s="30" t="str">
        <x:v>到达可用安全点，任务与安全状态同步</x:v>
      </x:c>
      <x:c r="F49" s="30" t="str">
        <x:v>Q045；Q102；Q111</x:v>
      </x:c>
      <x:c r="G49" s="30" t="str">
        <x:v>A055；A001；A002；A004；A054</x:v>
      </x:c>
      <x:c r="H49" s="30" t="str">
        <x:v>C01；C02；C43；C45</x:v>
      </x:c>
      <x:c r="I49" s="30" t="str">
        <x:v>SC01；SC02；SC03；SC04；SC05；SC06；SC07；SC08；SC09；SC10；SC11；SC12；SC13；SC14；SC15；SC16；SC17；SC18</x:v>
      </x:c>
      <x:c r="J49" s="30" t="str">
        <x:v>S02；S05；S24</x:v>
      </x:c>
      <x:c r="K49" s="30" t="str">
        <x:v>https://www.nist.gov/programs-projects/department-homeland-security-response-robot-performance-standards
https://4amgodvzx.github.io/ESAR.github.io/</x:v>
      </x:c>
    </x:row>
    <x:row r="50" ht="108" customHeight="1">
      <x:c r="A50" s="30" t="str">
        <x:v>T046</x:v>
      </x:c>
      <x:c r="B50" s="30" t="str">
        <x:v>后勤与能源</x:v>
      </x:c>
      <x:c r="C50" s="30" t="str">
        <x:v>失效平台回收</x:v>
      </x:c>
      <x:c r="D50" s="30" t="str">
        <x:v>条件扩展：明确设备/专业服务后启用</x:v>
      </x:c>
      <x:c r="E50" s="30" t="str">
        <x:v>回收主体完成牵引/运送，而非原平台自行瞬移</x:v>
      </x:c>
      <x:c r="F50" s="30" t="str">
        <x:v>Q046</x:v>
      </x:c>
      <x:c r="G50" s="30" t="str">
        <x:v>A059；A031；A054；A036</x:v>
      </x:c>
      <x:c r="H50" s="30" t="str">
        <x:v>C30；C31；C43；C46</x:v>
      </x:c>
      <x:c r="I50" s="30" t="str">
        <x:v>SC01；SC02；SC03；SC04；SC05；SC06；SC07；SC08；SC09；SC10；SC11；SC12；SC13；SC14；SC15；SC16；SC17；SC18</x:v>
      </x:c>
      <x:c r="J50" s="30" t="str">
        <x:v>S01；S02</x:v>
      </x:c>
      <x:c r="K50" s="30" t="str">
        <x:v>https://insarag.org/wp-content/uploads/2021/06/INSARAG20Guidelines20Vol20II2C20Man20B.pdf
https://www.nist.gov/programs-projects/department-homeland-security-response-robot-performance-standards</x:v>
      </x:c>
    </x:row>
    <x:row r="51" ht="108" customHeight="1">
      <x:c r="A51" s="30" t="str">
        <x:v>T047</x:v>
      </x:c>
      <x:c r="B51" s="30" t="str">
        <x:v>通信服务</x:v>
      </x:c>
      <x:c r="C51" s="30" t="str">
        <x:v>链路探测与质量估计</x:v>
      </x:c>
      <x:c r="D51" s="30" t="str">
        <x:v>基线：依实际装配启用</x:v>
      </x:c>
      <x:c r="E51" s="30" t="str">
        <x:v>根据实际探测更新链路估计与样本窗口</x:v>
      </x:c>
      <x:c r="F51" s="30" t="str">
        <x:v>Q047</x:v>
      </x:c>
      <x:c r="G51" s="30" t="str">
        <x:v>A032；A041</x:v>
      </x:c>
      <x:c r="H51" s="30" t="str">
        <x:v>C31；C39；C44</x:v>
      </x:c>
      <x:c r="I51" s="30" t="str">
        <x:v>SC01；SC02；SC03；SC04；SC05；SC06；SC07；SC08；SC09；SC10；SC11；SC12；SC13；SC14；SC15；SC16；SC17；SC18</x:v>
      </x:c>
      <x:c r="J51" s="30" t="str">
        <x:v>S17；S24</x:v>
      </x:c>
      <x:c r="K51" s="30" t="str">
        <x:v>https://www.nsnam.org/docs/models/html/wifi-design.html</x:v>
      </x:c>
    </x:row>
    <x:row r="52" ht="108" customHeight="1">
      <x:c r="A52" s="30" t="str">
        <x:v>T048</x:v>
      </x:c>
      <x:c r="B52" s="30" t="str">
        <x:v>通信服务</x:v>
      </x:c>
      <x:c r="C52" s="30" t="str">
        <x:v>通信会合与重定位</x:v>
      </x:c>
      <x:c r="D52" s="30" t="str">
        <x:v>基线：依实际装配启用</x:v>
      </x:c>
      <x:c r="E52" s="30" t="str">
        <x:v>重定位后实际恢复业务传输</x:v>
      </x:c>
      <x:c r="F52" s="30" t="str">
        <x:v>Q048</x:v>
      </x:c>
      <x:c r="G52" s="30" t="str">
        <x:v>A032；A001；A002；A036</x:v>
      </x:c>
      <x:c r="H52" s="30" t="str">
        <x:v>C01；C02；C31；C45</x:v>
      </x:c>
      <x:c r="I52" s="30" t="str">
        <x:v>SC01；SC02；SC03；SC04；SC05；SC06；SC07；SC08；SC09；SC10；SC11；SC12；SC13；SC14；SC15；SC16；SC17；SC18</x:v>
      </x:c>
      <x:c r="J52" s="30" t="str">
        <x:v>S04；S17；S24</x:v>
      </x:c>
      <x:c r="K52" s="30" t="str">
        <x:v>https://www.darpa.mil/research/programs/darpa-subterranean-challenge
https://www.nsnam.org/docs/models/html/wifi-design.html</x:v>
      </x:c>
    </x:row>
    <x:row r="53" ht="108" customHeight="1">
      <x:c r="A53" s="30" t="str">
        <x:v>T049</x:v>
      </x:c>
      <x:c r="B53" s="30" t="str">
        <x:v>通信服务</x:v>
      </x:c>
      <x:c r="C53" s="30" t="str">
        <x:v>空中中继保持</x:v>
      </x:c>
      <x:c r="D53" s="30" t="str">
        <x:v>基线：依实际装配启用</x:v>
      </x:c>
      <x:c r="E53" s="30" t="str">
        <x:v>所需时间内转发业务并保留逐跳证据</x:v>
      </x:c>
      <x:c r="F53" s="30" t="str">
        <x:v>Q049；Q105</x:v>
      </x:c>
      <x:c r="G53" s="30" t="str">
        <x:v>A001；A033；A004；A035；A037</x:v>
      </x:c>
      <x:c r="H53" s="30" t="str">
        <x:v>C01；C31；C32；C45</x:v>
      </x:c>
      <x:c r="I53" s="30" t="str">
        <x:v>SC01；SC02；SC03；SC04；SC05；SC06；SC07；SC08；SC09；SC10；SC11；SC12；SC13；SC14；SC15；SC16；SC17；SC18</x:v>
      </x:c>
      <x:c r="J53" s="30" t="str">
        <x:v>S04；S17；S25</x:v>
      </x:c>
      <x:c r="K53" s="30" t="str">
        <x:v>https://www.darpa.mil/research/programs/darpa-subterranean-challenge
https://www.nsnam.org/docs/models/html/wifi-design.html</x:v>
      </x:c>
    </x:row>
    <x:row r="54" ht="108" customHeight="1">
      <x:c r="A54" s="30" t="str">
        <x:v>T050</x:v>
      </x:c>
      <x:c r="B54" s="30" t="str">
        <x:v>通信服务</x:v>
      </x:c>
      <x:c r="C54" s="30" t="str">
        <x:v>通信节点布放</x:v>
      </x:c>
      <x:c r="D54" s="30" t="str">
        <x:v>条件扩展：明确设备/专业服务后启用</x:v>
      </x:c>
      <x:c r="E54" s="30" t="str">
        <x:v>节点实体、电源和链路均实际生效</x:v>
      </x:c>
      <x:c r="F54" s="30" t="str">
        <x:v>Q050</x:v>
      </x:c>
      <x:c r="G54" s="30" t="str">
        <x:v>A024；A001；A002；A034；A032；A036</x:v>
      </x:c>
      <x:c r="H54" s="30" t="str">
        <x:v>C01；C02；C24；C31；C33；C45</x:v>
      </x:c>
      <x:c r="I54" s="30" t="str">
        <x:v>SC01；SC02；SC03；SC04；SC05；SC06；SC07；SC08；SC09；SC10；SC11；SC12；SC13；SC14；SC15；SC16；SC17；SC18</x:v>
      </x:c>
      <x:c r="J54" s="30" t="str">
        <x:v>S04；S17</x:v>
      </x:c>
      <x:c r="K54" s="30" t="str">
        <x:v>https://www.darpa.mil/research/programs/darpa-subterranean-challenge
https://www.nsnam.org/docs/models/html/wifi-design.html</x:v>
      </x:c>
    </x:row>
    <x:row r="55" ht="108" customHeight="1">
      <x:c r="A55" s="30" t="str">
        <x:v>T051</x:v>
      </x:c>
      <x:c r="B55" s="30" t="str">
        <x:v>通信服务</x:v>
      </x:c>
      <x:c r="C55" s="30" t="str">
        <x:v>多跳业务转发</x:v>
      </x:c>
      <x:c r="D55" s="30" t="str">
        <x:v>基线：依实际装配启用</x:v>
      </x:c>
      <x:c r="E55" s="30" t="str">
        <x:v>上一跳到达后下一跳发送，终端完整接收</x:v>
      </x:c>
      <x:c r="F55" s="30" t="str">
        <x:v>Q051</x:v>
      </x:c>
      <x:c r="G55" s="30" t="str">
        <x:v>A036；A065；A035；A037</x:v>
      </x:c>
      <x:c r="H55" s="30" t="str">
        <x:v>C31；C32</x:v>
      </x:c>
      <x:c r="I55" s="30" t="str">
        <x:v>SC01；SC02；SC03；SC04；SC05；SC06；SC07；SC08；SC09；SC10；SC11；SC12；SC13；SC14；SC15；SC16；SC17；SC18</x:v>
      </x:c>
      <x:c r="J55" s="30" t="str">
        <x:v>S04；S17；S25</x:v>
      </x:c>
      <x:c r="K55" s="30" t="str">
        <x:v>https://www.darpa.mil/research/programs/darpa-subterranean-challenge
https://www.nsnam.org/docs/models/html/wifi-design.html</x:v>
      </x:c>
    </x:row>
    <x:row r="56" ht="108" customHeight="1">
      <x:c r="A56" s="30" t="str">
        <x:v>T052</x:v>
      </x:c>
      <x:c r="B56" s="30" t="str">
        <x:v>通信服务</x:v>
      </x:c>
      <x:c r="C56" s="30" t="str">
        <x:v>图像/证据数据上传</x:v>
      </x:c>
      <x:c r="D56" s="30" t="str">
        <x:v>基线：依实际装配启用</x:v>
      </x:c>
      <x:c r="E56" s="30" t="str">
        <x:v>编码后的真实数据分块送达并校验</x:v>
      </x:c>
      <x:c r="F56" s="30" t="str">
        <x:v>Q052；Q103</x:v>
      </x:c>
      <x:c r="G56" s="30" t="str">
        <x:v>A039；A036；A037</x:v>
      </x:c>
      <x:c r="H56" s="30" t="str">
        <x:v>C31；C41</x:v>
      </x:c>
      <x:c r="I56" s="30" t="str">
        <x:v>SC01；SC02；SC03；SC04；SC05；SC06；SC07；SC08；SC09；SC10；SC11；SC12；SC13；SC14；SC15；SC16；SC17；SC18</x:v>
      </x:c>
      <x:c r="J56" s="30" t="str">
        <x:v>S17；S24；S25</x:v>
      </x:c>
      <x:c r="K56" s="30" t="str">
        <x:v>https://www.nsnam.org/docs/models/html/wifi-design.html</x:v>
      </x:c>
    </x:row>
    <x:row r="57" ht="108" customHeight="1">
      <x:c r="A57" s="30" t="str">
        <x:v>T053</x:v>
      </x:c>
      <x:c r="B57" s="30" t="str">
        <x:v>通信服务</x:v>
      </x:c>
      <x:c r="C57" s="30" t="str">
        <x:v>可靠回执与超时重传</x:v>
      </x:c>
      <x:c r="D57" s="30" t="str">
        <x:v>基线：依实际装配启用</x:v>
      </x:c>
      <x:c r="E57" s="30" t="str">
        <x:v>明确重试条件和次数，失败不生成成功回执</x:v>
      </x:c>
      <x:c r="F57" s="30" t="str">
        <x:v>Q053；Q103</x:v>
      </x:c>
      <x:c r="G57" s="30" t="str">
        <x:v>A036；A037</x:v>
      </x:c>
      <x:c r="H57" s="30" t="str">
        <x:v>C31</x:v>
      </x:c>
      <x:c r="I57" s="30" t="str">
        <x:v>SC01；SC02；SC03；SC04；SC05；SC06；SC07；SC08；SC09；SC10；SC11；SC12；SC13；SC14；SC15；SC16；SC17；SC18</x:v>
      </x:c>
      <x:c r="J57" s="30" t="str">
        <x:v>S17；S24</x:v>
      </x:c>
      <x:c r="K57" s="30" t="str">
        <x:v>https://www.nsnam.org/docs/models/html/wifi-design.html</x:v>
      </x:c>
    </x:row>
    <x:row r="58" ht="108" customHeight="1">
      <x:c r="A58" s="30" t="str">
        <x:v>T054</x:v>
      </x:c>
      <x:c r="B58" s="30" t="str">
        <x:v>通信服务</x:v>
      </x:c>
      <x:c r="C58" s="30" t="str">
        <x:v>断联存储-携带-转发</x:v>
      </x:c>
      <x:c r="D58" s="30" t="str">
        <x:v>基线：依实际装配启用</x:v>
      </x:c>
      <x:c r="E58" s="30" t="str">
        <x:v>过期前完成缓存消息实际投递</x:v>
      </x:c>
      <x:c r="F58" s="30" t="str">
        <x:v>Q054；Q104</x:v>
      </x:c>
      <x:c r="G58" s="30" t="str">
        <x:v>A046；A001；A002；A032；A036；A037</x:v>
      </x:c>
      <x:c r="H58" s="30" t="str">
        <x:v>C01；C02；C31；C34；C39；C45</x:v>
      </x:c>
      <x:c r="I58" s="30" t="str">
        <x:v>SC01；SC02；SC03；SC04；SC05；SC06；SC07；SC08；SC09；SC10；SC11；SC12；SC13；SC14；SC15；SC16；SC17；SC18</x:v>
      </x:c>
      <x:c r="J58" s="30" t="str">
        <x:v>S04；S17；S24</x:v>
      </x:c>
      <x:c r="K58" s="30" t="str">
        <x:v>https://www.darpa.mil/research/programs/darpa-subterranean-challenge
https://www.nsnam.org/docs/models/html/wifi-design.html</x:v>
      </x:c>
    </x:row>
    <x:row r="59" ht="108" customHeight="1">
      <x:c r="A59" s="30" t="str">
        <x:v>T055</x:v>
      </x:c>
      <x:c r="B59" s="30" t="str">
        <x:v>通信服务</x:v>
      </x:c>
      <x:c r="C59" s="30" t="str">
        <x:v>信道/功率/传输优先级调整</x:v>
      </x:c>
      <x:c r="D59" s="30" t="str">
        <x:v>基线：依实际装配启用</x:v>
      </x:c>
      <x:c r="E59" s="30" t="str">
        <x:v>设备支持且调整效果由实际网络反馈验证</x:v>
      </x:c>
      <x:c r="F59" s="30" t="str">
        <x:v>Q055</x:v>
      </x:c>
      <x:c r="G59" s="30" t="str">
        <x:v>A032；A033；A036；A037</x:v>
      </x:c>
      <x:c r="H59" s="30" t="str">
        <x:v>C31；C32</x:v>
      </x:c>
      <x:c r="I59" s="30" t="str">
        <x:v>SC01；SC02；SC03；SC04；SC05；SC06；SC07；SC08；SC09；SC10；SC11；SC12；SC13；SC14；SC15；SC16；SC17；SC18</x:v>
      </x:c>
      <x:c r="J59" s="30" t="str">
        <x:v>S17</x:v>
      </x:c>
      <x:c r="K59" s="30" t="str">
        <x:v>https://www.nsnam.org/docs/models/html/wifi-design.html</x:v>
      </x:c>
    </x:row>
    <x:row r="60" ht="108" customHeight="1">
      <x:c r="A60" s="30" t="str">
        <x:v>T056</x:v>
      </x:c>
      <x:c r="B60" s="30" t="str">
        <x:v>通信服务</x:v>
      </x:c>
      <x:c r="C60" s="30" t="str">
        <x:v>失联后的连接恢复</x:v>
      </x:c>
      <x:c r="D60" s="30" t="str">
        <x:v>基线：依实际装配启用</x:v>
      </x:c>
      <x:c r="E60" s="30" t="str">
        <x:v>恢复可用业务链，刷新过时队友信息</x:v>
      </x:c>
      <x:c r="F60" s="30" t="str">
        <x:v>Q056；Q104</x:v>
      </x:c>
      <x:c r="G60" s="30" t="str">
        <x:v>A032；A033；A001；A002；A036；A037</x:v>
      </x:c>
      <x:c r="H60" s="30" t="str">
        <x:v>C01；C02；C31；C32；C45</x:v>
      </x:c>
      <x:c r="I60" s="30" t="str">
        <x:v>SC01；SC02；SC03；SC04；SC05；SC06；SC07；SC08；SC09；SC10；SC11；SC12；SC13；SC14；SC15；SC16；SC17；SC18</x:v>
      </x:c>
      <x:c r="J60" s="30" t="str">
        <x:v>S04；S17；S24</x:v>
      </x:c>
      <x:c r="K60" s="30" t="str">
        <x:v>https://www.darpa.mil/research/programs/darpa-subterranean-challenge
https://www.nsnam.org/docs/models/html/wifi-design.html</x:v>
      </x:c>
    </x:row>
    <x:row r="61" ht="108" customHeight="1">
      <x:c r="A61" s="30" t="str">
        <x:v>T057</x:v>
      </x:c>
      <x:c r="B61" s="30" t="str">
        <x:v>计算服务</x:v>
      </x:c>
      <x:c r="C61" s="30" t="str">
        <x:v>计算与模型服务发现</x:v>
      </x:c>
      <x:c r="D61" s="30" t="str">
        <x:v>基线：依实际装配启用</x:v>
      </x:c>
      <x:c r="E61" s="30" t="str">
        <x:v>获得带时效的可用服务信息</x:v>
      </x:c>
      <x:c r="F61" s="30" t="str">
        <x:v>Q057</x:v>
      </x:c>
      <x:c r="G61" s="30" t="str">
        <x:v>A042；A036；A037；A041</x:v>
      </x:c>
      <x:c r="H61" s="30" t="str">
        <x:v>C31；C38；C39；C44</x:v>
      </x:c>
      <x:c r="I61" s="30" t="str">
        <x:v>SC01；SC02；SC03；SC04；SC05；SC06；SC07；SC08；SC09；SC10；SC11；SC12；SC13；SC14；SC15；SC16；SC17；SC18</x:v>
      </x:c>
      <x:c r="J61" s="30" t="str">
        <x:v>S20；S24</x:v>
      </x:c>
      <x:c r="K61" s="30" t="str">
        <x:v>https://kubernetes.io/docs/concepts/configuration/manage-resources-containers/</x:v>
      </x:c>
    </x:row>
    <x:row r="62" ht="108" customHeight="1">
      <x:c r="A62" s="30" t="str">
        <x:v>T058</x:v>
      </x:c>
      <x:c r="B62" s="30" t="str">
        <x:v>计算服务</x:v>
      </x:c>
      <x:c r="C62" s="30" t="str">
        <x:v>本地视觉检测</x:v>
      </x:c>
      <x:c r="D62" s="30" t="str">
        <x:v>基线：依实际装配启用</x:v>
      </x:c>
      <x:c r="E62" s="30" t="str">
        <x:v>本机真实/建模计算完成产生检测证据</x:v>
      </x:c>
      <x:c r="F62" s="30" t="str">
        <x:v>Q058；Q106</x:v>
      </x:c>
      <x:c r="G62" s="30" t="str">
        <x:v>A005；A044；A006；A041</x:v>
      </x:c>
      <x:c r="H62" s="30" t="str">
        <x:v>C05；C12；C35；C39；C44</x:v>
      </x:c>
      <x:c r="I62" s="30" t="str">
        <x:v>SC01；SC02；SC03；SC04；SC05；SC06；SC07；SC08；SC09；SC10；SC11；SC12；SC13；SC14；SC15；SC16；SC17；SC18</x:v>
      </x:c>
      <x:c r="J62" s="30" t="str">
        <x:v>S05；S07；S11；S21</x:v>
      </x:c>
      <x:c r="K62" s="30" t="str">
        <x:v>https://4amgodvzx.github.io/ESAR.github.io/
https://github.com/BinaLab/RescueNet-A-High-Resolution-Post-Disaster-UAV-Dataset-for-Semantic-Segmentation
https://arxiv.org/abs/2309.09518
https://docs.mlcommons.org/inference/benchmarks/language/llama3_1-8b/</x:v>
      </x:c>
    </x:row>
    <x:row r="63" ht="108" customHeight="1">
      <x:c r="A63" s="30" t="str">
        <x:v>T059</x:v>
      </x:c>
      <x:c r="B63" s="30" t="str">
        <x:v>计算服务</x:v>
      </x:c>
      <x:c r="C63" s="30" t="str">
        <x:v>本地语义/任务推理</x:v>
      </x:c>
      <x:c r="D63" s="30" t="str">
        <x:v>基线：依实际装配启用</x:v>
      </x:c>
      <x:c r="E63" s="30" t="str">
        <x:v>使用当前任务与证据产生推断，计上下文与推理成本</x:v>
      </x:c>
      <x:c r="F63" s="30" t="str">
        <x:v>Q059</x:v>
      </x:c>
      <x:c r="G63" s="30" t="str">
        <x:v>A038；A044；A006；A041</x:v>
      </x:c>
      <x:c r="H63" s="30" t="str">
        <x:v>C12；C13；C35；C39；C44</x:v>
      </x:c>
      <x:c r="I63" s="30" t="str">
        <x:v>SC01；SC02；SC03；SC04；SC05；SC06；SC07；SC08；SC09；SC10；SC11；SC12；SC13；SC14；SC15；SC16；SC17；SC18</x:v>
      </x:c>
      <x:c r="J63" s="30" t="str">
        <x:v>S05；S24</x:v>
      </x:c>
      <x:c r="K63" s="30" t="str">
        <x:v>https://4amgodvzx.github.io/ESAR.github.io/</x:v>
      </x:c>
    </x:row>
    <x:row r="64" ht="108" customHeight="1">
      <x:c r="A64" s="30" t="str">
        <x:v>T060</x:v>
      </x:c>
      <x:c r="B64" s="30" t="str">
        <x:v>计算服务</x:v>
      </x:c>
      <x:c r="C64" s="30" t="str">
        <x:v>远程视觉复核/推理卸载</x:v>
      </x:c>
      <x:c r="D64" s="30" t="str">
        <x:v>基线：依实际装配启用</x:v>
      </x:c>
      <x:c r="E64" s="30" t="str">
        <x:v>输入送达→远端完成→结果回传后才可用于决策</x:v>
      </x:c>
      <x:c r="F64" s="30" t="str">
        <x:v>Q060；Q106；Q107</x:v>
      </x:c>
      <x:c r="G64" s="30" t="str">
        <x:v>A042；A043；A036；A065；A044；A006；A041</x:v>
      </x:c>
      <x:c r="H64" s="30" t="str">
        <x:v>C12；C13；C31；C35；C36；C38；C39；C42；C44</x:v>
      </x:c>
      <x:c r="I64" s="30" t="str">
        <x:v>SC01；SC02；SC03；SC04；SC05；SC06；SC07；SC08；SC09；SC10；SC11；SC12；SC13；SC14；SC15；SC16；SC17；SC18</x:v>
      </x:c>
      <x:c r="J64" s="30" t="str">
        <x:v>S17；S20；S21；S24</x:v>
      </x:c>
      <x:c r="K64" s="30" t="str">
        <x:v>https://www.nsnam.org/docs/models/html/wifi-design.html
https://kubernetes.io/docs/concepts/configuration/manage-resources-containers/
https://docs.mlcommons.org/inference/benchmarks/language/llama3_1-8b/</x:v>
      </x:c>
    </x:row>
    <x:row r="65" ht="108" customHeight="1">
      <x:c r="A65" s="30" t="str">
        <x:v>T061</x:v>
      </x:c>
      <x:c r="B65" s="30" t="str">
        <x:v>计算服务</x:v>
      </x:c>
      <x:c r="C65" s="30" t="str">
        <x:v>执行节点与模型选择</x:v>
      </x:c>
      <x:c r="D65" s="30" t="str">
        <x:v>基线：依实际装配启用</x:v>
      </x:c>
      <x:c r="E65" s="30" t="str">
        <x:v>基于已知质量/时延/预算产生可执行选项</x:v>
      </x:c>
      <x:c r="F65" s="30" t="str">
        <x:v>Q061；Q106</x:v>
      </x:c>
      <x:c r="G65" s="30" t="str">
        <x:v>A042；A043；A054</x:v>
      </x:c>
      <x:c r="H65" s="30" t="str">
        <x:v>C13；C38；C42；C43</x:v>
      </x:c>
      <x:c r="I65" s="30" t="str">
        <x:v>SC01；SC02；SC03；SC04；SC05；SC06；SC07；SC08；SC09；SC10；SC11；SC12；SC13；SC14；SC15；SC16；SC17；SC18</x:v>
      </x:c>
      <x:c r="J65" s="30" t="str">
        <x:v>S20；S21；S24</x:v>
      </x:c>
      <x:c r="K65" s="30" t="str">
        <x:v>https://kubernetes.io/docs/concepts/configuration/manage-resources-containers/
https://docs.mlcommons.org/inference/benchmarks/language/llama3_1-8b/</x:v>
      </x:c>
    </x:row>
    <x:row r="66" ht="108" customHeight="1">
      <x:c r="A66" s="30" t="str">
        <x:v>T062</x:v>
      </x:c>
      <x:c r="B66" s="30" t="str">
        <x:v>计算服务</x:v>
      </x:c>
      <x:c r="C66" s="30" t="str">
        <x:v>计算作业准入与排队</x:v>
      </x:c>
      <x:c r="D66" s="30" t="str">
        <x:v>基线：依实际装配启用</x:v>
      </x:c>
      <x:c r="E66" s="30" t="str">
        <x:v>实际预留、排队、执行、释放，入队不是完成</x:v>
      </x:c>
      <x:c r="F66" s="30" t="str">
        <x:v>Q062</x:v>
      </x:c>
      <x:c r="G66" s="30" t="str">
        <x:v>A044；A006；A049</x:v>
      </x:c>
      <x:c r="H66" s="30" t="str">
        <x:v>C12；C35；C37</x:v>
      </x:c>
      <x:c r="I66" s="30" t="str">
        <x:v>SC01；SC02；SC03；SC04；SC05；SC06；SC07；SC08；SC09；SC10；SC11；SC12；SC13；SC14；SC15；SC16；SC17；SC18</x:v>
      </x:c>
      <x:c r="J66" s="30" t="str">
        <x:v>S19；S20；S24</x:v>
      </x:c>
      <x:c r="K66" s="30" t="str">
        <x:v>https://design.ros2.org/articles/actions.html
https://kubernetes.io/docs/concepts/configuration/manage-resources-containers/</x:v>
      </x:c>
    </x:row>
    <x:row r="67" ht="108" customHeight="1">
      <x:c r="A67" s="30" t="str">
        <x:v>T063</x:v>
      </x:c>
      <x:c r="B67" s="30" t="str">
        <x:v>计算服务</x:v>
      </x:c>
      <x:c r="C67" s="30" t="str">
        <x:v>模型服务加载/卸载</x:v>
      </x:c>
      <x:c r="D67" s="30" t="str">
        <x:v>基线：依实际装配启用</x:v>
      </x:c>
      <x:c r="E67" s="30" t="str">
        <x:v>锁定版本在目标设备ready或卸载并更新资源</x:v>
      </x:c>
      <x:c r="F67" s="30" t="str">
        <x:v>Q063</x:v>
      </x:c>
      <x:c r="G67" s="30" t="str">
        <x:v>A045；A054</x:v>
      </x:c>
      <x:c r="H67" s="30" t="str">
        <x:v>C37；C43</x:v>
      </x:c>
      <x:c r="I67" s="30" t="str">
        <x:v>SC01；SC02；SC03；SC04；SC05；SC06；SC07；SC08；SC09；SC10；SC11；SC12；SC13；SC14；SC15；SC16；SC17；SC18</x:v>
      </x:c>
      <x:c r="J67" s="30" t="str">
        <x:v>S20；S24</x:v>
      </x:c>
      <x:c r="K67" s="30" t="str">
        <x:v>https://kubernetes.io/docs/concepts/configuration/manage-resources-containers/</x:v>
      </x:c>
    </x:row>
    <x:row r="68" ht="108" customHeight="1">
      <x:c r="A68" s="30" t="str">
        <x:v>T064</x:v>
      </x:c>
      <x:c r="B68" s="30" t="str">
        <x:v>计算服务</x:v>
      </x:c>
      <x:c r="C68" s="30" t="str">
        <x:v>上下文/表示缓存复用</x:v>
      </x:c>
      <x:c r="D68" s="30" t="str">
        <x:v>基线：依实际装配启用</x:v>
      </x:c>
      <x:c r="E68" s="30" t="str">
        <x:v>兼容时复用并记录节省；不兼容不得强行共享KV</x:v>
      </x:c>
      <x:c r="F68" s="30" t="str">
        <x:v>Q064</x:v>
      </x:c>
      <x:c r="G68" s="30" t="str">
        <x:v>A038；A046；A044；A006</x:v>
      </x:c>
      <x:c r="H68" s="30" t="str">
        <x:v>C12；C35；C39</x:v>
      </x:c>
      <x:c r="I68" s="30" t="str">
        <x:v>SC01；SC02；SC03；SC04；SC05；SC06；SC07；SC08；SC09；SC10；SC11；SC12；SC13；SC14；SC15；SC16；SC17；SC18</x:v>
      </x:c>
      <x:c r="J68" s="30" t="str">
        <x:v>S24</x:v>
      </x:c>
      <x:c r="K68" s="30" t="str"/>
    </x:row>
    <x:row r="69" ht="108" customHeight="1">
      <x:c r="A69" s="30" t="str">
        <x:v>T065</x:v>
      </x:c>
      <x:c r="B69" s="30" t="str">
        <x:v>计算服务</x:v>
      </x:c>
      <x:c r="C69" s="30" t="str">
        <x:v>服务/作业迁移与恢复</x:v>
      </x:c>
      <x:c r="D69" s="30" t="str">
        <x:v>条件扩展：明确设备/专业服务后启用</x:v>
      </x:c>
      <x:c r="E69" s="30" t="str">
        <x:v>检查点与模型兼容，迁移后恢复且计传输成本</x:v>
      </x:c>
      <x:c r="F69" s="30" t="str">
        <x:v>Q065；Q107</x:v>
      </x:c>
      <x:c r="G69" s="30" t="str">
        <x:v>A047；A036；A037；A045；A044；A006</x:v>
      </x:c>
      <x:c r="H69" s="30" t="str">
        <x:v>C12；C31；C35；C37；C38</x:v>
      </x:c>
      <x:c r="I69" s="30" t="str">
        <x:v>SC01；SC02；SC03；SC04；SC05；SC06；SC07；SC08；SC09；SC10；SC11；SC12；SC13；SC14；SC15；SC16；SC17；SC18</x:v>
      </x:c>
      <x:c r="J69" s="30" t="str">
        <x:v>S20；S24</x:v>
      </x:c>
      <x:c r="K69" s="30" t="str">
        <x:v>https://kubernetes.io/docs/concepts/configuration/manage-resources-containers/</x:v>
      </x:c>
    </x:row>
    <x:row r="70" ht="108" customHeight="1">
      <x:c r="A70" s="30" t="str">
        <x:v>T066</x:v>
      </x:c>
      <x:c r="B70" s="30" t="str">
        <x:v>计算服务</x:v>
      </x:c>
      <x:c r="C70" s="30" t="str">
        <x:v>预算耗尽/失败作业取消重试</x:v>
      </x:c>
      <x:c r="D70" s="30" t="str">
        <x:v>基线：依实际装配启用</x:v>
      </x:c>
      <x:c r="E70" s="30" t="str">
        <x:v>遵守版本和预算，旧结果不覆盖新任务</x:v>
      </x:c>
      <x:c r="F70" s="30" t="str">
        <x:v>Q066；Q108</x:v>
      </x:c>
      <x:c r="G70" s="30" t="str">
        <x:v>A048；A043；A044；A006；A049</x:v>
      </x:c>
      <x:c r="H70" s="30" t="str">
        <x:v>C12；C13；C35；C37；C42；C43</x:v>
      </x:c>
      <x:c r="I70" s="30" t="str">
        <x:v>SC01；SC02；SC03；SC04；SC05；SC06；SC07；SC08；SC09；SC10；SC11；SC12；SC13；SC14；SC15；SC16；SC17；SC18</x:v>
      </x:c>
      <x:c r="J70" s="30" t="str">
        <x:v>S19；S24</x:v>
      </x:c>
      <x:c r="K70" s="30" t="str">
        <x:v>https://design.ros2.org/articles/actions.html</x:v>
      </x:c>
    </x:row>
    <x:row r="71" ht="108" customHeight="1">
      <x:c r="A71" s="30" t="str">
        <x:v>T067</x:v>
      </x:c>
      <x:c r="B71" s="30" t="str">
        <x:v>计算服务</x:v>
      </x:c>
      <x:c r="C71" s="30" t="str">
        <x:v>批处理/多源联合推理</x:v>
      </x:c>
      <x:c r="D71" s="30" t="str">
        <x:v>基线：依实际装配启用</x:v>
      </x:c>
      <x:c r="E71" s="30" t="str">
        <x:v>符合批处理/融合输入约束，结果保留每项来源</x:v>
      </x:c>
      <x:c r="F71" s="30" t="str">
        <x:v>Q067</x:v>
      </x:c>
      <x:c r="G71" s="30" t="str">
        <x:v>A040；A044；A006；A041</x:v>
      </x:c>
      <x:c r="H71" s="30" t="str">
        <x:v>C12；C35；C36；C39；C44</x:v>
      </x:c>
      <x:c r="I71" s="30" t="str">
        <x:v>SC01；SC02；SC03；SC04；SC05；SC06；SC07；SC08；SC09；SC10；SC11；SC12；SC13；SC14；SC15；SC16；SC17；SC18</x:v>
      </x:c>
      <x:c r="J71" s="30" t="str">
        <x:v>S20；S21；S24</x:v>
      </x:c>
      <x:c r="K71" s="30" t="str">
        <x:v>https://kubernetes.io/docs/concepts/configuration/manage-resources-containers/
https://docs.mlcommons.org/inference/benchmarks/language/llama3_1-8b/</x:v>
      </x:c>
    </x:row>
    <x:row r="72" ht="108" customHeight="1">
      <x:c r="A72" s="30" t="str">
        <x:v>T068</x:v>
      </x:c>
      <x:c r="B72" s="30" t="str">
        <x:v>计算服务</x:v>
      </x:c>
      <x:c r="C72" s="30" t="str">
        <x:v>计算资源释放与缓存清理</x:v>
      </x:c>
      <x:c r="D72" s="30" t="str">
        <x:v>基线：依实际装配启用</x:v>
      </x:c>
      <x:c r="E72" s="30" t="str">
        <x:v>资源实际释放，不删除其他活动作业依赖</x:v>
      </x:c>
      <x:c r="F72" s="30" t="str">
        <x:v>Q068</x:v>
      </x:c>
      <x:c r="G72" s="30" t="str">
        <x:v>A049；A046；A054</x:v>
      </x:c>
      <x:c r="H72" s="30" t="str">
        <x:v>C35；C37；C39；C43</x:v>
      </x:c>
      <x:c r="I72" s="30" t="str">
        <x:v>SC01；SC02；SC03；SC04；SC05；SC06；SC07；SC08；SC09；SC10；SC11；SC12；SC13；SC14；SC15；SC16；SC17；SC18</x:v>
      </x:c>
      <x:c r="J72" s="30" t="str">
        <x:v>S20；S24</x:v>
      </x:c>
      <x:c r="K72" s="30" t="str">
        <x:v>https://kubernetes.io/docs/concepts/configuration/manage-resources-containers/</x:v>
      </x:c>
    </x:row>
    <x:row r="73" ht="108" customHeight="1">
      <x:c r="A73" s="30" t="str">
        <x:v>T069</x:v>
      </x:c>
      <x:c r="B73" s="30" t="str">
        <x:v>证据与认知</x:v>
      </x:c>
      <x:c r="C73" s="30" t="str">
        <x:v>跨源时间坐标对齐</x:v>
      </x:c>
      <x:c r="D73" s="30" t="str">
        <x:v>基线：依实际装配启用</x:v>
      </x:c>
      <x:c r="E73" s="30" t="str">
        <x:v>观测时间/坐标可比较且误差保留</x:v>
      </x:c>
      <x:c r="F73" s="30" t="str">
        <x:v>Q069</x:v>
      </x:c>
      <x:c r="G73" s="30" t="str">
        <x:v>A007；A040；A041</x:v>
      </x:c>
      <x:c r="H73" s="30" t="str">
        <x:v>C04；C35；C39；C40；C44</x:v>
      </x:c>
      <x:c r="I73" s="30" t="str">
        <x:v>SC01；SC02；SC03；SC04；SC05；SC06；SC07；SC08；SC09；SC10；SC11；SC12；SC13；SC14；SC15；SC16；SC17；SC18</x:v>
      </x:c>
      <x:c r="J73" s="30" t="str">
        <x:v>S05；S25</x:v>
      </x:c>
      <x:c r="K73" s="30" t="str">
        <x:v>https://4amgodvzx.github.io/ESAR.github.io/</x:v>
      </x:c>
    </x:row>
    <x:row r="74" ht="108" customHeight="1">
      <x:c r="A74" s="30" t="str">
        <x:v>T070</x:v>
      </x:c>
      <x:c r="B74" s="30" t="str">
        <x:v>证据与认知</x:v>
      </x:c>
      <x:c r="C74" s="30" t="str">
        <x:v>任务条件化本地历史检索</x:v>
      </x:c>
      <x:c r="D74" s="30" t="str">
        <x:v>基线：依实际装配启用</x:v>
      </x:c>
      <x:c r="E74" s="30" t="str">
        <x:v>返回本机有权访问的相关历史，不能读取队友私库</x:v>
      </x:c>
      <x:c r="F74" s="30" t="str">
        <x:v>Q070</x:v>
      </x:c>
      <x:c r="G74" s="30" t="str">
        <x:v>A038；A041</x:v>
      </x:c>
      <x:c r="H74" s="30" t="str">
        <x:v>C39；C44</x:v>
      </x:c>
      <x:c r="I74" s="30" t="str">
        <x:v>SC01；SC02；SC03；SC04；SC05；SC06；SC07；SC08；SC09；SC10；SC11；SC12；SC13；SC14；SC15；SC16；SC17；SC18</x:v>
      </x:c>
      <x:c r="J74" s="30" t="str">
        <x:v>S05；S06；S24</x:v>
      </x:c>
      <x:c r="K74" s="30" t="str">
        <x:v>https://4amgodvzx.github.io/ESAR.github.io/
https://github.com/UnrealZoo/RescueBench</x:v>
      </x:c>
    </x:row>
    <x:row r="75" ht="108" customHeight="1">
      <x:c r="A75" s="30" t="str">
        <x:v>T071</x:v>
      </x:c>
      <x:c r="B75" s="30" t="str">
        <x:v>证据与认知</x:v>
      </x:c>
      <x:c r="C75" s="30" t="str">
        <x:v>图像裁剪/编码/证据打包</x:v>
      </x:c>
      <x:c r="D75" s="30" t="str">
        <x:v>基线：依实际装配启用</x:v>
      </x:c>
      <x:c r="E75" s="30" t="str">
        <x:v>产生可追溯内容、hash、字节及变换成本</x:v>
      </x:c>
      <x:c r="F75" s="30" t="str">
        <x:v>Q071</x:v>
      </x:c>
      <x:c r="G75" s="30" t="str">
        <x:v>A039；A046</x:v>
      </x:c>
      <x:c r="H75" s="30" t="str">
        <x:v>C39；C41</x:v>
      </x:c>
      <x:c r="I75" s="30" t="str">
        <x:v>SC01；SC02；SC03；SC04；SC05；SC06；SC07；SC08；SC09；SC10；SC11；SC12；SC13；SC14；SC15；SC16；SC17；SC18</x:v>
      </x:c>
      <x:c r="J75" s="30" t="str">
        <x:v>S24；S25</x:v>
      </x:c>
      <x:c r="K75" s="30" t="str"/>
    </x:row>
    <x:row r="76" ht="108" customHeight="1">
      <x:c r="A76" s="30" t="str">
        <x:v>T072</x:v>
      </x:c>
      <x:c r="B76" s="30" t="str">
        <x:v>证据与认知</x:v>
      </x:c>
      <x:c r="C76" s="30" t="str">
        <x:v>置信度与证据充分性判断</x:v>
      </x:c>
      <x:c r="D76" s="30" t="str">
        <x:v>基线：依实际装配启用</x:v>
      </x:c>
      <x:c r="E76" s="30" t="str">
        <x:v>输出不确定性/需复核判断，不将未检测当不存在</x:v>
      </x:c>
      <x:c r="F76" s="30" t="str">
        <x:v>Q072；Q097</x:v>
      </x:c>
      <x:c r="G76" s="30" t="str">
        <x:v>A044；A006；A040；A041</x:v>
      </x:c>
      <x:c r="H76" s="30" t="str">
        <x:v>C12；C35；C39；C44</x:v>
      </x:c>
      <x:c r="I76" s="30" t="str">
        <x:v>SC01；SC02；SC03；SC04；SC05；SC06；SC07；SC08；SC09；SC10；SC11；SC12；SC13；SC14；SC15；SC16；SC17；SC18</x:v>
      </x:c>
      <x:c r="J76" s="30" t="str">
        <x:v>S05；S11；S24</x:v>
      </x:c>
      <x:c r="K76" s="30" t="str">
        <x:v>https://4amgodvzx.github.io/ESAR.github.io/
https://arxiv.org/abs/2309.09518</x:v>
      </x:c>
    </x:row>
    <x:row r="77" ht="108" customHeight="1">
      <x:c r="A77" s="30" t="str">
        <x:v>T073</x:v>
      </x:c>
      <x:c r="B77" s="30" t="str">
        <x:v>证据与认知</x:v>
      </x:c>
      <x:c r="C77" s="30" t="str">
        <x:v>多源融合与冲突更正</x:v>
      </x:c>
      <x:c r="D77" s="30" t="str">
        <x:v>基线：依实际装配启用</x:v>
      </x:c>
      <x:c r="E77" s="30" t="str">
        <x:v>保留冲突与更正传播；接收者仅收件后更新</x:v>
      </x:c>
      <x:c r="F77" s="30" t="str">
        <x:v>Q073；Q112</x:v>
      </x:c>
      <x:c r="G77" s="30" t="str">
        <x:v>A038；A040；A041；A036</x:v>
      </x:c>
      <x:c r="H77" s="30" t="str">
        <x:v>C31；C35；C39；C44</x:v>
      </x:c>
      <x:c r="I77" s="30" t="str">
        <x:v>SC01；SC02；SC03；SC04；SC05；SC06；SC07；SC08；SC09；SC10；SC11；SC12；SC13；SC14；SC15；SC16；SC17；SC18</x:v>
      </x:c>
      <x:c r="J77" s="30" t="str">
        <x:v>S05；S24</x:v>
      </x:c>
      <x:c r="K77" s="30" t="str">
        <x:v>https://4amgodvzx.github.io/ESAR.github.io/</x:v>
      </x:c>
    </x:row>
    <x:row r="78" ht="108" customHeight="1">
      <x:c r="A78" s="30" t="str">
        <x:v>T074</x:v>
      </x:c>
      <x:c r="B78" s="30" t="str">
        <x:v>证据与认知</x:v>
      </x:c>
      <x:c r="C78" s="30" t="str">
        <x:v>面向任务的信息选择与共享</x:v>
      </x:c>
      <x:c r="D78" s="30" t="str">
        <x:v>基线：依实际装配启用</x:v>
      </x:c>
      <x:c r="E78" s="30" t="str">
        <x:v>选取原图/裁剪/文本/表示，计通信与推理质量代价</x:v>
      </x:c>
      <x:c r="F78" s="30" t="str">
        <x:v>Q074</x:v>
      </x:c>
      <x:c r="G78" s="30" t="str">
        <x:v>A038；A043；A039；A036；A037</x:v>
      </x:c>
      <x:c r="H78" s="30" t="str">
        <x:v>C13；C31；C39；C41；C42</x:v>
      </x:c>
      <x:c r="I78" s="30" t="str">
        <x:v>SC01；SC02；SC03；SC04；SC05；SC06；SC07；SC08；SC09；SC10；SC11；SC12；SC13；SC14；SC15；SC16；SC17；SC18</x:v>
      </x:c>
      <x:c r="J78" s="30" t="str">
        <x:v>S24</x:v>
      </x:c>
      <x:c r="K78" s="30" t="str"/>
    </x:row>
    <x:row r="79" ht="108" customHeight="1">
      <x:c r="A79" s="30" t="str">
        <x:v>T075</x:v>
      </x:c>
      <x:c r="B79" s="30" t="str">
        <x:v>证据与认知</x:v>
      </x:c>
      <x:c r="C79" s="30" t="str">
        <x:v>局部信念与过时信息维护</x:v>
      </x:c>
      <x:c r="D79" s="30" t="str">
        <x:v>基线：依实际装配启用</x:v>
      </x:c>
      <x:c r="E79" s="30" t="str">
        <x:v>按来源/时间更新本地世界、任务与队友估计</x:v>
      </x:c>
      <x:c r="F79" s="30" t="str">
        <x:v>Q075；Q108；Q112</x:v>
      </x:c>
      <x:c r="G79" s="30" t="str">
        <x:v>A038；A041；A046</x:v>
      </x:c>
      <x:c r="H79" s="30" t="str">
        <x:v>C39；C44</x:v>
      </x:c>
      <x:c r="I79" s="30" t="str">
        <x:v>SC01；SC02；SC03；SC04；SC05；SC06；SC07；SC08；SC09；SC10；SC11；SC12；SC13；SC14；SC15；SC16；SC17；SC18</x:v>
      </x:c>
      <x:c r="J79" s="30" t="str">
        <x:v>S05；S06；S24</x:v>
      </x:c>
      <x:c r="K79" s="30" t="str">
        <x:v>https://4amgodvzx.github.io/ESAR.github.io/
https://github.com/UnrealZoo/RescueBench</x:v>
      </x:c>
    </x:row>
    <x:row r="80" ht="108" customHeight="1">
      <x:c r="A80" s="30" t="str">
        <x:v>T076</x:v>
      </x:c>
      <x:c r="B80" s="30" t="str">
        <x:v>证据与认知</x:v>
      </x:c>
      <x:c r="C80" s="30" t="str">
        <x:v>轨迹/证据归档与回放</x:v>
      </x:c>
      <x:c r="D80" s="30" t="str">
        <x:v>基线：依实际装配启用</x:v>
      </x:c>
      <x:c r="E80" s="30" t="str">
        <x:v>完整记录观察-任务-动作-反馈-费用；评估真值不进策略输入</x:v>
      </x:c>
      <x:c r="F80" s="30" t="str">
        <x:v>Q076</x:v>
      </x:c>
      <x:c r="G80" s="30" t="str">
        <x:v>A060</x:v>
      </x:c>
      <x:c r="H80" s="30" t="str">
        <x:v>C39</x:v>
      </x:c>
      <x:c r="I80" s="30" t="str">
        <x:v>SC01；SC02；SC03；SC04；SC05；SC06；SC07；SC08；SC09；SC10；SC11；SC12；SC13；SC14；SC15；SC16；SC17；SC18</x:v>
      </x:c>
      <x:c r="J80" s="30" t="str">
        <x:v>S05；S06；S24</x:v>
      </x:c>
      <x:c r="K80" s="30" t="str">
        <x:v>https://4amgodvzx.github.io/ESAR.github.io/
https://github.com/UnrealZoo/RescueBench</x:v>
      </x:c>
    </x:row>
    <x:row r="81" ht="108" customHeight="1">
      <x:c r="A81" s="30" t="str">
        <x:v>T077</x:v>
      </x:c>
      <x:c r="B81" s="30" t="str">
        <x:v>任务协作</x:v>
      </x:c>
      <x:c r="C81" s="30" t="str">
        <x:v>接收并解释当前使命</x:v>
      </x:c>
      <x:c r="D81" s="30" t="str">
        <x:v>基线：依实际装配启用</x:v>
      </x:c>
      <x:c r="E81" s="30" t="str">
        <x:v>任务实际到达后解析目标/约束并决定接受</x:v>
      </x:c>
      <x:c r="F81" s="30" t="str">
        <x:v>Q077</x:v>
      </x:c>
      <x:c r="G81" s="30" t="str">
        <x:v>A065；A044；A006；A041；A053</x:v>
      </x:c>
      <x:c r="H81" s="30" t="str">
        <x:v>C12；C31；C35；C39；C43；C44</x:v>
      </x:c>
      <x:c r="I81" s="30" t="str">
        <x:v>SC01；SC02；SC03；SC04；SC05；SC06；SC07；SC08；SC09；SC10；SC11；SC12；SC13；SC14；SC15；SC16；SC17；SC18</x:v>
      </x:c>
      <x:c r="J81" s="30" t="str">
        <x:v>S19；S24</x:v>
      </x:c>
      <x:c r="K81" s="30" t="str">
        <x:v>https://design.ros2.org/articles/actions.html</x:v>
      </x:c>
    </x:row>
    <x:row r="82" ht="108" customHeight="1">
      <x:c r="A82" s="30" t="str">
        <x:v>T078</x:v>
      </x:c>
      <x:c r="B82" s="30" t="str">
        <x:v>任务协作</x:v>
      </x:c>
      <x:c r="C82" s="30" t="str">
        <x:v>自主任务分解与候选生成</x:v>
      </x:c>
      <x:c r="D82" s="30" t="str">
        <x:v>基线：依实际装配启用</x:v>
      </x:c>
      <x:c r="E82" s="30" t="str">
        <x:v>形成可执行子目标/依赖，不由环境预写派生树</x:v>
      </x:c>
      <x:c r="F82" s="30" t="str">
        <x:v>Q078</x:v>
      </x:c>
      <x:c r="G82" s="30" t="str">
        <x:v>A038；A044；A006；A050</x:v>
      </x:c>
      <x:c r="H82" s="30" t="str">
        <x:v>C12；C35；C39；C42</x:v>
      </x:c>
      <x:c r="I82" s="30" t="str">
        <x:v>SC01；SC02；SC03；SC04；SC05；SC06；SC07；SC08；SC09；SC10；SC11；SC12；SC13；SC14；SC15；SC16；SC17；SC18</x:v>
      </x:c>
      <x:c r="J82" s="30" t="str">
        <x:v>S24</x:v>
      </x:c>
      <x:c r="K82" s="30" t="str"/>
    </x:row>
    <x:row r="83" ht="108" customHeight="1">
      <x:c r="A83" s="30" t="str">
        <x:v>T079</x:v>
      </x:c>
      <x:c r="B83" s="30" t="str">
        <x:v>任务协作</x:v>
      </x:c>
      <x:c r="C83" s="30" t="str">
        <x:v>本机参与筛选与出价</x:v>
      </x:c>
      <x:c r="D83" s="30" t="str">
        <x:v>基线：依实际装配启用</x:v>
      </x:c>
      <x:c r="E83" s="30" t="str">
        <x:v>根据实际设备、资源、当前承诺提出参与建议</x:v>
      </x:c>
      <x:c r="F83" s="30" t="str">
        <x:v>Q079；Q100</x:v>
      </x:c>
      <x:c r="G83" s="30" t="str">
        <x:v>A051；A036；A037</x:v>
      </x:c>
      <x:c r="H83" s="30" t="str">
        <x:v>C31；C42</x:v>
      </x:c>
      <x:c r="I83" s="30" t="str">
        <x:v>SC01；SC02；SC03；SC04；SC05；SC06；SC07；SC08；SC09；SC10；SC11；SC12；SC13；SC14；SC15；SC16；SC17；SC18</x:v>
      </x:c>
      <x:c r="J83" s="30" t="str">
        <x:v>S24；S25</x:v>
      </x:c>
      <x:c r="K83" s="30" t="str"/>
    </x:row>
    <x:row r="84" ht="108" customHeight="1">
      <x:c r="A84" s="30" t="str">
        <x:v>T080</x:v>
      </x:c>
      <x:c r="B84" s="30" t="str">
        <x:v>任务协作</x:v>
      </x:c>
      <x:c r="C84" s="30" t="str">
        <x:v>多平台任务分配与协调</x:v>
      </x:c>
      <x:c r="D84" s="30" t="str">
        <x:v>基线：依实际装配启用</x:v>
      </x:c>
      <x:c r="E84" s="30" t="str">
        <x:v>计划只基于已收信息，分配后还需执行者接受</x:v>
      </x:c>
      <x:c r="F84" s="30" t="str">
        <x:v>Q080；Q101；Q109</x:v>
      </x:c>
      <x:c r="G84" s="30" t="str">
        <x:v>A038；A044；A006；A052；A036</x:v>
      </x:c>
      <x:c r="H84" s="30" t="str">
        <x:v>C12；C31；C35；C39；C42</x:v>
      </x:c>
      <x:c r="I84" s="30" t="str">
        <x:v>SC01；SC02；SC03；SC04；SC05；SC06；SC07；SC08；SC09；SC10；SC11；SC12；SC13；SC14；SC15；SC16；SC17；SC18</x:v>
      </x:c>
      <x:c r="J84" s="30" t="str">
        <x:v>S03；S24</x:v>
      </x:c>
      <x:c r="K84" s="30" t="str">
        <x:v>https://roborescue.github.io/rcrs-server/rcrs-server/index.html</x:v>
      </x:c>
    </x:row>
    <x:row r="85" ht="108" customHeight="1">
      <x:c r="A85" s="30" t="str">
        <x:v>T081</x:v>
      </x:c>
      <x:c r="B85" s="30" t="str">
        <x:v>任务协作</x:v>
      </x:c>
      <x:c r="C85" s="30" t="str">
        <x:v>任务接受/拒绝与承诺</x:v>
      </x:c>
      <x:c r="D85" s="30" t="str">
        <x:v>基线：依实际装配启用</x:v>
      </x:c>
      <x:c r="E85" s="30" t="str">
        <x:v>本机接受后承诺生效，拒绝说明设备/资源原因</x:v>
      </x:c>
      <x:c r="F85" s="30" t="str">
        <x:v>Q081；Q100；Q109</x:v>
      </x:c>
      <x:c r="G85" s="30" t="str">
        <x:v>A065；A053；A036；A037</x:v>
      </x:c>
      <x:c r="H85" s="30" t="str">
        <x:v>C31；C43</x:v>
      </x:c>
      <x:c r="I85" s="30" t="str">
        <x:v>SC01；SC02；SC03；SC04；SC05；SC06；SC07；SC08；SC09；SC10；SC11；SC12；SC13；SC14；SC15；SC16；SC17；SC18</x:v>
      </x:c>
      <x:c r="J85" s="30" t="str">
        <x:v>S19；S24</x:v>
      </x:c>
      <x:c r="K85" s="30" t="str">
        <x:v>https://design.ros2.org/articles/actions.html</x:v>
      </x:c>
    </x:row>
    <x:row r="86" ht="108" customHeight="1">
      <x:c r="A86" s="30" t="str">
        <x:v>T082</x:v>
      </x:c>
      <x:c r="B86" s="30" t="str">
        <x:v>任务协作</x:v>
      </x:c>
      <x:c r="C86" s="30" t="str">
        <x:v>进度监控与完成确认</x:v>
      </x:c>
      <x:c r="D86" s="30" t="str">
        <x:v>基线：依实际装配启用</x:v>
      </x:c>
      <x:c r="E86" s="30" t="str">
        <x:v>实际动作/结果证据支撑进度；缺回执不完成</x:v>
      </x:c>
      <x:c r="F86" s="30" t="str">
        <x:v>Q082</x:v>
      </x:c>
      <x:c r="G86" s="30" t="str">
        <x:v>A054；A036；A037</x:v>
      </x:c>
      <x:c r="H86" s="30" t="str">
        <x:v>C31；C43</x:v>
      </x:c>
      <x:c r="I86" s="30" t="str">
        <x:v>SC01；SC02；SC03；SC04；SC05；SC06；SC07；SC08；SC09；SC10；SC11；SC12；SC13；SC14；SC15；SC16；SC17；SC18</x:v>
      </x:c>
      <x:c r="J86" s="30" t="str">
        <x:v>S19；S24</x:v>
      </x:c>
      <x:c r="K86" s="30" t="str">
        <x:v>https://design.ros2.org/articles/actions.html</x:v>
      </x:c>
    </x:row>
    <x:row r="87" ht="108" customHeight="1">
      <x:c r="A87" s="30" t="str">
        <x:v>T083</x:v>
      </x:c>
      <x:c r="B87" s="30" t="str">
        <x:v>任务协作</x:v>
      </x:c>
      <x:c r="C87" s="30" t="str">
        <x:v>任务取消/抢占</x:v>
      </x:c>
      <x:c r="D87" s="30" t="str">
        <x:v>基线：依实际装配启用</x:v>
      </x:c>
      <x:c r="E87" s="30" t="str">
        <x:v>安全停止或拒绝后修改任务，已耗成本保留</x:v>
      </x:c>
      <x:c r="F87" s="30" t="str">
        <x:v>Q083；Q102</x:v>
      </x:c>
      <x:c r="G87" s="30" t="str">
        <x:v>A055；A056；A054；A036</x:v>
      </x:c>
      <x:c r="H87" s="30" t="str">
        <x:v>C31；C43；C45</x:v>
      </x:c>
      <x:c r="I87" s="30" t="str">
        <x:v>SC01；SC02；SC03；SC04；SC05；SC06；SC07；SC08；SC09；SC10；SC11；SC12；SC13；SC14；SC15；SC16；SC17；SC18</x:v>
      </x:c>
      <x:c r="J87" s="30" t="str">
        <x:v>S19；S24</x:v>
      </x:c>
      <x:c r="K87" s="30" t="str">
        <x:v>https://design.ros2.org/articles/actions.html</x:v>
      </x:c>
    </x:row>
    <x:row r="88" ht="108" customHeight="1">
      <x:c r="A88" s="30" t="str">
        <x:v>T084</x:v>
      </x:c>
      <x:c r="B88" s="30" t="str">
        <x:v>任务协作</x:v>
      </x:c>
      <x:c r="C88" s="30" t="str">
        <x:v>恢复原任务</x:v>
      </x:c>
      <x:c r="D88" s="30" t="str">
        <x:v>基线：依实际装配启用</x:v>
      </x:c>
      <x:c r="E88" s="30" t="str">
        <x:v>校验当前资源/地图后从检查点继续原承诺</x:v>
      </x:c>
      <x:c r="F88" s="30" t="str">
        <x:v>Q084；Q102</x:v>
      </x:c>
      <x:c r="G88" s="30" t="str">
        <x:v>A038；A057；A001；A002；A054</x:v>
      </x:c>
      <x:c r="H88" s="30" t="str">
        <x:v>C01；C02；C39；C43；C45</x:v>
      </x:c>
      <x:c r="I88" s="30" t="str">
        <x:v>SC01；SC02；SC03；SC04；SC05；SC06；SC07；SC08；SC09；SC10；SC11；SC12；SC13；SC14；SC15；SC16；SC17；SC18</x:v>
      </x:c>
      <x:c r="J88" s="30" t="str">
        <x:v>S19；S24；S25</x:v>
      </x:c>
      <x:c r="K88" s="30" t="str">
        <x:v>https://design.ros2.org/articles/actions.html</x:v>
      </x:c>
    </x:row>
    <x:row r="89" ht="108" customHeight="1">
      <x:c r="A89" s="30" t="str">
        <x:v>T085</x:v>
      </x:c>
      <x:c r="B89" s="30" t="str">
        <x:v>任务协作</x:v>
      </x:c>
      <x:c r="C89" s="30" t="str">
        <x:v>跨Agent任务与证据交接</x:v>
      </x:c>
      <x:c r="D89" s="30" t="str">
        <x:v>基线：依实际装配启用</x:v>
      </x:c>
      <x:c r="E89" s="30" t="str">
        <x:v>新方确认、旧方释放，避免双执行和免费共享历史</x:v>
      </x:c>
      <x:c r="F89" s="30" t="str">
        <x:v>Q085；Q105</x:v>
      </x:c>
      <x:c r="G89" s="30" t="str">
        <x:v>A058；A036；A065；A053；A037；A054</x:v>
      </x:c>
      <x:c r="H89" s="30" t="str">
        <x:v>C31；C42；C43</x:v>
      </x:c>
      <x:c r="I89" s="30" t="str">
        <x:v>SC01；SC02；SC03；SC04；SC05；SC06；SC07；SC08；SC09；SC10；SC11；SC12；SC13；SC14；SC15；SC16；SC17；SC18</x:v>
      </x:c>
      <x:c r="J89" s="30" t="str">
        <x:v>S19；S24</x:v>
      </x:c>
      <x:c r="K89" s="30" t="str">
        <x:v>https://design.ros2.org/articles/actions.html</x:v>
      </x:c>
    </x:row>
    <x:row r="90" ht="108" customHeight="1">
      <x:c r="A90" s="30" t="str">
        <x:v>T086</x:v>
      </x:c>
      <x:c r="B90" s="30" t="str">
        <x:v>任务协作</x:v>
      </x:c>
      <x:c r="C90" s="30" t="str">
        <x:v>失败重规划与重派</x:v>
      </x:c>
      <x:c r="D90" s="30" t="str">
        <x:v>基线：依实际装配启用</x:v>
      </x:c>
      <x:c r="E90" s="30" t="str">
        <x:v>新的证据/限制引起新版本计划，并正确撤销旧承诺</x:v>
      </x:c>
      <x:c r="F90" s="30" t="str">
        <x:v>Q086；Q098；Q108；Q112</x:v>
      </x:c>
      <x:c r="G90" s="30" t="str">
        <x:v>A041；A044；A006；A050；A052；A036</x:v>
      </x:c>
      <x:c r="H90" s="30" t="str">
        <x:v>C12；C31；C35；C39；C42；C44</x:v>
      </x:c>
      <x:c r="I90" s="30" t="str">
        <x:v>SC01；SC02；SC03；SC04；SC05；SC06；SC07；SC08；SC09；SC10；SC11；SC12；SC13；SC14；SC15；SC16；SC17；SC18</x:v>
      </x:c>
      <x:c r="J90" s="30" t="str">
        <x:v>S03；S24</x:v>
      </x:c>
      <x:c r="K90" s="30" t="str">
        <x:v>https://roborescue.github.io/rcrs-server/rcrs-server/index.html</x:v>
      </x:c>
    </x:row>
    <x:row r="91" ht="108" customHeight="1">
      <x:c r="A91" s="30" t="str">
        <x:v>T087</x:v>
      </x:c>
      <x:c r="B91" s="30" t="str">
        <x:v>任务协作</x:v>
      </x:c>
      <x:c r="C91" s="30" t="str">
        <x:v>请求专业救援/工程力量</x:v>
      </x:c>
      <x:c r="D91" s="30" t="str">
        <x:v>基线：依实际装配启用</x:v>
      </x:c>
      <x:c r="E91" s="30" t="str">
        <x:v>明确外部响应、到场、作业结果；请求不等于成功</x:v>
      </x:c>
      <x:c r="F91" s="30" t="str">
        <x:v>Q087；Q099</x:v>
      </x:c>
      <x:c r="G91" s="30" t="str">
        <x:v>A059；A036；A037；A054</x:v>
      </x:c>
      <x:c r="H91" s="30" t="str">
        <x:v>C31；C43；C46</x:v>
      </x:c>
      <x:c r="I91" s="30" t="str">
        <x:v>SC01；SC02；SC03；SC04；SC05；SC06；SC07；SC08；SC09；SC10；SC11；SC12；SC13；SC14；SC15；SC16；SC17；SC18</x:v>
      </x:c>
      <x:c r="J91" s="30" t="str">
        <x:v>S01；S24</x:v>
      </x:c>
      <x:c r="K91" s="30" t="str">
        <x:v>https://insarag.org/wp-content/uploads/2021/06/INSARAG20Guidelines20Vol20II2C20Man20B.pdf</x:v>
      </x:c>
    </x:row>
    <x:row r="92" ht="108" customHeight="1">
      <x:c r="A92" s="30" t="str">
        <x:v>T088</x:v>
      </x:c>
      <x:c r="B92" s="30" t="str">
        <x:v>任务协作</x:v>
      </x:c>
      <x:c r="C92" s="30" t="str">
        <x:v>工作现场闭合与阶段移交</x:v>
      </x:c>
      <x:c r="D92" s="30" t="str">
        <x:v>基线：依实际装配启用</x:v>
      </x:c>
      <x:c r="E92" s="30" t="str">
        <x:v>汇报完成/未覆盖/残余危险及后续承担者</x:v>
      </x:c>
      <x:c r="F92" s="30" t="str">
        <x:v>Q088；Q110</x:v>
      </x:c>
      <x:c r="G92" s="30" t="str">
        <x:v>A010；A054；A036；A037</x:v>
      </x:c>
      <x:c r="H92" s="30" t="str">
        <x:v>C31；C43</x:v>
      </x:c>
      <x:c r="I92" s="30" t="str">
        <x:v>SC01；SC02；SC03；SC04；SC05；SC06；SC07；SC08；SC09；SC10；SC11；SC12；SC13；SC14；SC15；SC16；SC17；SC18</x:v>
      </x:c>
      <x:c r="J92" s="30" t="str">
        <x:v>S01</x:v>
      </x:c>
      <x:c r="K92" s="30" t="str">
        <x:v>https://insarag.org/wp-content/uploads/2021/06/INSARAG20Guidelines20Vol20II2C20Man20B.pdf</x:v>
      </x:c>
    </x:row>
    <x:row r="93" ht="108" customHeight="1">
      <x:c r="A93" s="30" t="str">
        <x:v>T089</x:v>
      </x:c>
      <x:c r="B93" s="30" t="str">
        <x:v>运行保障</x:v>
      </x:c>
      <x:c r="C93" s="30" t="str">
        <x:v>次生危险动态监视</x:v>
      </x:c>
      <x:c r="D93" s="30" t="str">
        <x:v>基线：依实际装配启用</x:v>
      </x:c>
      <x:c r="E93" s="30" t="str">
        <x:v>观测新危险后报告并触发Agent重规划，而非无代价全局告知</x:v>
      </x:c>
      <x:c r="F93" s="30" t="str">
        <x:v>Q089</x:v>
      </x:c>
      <x:c r="G93" s="30" t="str">
        <x:v>A005；A006；A041；A036</x:v>
      </x:c>
      <x:c r="H93" s="30" t="str">
        <x:v>C05；C12；C31；C35；C39；C44</x:v>
      </x:c>
      <x:c r="I93" s="30" t="str">
        <x:v>SC01；SC02；SC03；SC04；SC05；SC06；SC07；SC08；SC09；SC10；SC11；SC12；SC13；SC14；SC15；SC16；SC17；SC18</x:v>
      </x:c>
      <x:c r="J93" s="30" t="str">
        <x:v>S01；S03；S24</x:v>
      </x:c>
      <x:c r="K93" s="30" t="str">
        <x:v>https://insarag.org/wp-content/uploads/2021/06/INSARAG20Guidelines20Vol20II2C20Man20B.pdf
https://roborescue.github.io/rcrs-server/rcrs-server/index.html</x:v>
      </x:c>
    </x:row>
    <x:row r="94" ht="108" customHeight="1">
      <x:c r="A94" s="30" t="str">
        <x:v>T090</x:v>
      </x:c>
      <x:c r="B94" s="30" t="str">
        <x:v>运行保障</x:v>
      </x:c>
      <x:c r="C94" s="30" t="str">
        <x:v>平台/能源/服务健康监视</x:v>
      </x:c>
      <x:c r="D94" s="30" t="str">
        <x:v>基线：依实际装配启用</x:v>
      </x:c>
      <x:c r="E94" s="30" t="str">
        <x:v>实际遥测与服务结果更新本机/队友资源估计</x:v>
      </x:c>
      <x:c r="F94" s="30" t="str">
        <x:v>Q090</x:v>
      </x:c>
      <x:c r="G94" s="30" t="str">
        <x:v>A061；A041；A036</x:v>
      </x:c>
      <x:c r="H94" s="30" t="str">
        <x:v>C31；C35；C39；C43；C44</x:v>
      </x:c>
      <x:c r="I94" s="30" t="str">
        <x:v>SC01；SC02；SC03；SC04；SC05；SC06；SC07；SC08；SC09；SC10；SC11；SC12；SC13；SC14；SC15；SC16；SC17；SC18</x:v>
      </x:c>
      <x:c r="J94" s="30" t="str">
        <x:v>S02；S18；S24</x:v>
      </x:c>
      <x:c r="K94" s="30" t="str">
        <x:v>https://www.nist.gov/programs-projects/department-homeland-security-response-robot-performance-standards
https://www.nsnam.org/docs/models/html/energy.html</x:v>
      </x:c>
    </x:row>
    <x:row r="95" ht="108" customHeight="1">
      <x:c r="A95" s="30" t="str">
        <x:v>T091</x:v>
      </x:c>
      <x:c r="B95" s="30" t="str">
        <x:v>运行保障</x:v>
      </x:c>
      <x:c r="C95" s="30" t="str">
        <x:v>安全等待与驻留观察</x:v>
      </x:c>
      <x:c r="D95" s="30" t="str">
        <x:v>基线：依实际装配启用</x:v>
      </x:c>
      <x:c r="E95" s="30" t="str">
        <x:v>驻留/观察持续消耗资源，满足终止条件</x:v>
      </x:c>
      <x:c r="F95" s="30" t="str">
        <x:v>Q091</x:v>
      </x:c>
      <x:c r="G95" s="30" t="str">
        <x:v>A004；A005；A041；A054</x:v>
      </x:c>
      <x:c r="H95" s="30" t="str">
        <x:v>C05；C39；C43；C44；C45</x:v>
      </x:c>
      <x:c r="I95" s="30" t="str">
        <x:v>SC01；SC02；SC03；SC04；SC05；SC06；SC07；SC08；SC09；SC10；SC11；SC12；SC13；SC14；SC15；SC16；SC17；SC18</x:v>
      </x:c>
      <x:c r="J95" s="30" t="str">
        <x:v>S02；S24</x:v>
      </x:c>
      <x:c r="K95" s="30" t="str">
        <x:v>https://www.nist.gov/programs-projects/department-homeland-security-response-robot-performance-standards</x:v>
      </x:c>
    </x:row>
    <x:row r="96" ht="108" customHeight="1">
      <x:c r="A96" s="30" t="str">
        <x:v>T092</x:v>
      </x:c>
      <x:c r="B96" s="30" t="str">
        <x:v>运行保障</x:v>
      </x:c>
      <x:c r="C96" s="30" t="str">
        <x:v>设备/传感器/服务故障诊断</x:v>
      </x:c>
      <x:c r="D96" s="30" t="str">
        <x:v>基线：依实际装配启用</x:v>
      </x:c>
      <x:c r="E96" s="30" t="str">
        <x:v>报告恢复/隔离/无法恢复，必要时请求替代主体</x:v>
      </x:c>
      <x:c r="F96" s="30" t="str">
        <x:v>Q092；Q107</x:v>
      </x:c>
      <x:c r="G96" s="30" t="str">
        <x:v>A061；A048；A059；A054</x:v>
      </x:c>
      <x:c r="H96" s="30" t="str">
        <x:v>C31；C35；C43；C46</x:v>
      </x:c>
      <x:c r="I96" s="30" t="str">
        <x:v>SC01；SC02；SC03；SC04；SC05；SC06；SC07；SC08；SC09；SC10；SC11；SC12；SC13；SC14；SC15；SC16；SC17；SC18</x:v>
      </x:c>
      <x:c r="J96" s="30" t="str">
        <x:v>S02；S19；S24</x:v>
      </x:c>
      <x:c r="K96" s="30" t="str">
        <x:v>https://www.nist.gov/programs-projects/department-homeland-security-response-robot-performance-standards
https://design.ros2.org/articles/actions.html</x:v>
      </x:c>
    </x:row>
    <x:row r="97" ht="108" customHeight="1">
      <x:c r="A97" s="30" t="str">
        <x:v>T093</x:v>
      </x:c>
      <x:c r="B97" s="30" t="str">
        <x:v>通行与工程</x:v>
      </x:c>
      <x:c r="C97" s="30" t="str">
        <x:v>消防抑制/灭火</x:v>
      </x:c>
      <x:c r="D97" s="30" t="str">
        <x:v>条件扩展：明确设备/专业服务后启用</x:v>
      </x:c>
      <x:c r="E97" s="30" t="str">
        <x:v>具备消防能力者按模型实际降低火势并核验</x:v>
      </x:c>
      <x:c r="F97" s="30" t="str">
        <x:v>Q093</x:v>
      </x:c>
      <x:c r="G97" s="30" t="str">
        <x:v>A059；A062；A005；A054</x:v>
      </x:c>
      <x:c r="H97" s="30" t="str">
        <x:v>C05；C31；C43；C46；C47</x:v>
      </x:c>
      <x:c r="I97" s="30" t="str">
        <x:v>SC06；SC07；SC17</x:v>
      </x:c>
      <x:c r="J97" s="30" t="str">
        <x:v>S03</x:v>
      </x:c>
      <x:c r="K97" s="30" t="str">
        <x:v>https://roborescue.github.io/rcrs-server/rcrs-server/index.html</x:v>
      </x:c>
    </x:row>
    <x:row r="98" ht="108" customHeight="1">
      <x:c r="A98" s="30" t="str">
        <x:v>T094</x:v>
      </x:c>
      <x:c r="B98" s="30" t="str">
        <x:v>后勤与能源</x:v>
      </x:c>
      <x:c r="C98" s="30" t="str">
        <x:v>消防供水与灭火耗材补充</x:v>
      </x:c>
      <x:c r="D98" s="30" t="str">
        <x:v>条件扩展：明确设备/专业服务后启用</x:v>
      </x:c>
      <x:c r="E98" s="30" t="str">
        <x:v>从实际水源/库存补充介质，不免费无限喷水</x:v>
      </x:c>
      <x:c r="F98" s="30" t="str">
        <x:v>Q094</x:v>
      </x:c>
      <x:c r="G98" s="30" t="str">
        <x:v>A002；A028；A054</x:v>
      </x:c>
      <x:c r="H98" s="30" t="str">
        <x:v>C02；C27；C43</x:v>
      </x:c>
      <x:c r="I98" s="30" t="str">
        <x:v>SC06；SC07；SC17</x:v>
      </x:c>
      <x:c r="J98" s="30" t="str">
        <x:v>S03</x:v>
      </x:c>
      <x:c r="K98" s="30" t="str">
        <x:v>https://roborescue.github.io/rcrs-server/rcrs-server/index.html</x:v>
      </x:c>
    </x:row>
    <x:row r="99" ht="108" customHeight="1">
      <x:c r="A99" s="30" t="str">
        <x:v>T095</x:v>
      </x:c>
      <x:c r="B99" s="30" t="str">
        <x:v>通行与工程</x:v>
      </x:c>
      <x:c r="C99" s="30" t="str">
        <x:v>危险源隔离/警戒区建立</x:v>
      </x:c>
      <x:c r="D99" s="30" t="str">
        <x:v>条件扩展：明确设备/专业服务后启用</x:v>
      </x:c>
      <x:c r="E99" s="30" t="str">
        <x:v>授权主体隔离或标记危险区，风险与通行状态同步</x:v>
      </x:c>
      <x:c r="F99" s="30" t="str">
        <x:v>Q095</x:v>
      </x:c>
      <x:c r="G99" s="30" t="str">
        <x:v>A059；A063；A010；A036</x:v>
      </x:c>
      <x:c r="H99" s="30" t="str">
        <x:v>C31；C43；C46；C48</x:v>
      </x:c>
      <x:c r="I99" s="30" t="str">
        <x:v>SC06；SC07；SC08；SC09；SC14；SC15；SC16；SC17；SC18</x:v>
      </x:c>
      <x:c r="J99" s="30" t="str">
        <x:v>S01；S02</x:v>
      </x:c>
      <x:c r="K99" s="30" t="str">
        <x:v>https://insarag.org/wp-content/uploads/2021/06/INSARAG20Guidelines20Vol20II2C20Man20B.pdf
https://www.nist.gov/programs-projects/department-homeland-security-response-robot-performance-standards</x:v>
      </x:c>
    </x:row>
    <x:row r="100" ht="108" customHeight="1">
      <x:c r="A100" s="30" t="str">
        <x:v>T096</x:v>
      </x:c>
      <x:c r="B100" s="30" t="str">
        <x:v>证据与认知</x:v>
      </x:c>
      <x:c r="C100" s="30" t="str">
        <x:v>跨模型特征/潜表示适配</x:v>
      </x:c>
      <x:c r="D100" s="30" t="str">
        <x:v>条件扩展：明确设备/专业服务后启用</x:v>
      </x:c>
      <x:c r="E100" s="30" t="str">
        <x:v>只有适配兼容证据充分时才输出目标表示，计成本与质量损失</x:v>
      </x:c>
      <x:c r="F100" s="30" t="str">
        <x:v>Q096</x:v>
      </x:c>
      <x:c r="G100" s="30" t="str">
        <x:v>A038；A064；A046；A036；A037</x:v>
      </x:c>
      <x:c r="H100" s="30" t="str">
        <x:v>C31；C35；C39；C49</x:v>
      </x:c>
      <x:c r="I100" s="30" t="str">
        <x:v>SC01；SC02；SC03；SC04；SC05；SC06；SC07；SC08；SC09；SC10；SC11；SC12；SC13；SC14；SC15；SC16；SC17；SC18</x:v>
      </x:c>
      <x:c r="J100" s="30" t="str">
        <x:v>S24</x:v>
      </x:c>
      <x:c r="K100" s="30" t="str"/>
    </x:row>
  </x:sheetData>
  <x:mergeCells>
    <x:mergeCell ref="A1:K1"/>
    <x:mergeCell ref="A2:K2"/>
  </x:mergeCells>
  <x:pageMargins left="0.7" right="0.7" top="0.75" bottom="0.75" header="0.3" footer="0.3"/>
  <x:tableParts count="1">
    <x:tablePart xmlns:r="http://schemas.openxmlformats.org/officeDocument/2006/relationships" r:id="R9273b7535cf54bf4"/>
  </x:tableParts>
</x:worksheet>
</file>

<file path=xl/worksheets/sheet7.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42" hidden="0" customWidth="1"/>
    <x:col min="3" max="3" width="20" hidden="0" customWidth="1"/>
    <x:col min="4" max="4" width="24" hidden="0" customWidth="1"/>
    <x:col min="5" max="5" width="45" hidden="0" customWidth="1"/>
    <x:col min="6" max="6" width="60" hidden="0" customWidth="1"/>
    <x:col min="7" max="7" width="50" hidden="0" customWidth="1"/>
    <x:col min="8" max="8" width="54" hidden="0" customWidth="1"/>
    <x:col min="9" max="9" width="18" hidden="0" customWidth="1"/>
    <x:col min="10" max="10" width="55" hidden="0" customWidth="1"/>
  </x:cols>
  <x:sheetData>
    <x:row r="1" ht="33" customHeight="1">
      <x:c r="A1" s="8" t="str">
        <x:v>112条参考行动序列</x:v>
      </x:c>
      <x:c r="B1" s="8"/>
      <x:c r="C1" s="8"/>
      <x:c r="D1" s="8"/>
      <x:c r="E1" s="8"/>
      <x:c r="F1" s="8"/>
      <x:c r="G1" s="8"/>
      <x:c r="H1" s="8"/>
      <x:c r="I1" s="8"/>
      <x:c r="J1" s="8"/>
    </x:row>
    <x:row r="2" ht="34" customHeight="1">
      <x:c r="A2" s="15" t="str">
        <x:v>96条主路径 + 16条条件分支；仅是可执行路径模板/验证用例，不是环境强制执行的任务派生树；A/B表示按条件择一</x:v>
      </x:c>
      <x:c r="B2" s="15"/>
      <x:c r="C2" s="15"/>
      <x:c r="D2" s="15"/>
      <x:c r="E2" s="15"/>
      <x:c r="F2" s="15"/>
      <x:c r="G2" s="15"/>
      <x:c r="H2" s="15"/>
      <x:c r="I2" s="15"/>
      <x:c r="J2" s="15"/>
    </x:row>
    <x:row r="3">
      <x:c r="A3" s="4"/>
      <x:c r="B3" s="4"/>
      <x:c r="C3" s="4"/>
      <x:c r="D3" s="4"/>
      <x:c r="E3" s="4"/>
      <x:c r="F3" s="4"/>
      <x:c r="G3" s="4"/>
      <x:c r="H3" s="4"/>
      <x:c r="I3" s="4"/>
      <x:c r="J3" s="4"/>
    </x:row>
    <x:row r="4" ht="29" customHeight="1">
      <x:c r="A4" s="23" t="str">
        <x:v>序列ID</x:v>
      </x:c>
      <x:c r="B4" s="23" t="str">
        <x:v>名称</x:v>
      </x:c>
      <x:c r="C4" s="23" t="str">
        <x:v>类型</x:v>
      </x:c>
      <x:c r="D4" s="23" t="str">
        <x:v>关联任务</x:v>
      </x:c>
      <x:c r="E4" s="23" t="str">
        <x:v>触发/准入</x:v>
      </x:c>
      <x:c r="F4" s="23" t="str">
        <x:v>操作顺序</x:v>
      </x:c>
      <x:c r="G4" s="23" t="str">
        <x:v>有效结果</x:v>
      </x:c>
      <x:c r="H4" s="23" t="str">
        <x:v>失败/分支规则</x:v>
      </x:c>
      <x:c r="I4" s="23" t="str">
        <x:v>来源ID</x:v>
      </x:c>
      <x:c r="J4" s="23" t="str">
        <x:v>来源URL</x:v>
      </x:c>
    </x:row>
    <x:row r="5" ht="108" customHeight="1">
      <x:c r="A5" s="30" t="str">
        <x:v>Q001</x:v>
      </x:c>
      <x:c r="B5" s="30" t="str">
        <x:v>区域快速普查—参考完成路径</x:v>
      </x:c>
      <x:c r="C5" s="30" t="str">
        <x:v>参考主路径</x:v>
      </x:c>
      <x:c r="D5" s="30" t="str">
        <x:v>T001</x:v>
      </x:c>
      <x:c r="E5" s="30" t="str">
        <x:v>Agent自主选择该目标；当前设备与资源满足所选分支</x:v>
      </x:c>
      <x:c r="F5" s="30" t="str">
        <x:v>A001 → A005 → A044 → A006 → A041 → A036</x:v>
      </x:c>
      <x:c r="G5" s="30" t="str">
        <x:v>输出带空间覆盖与证据的区域概况，不把未观测处当已评估</x:v>
      </x:c>
      <x:c r="H5" s="30" t="str">
        <x:v>任一步出现拒绝/受阻/超时/不确定：返回真实反馈；Agent可重试、改方法、改分配或终止；不得强制成功</x:v>
      </x:c>
      <x:c r="I5" s="30" t="str">
        <x:v>S01；S05；S07</x:v>
      </x:c>
      <x:c r="J5" s="30" t="str">
        <x:v>https://insarag.org/wp-content/uploads/2021/06/INSARAG20Guidelines20Vol20II2C20Man20B.pdf
https://4amgodvzx.github.io/ESAR.github.io/
https://github.com/BinaLab/RescueNet-A-High-Resolution-Post-Disaster-UAV-Dataset-for-Semantic-Segmentation</x:v>
      </x:c>
    </x:row>
    <x:row r="6" ht="108" customHeight="1">
      <x:c r="A6" s="30" t="str">
        <x:v>Q002</x:v>
      </x:c>
      <x:c r="B6" s="30" t="str">
        <x:v>建筑外部损毁评估—参考完成路径</x:v>
      </x:c>
      <x:c r="C6" s="30" t="str">
        <x:v>参考主路径</x:v>
      </x:c>
      <x:c r="D6" s="30" t="str">
        <x:v>T002</x:v>
      </x:c>
      <x:c r="E6" s="30" t="str">
        <x:v>Agent自主选择该目标；当前设备与资源满足所选分支</x:v>
      </x:c>
      <x:c r="F6" s="30" t="str">
        <x:v>A001 → A005 → A044 → A006 → A041 → A036</x:v>
      </x:c>
      <x:c r="G6" s="30" t="str">
        <x:v>提交建筑损毁估计及置信度，和结构安全判断分开</x:v>
      </x:c>
      <x:c r="H6" s="30" t="str">
        <x:v>任一步出现拒绝/受阻/超时/不确定：返回真实反馈；Agent可重试、改方法、改分配或终止；不得强制成功</x:v>
      </x:c>
      <x:c r="I6" s="30" t="str">
        <x:v>S01；S07；S09</x:v>
      </x:c>
      <x:c r="J6" s="30" t="str">
        <x:v>https://insarag.org/wp-content/uploads/2021/06/INSARAG20Guidelines20Vol20II2C20Man20B.pdf
https://github.com/BinaLab/RescueNet-A-High-Resolution-Post-Disaster-UAV-Dataset-for-Semantic-Segmentation
https://arxiv.org/abs/1911.09296</x:v>
      </x:c>
    </x:row>
    <x:row r="7" ht="108" customHeight="1">
      <x:c r="A7" s="30" t="str">
        <x:v>Q003</x:v>
      </x:c>
      <x:c r="B7" s="30" t="str">
        <x:v>道路与通路灾后评估—参考完成路径</x:v>
      </x:c>
      <x:c r="C7" s="30" t="str">
        <x:v>参考主路径</x:v>
      </x:c>
      <x:c r="D7" s="30" t="str">
        <x:v>T003</x:v>
      </x:c>
      <x:c r="E7" s="30" t="str">
        <x:v>Agent自主选择该目标；当前设备与资源满足所选分支</x:v>
      </x:c>
      <x:c r="F7" s="30" t="str">
        <x:v>A001/A002 → A005 → A011 → A041 → A036</x:v>
      </x:c>
      <x:c r="G7" s="30" t="str">
        <x:v>形成按平台的通行估计/障碍证据</x:v>
      </x:c>
      <x:c r="H7" s="30" t="str">
        <x:v>任一步出现拒绝/受阻/超时/不确定：返回真实反馈；Agent可重试、改方法、改分配或终止；不得强制成功</x:v>
      </x:c>
      <x:c r="I7" s="30" t="str">
        <x:v>S03；S07；S08</x:v>
      </x:c>
      <x:c r="J7" s="30" t="str">
        <x:v>https://roborescue.github.io/rcrs-server/rcrs-server/index.html
https://github.com/BinaLab/RescueNet-A-High-Resolution-Post-Disaster-UAV-Dataset-for-Semantic-Segmentation
https://github.com/BinaLab/FloodNet-Supervised_v1.0</x:v>
      </x:c>
    </x:row>
    <x:row r="8" ht="108" customHeight="1">
      <x:c r="A8" s="30" t="str">
        <x:v>Q004</x:v>
      </x:c>
      <x:c r="B8" s="30" t="str">
        <x:v>入口与屋顶交付区检查—参考完成路径</x:v>
      </x:c>
      <x:c r="C8" s="30" t="str">
        <x:v>参考主路径</x:v>
      </x:c>
      <x:c r="D8" s="30" t="str">
        <x:v>T004</x:v>
      </x:c>
      <x:c r="E8" s="30" t="str">
        <x:v>Agent自主选择该目标；当前设备与资源满足所选分支</x:v>
      </x:c>
      <x:c r="F8" s="30" t="str">
        <x:v>A001/A002 → A005 → A011 → A041</x:v>
      </x:c>
      <x:c r="G8" s="30" t="str">
        <x:v>记录入口/屋顶的可见净空、接近区和不确定性</x:v>
      </x:c>
      <x:c r="H8" s="30" t="str">
        <x:v>任一步出现拒绝/受阻/超时/不确定：返回真实反馈；Agent可重试、改方法、改分配或终止；不得强制成功</x:v>
      </x:c>
      <x:c r="I8" s="30" t="str">
        <x:v>S01；S02；S24</x:v>
      </x:c>
      <x:c r="J8" s="30" t="str">
        <x:v>https://insarag.org/wp-content/uploads/2021/06/INSARAG20Guidelines20Vol20II2C20Man20B.pdf
https://www.nist.gov/programs-projects/department-homeland-security-response-robot-performance-standards</x:v>
      </x:c>
    </x:row>
    <x:row r="9" ht="108" customHeight="1">
      <x:c r="A9" s="30" t="str">
        <x:v>Q005</x:v>
      </x:c>
      <x:c r="B9" s="30" t="str">
        <x:v>水域边界与涉水条件评估—参考完成路径</x:v>
      </x:c>
      <x:c r="C9" s="30" t="str">
        <x:v>参考主路径</x:v>
      </x:c>
      <x:c r="D9" s="30" t="str">
        <x:v>T005</x:v>
      </x:c>
      <x:c r="E9" s="30" t="str">
        <x:v>Agent自主选择该目标；当前设备与资源满足所选分支</x:v>
      </x:c>
      <x:c r="F9" s="30" t="str">
        <x:v>A001 → A005 → A007 → A041 → A036</x:v>
      </x:c>
      <x:c r="G9" s="30" t="str">
        <x:v>报告淹水边界；无深度量测则不伪造水深</x:v>
      </x:c>
      <x:c r="H9" s="30" t="str">
        <x:v>任一步出现拒绝/受阻/超时/不确定：返回真实反馈；Agent可重试、改方法、改分配或终止；不得强制成功</x:v>
      </x:c>
      <x:c r="I9" s="30" t="str">
        <x:v>S08；S12；S13</x:v>
      </x:c>
      <x:c r="J9" s="30" t="str">
        <x:v>https://github.com/BinaLab/FloodNet-Supervised_v1.0
https://seadronessee.cs.uni-tuebingen.de/leaderboard
https://arxiv.org/abs/2203.07973</x:v>
      </x:c>
    </x:row>
    <x:row r="10" ht="108" customHeight="1">
      <x:c r="A10" s="30" t="str">
        <x:v>Q006</x:v>
      </x:c>
      <x:c r="B10" s="30" t="str">
        <x:v>火烟与危险源侦察—参考完成路径</x:v>
      </x:c>
      <x:c r="C10" s="30" t="str">
        <x:v>参考主路径</x:v>
      </x:c>
      <x:c r="D10" s="30" t="str">
        <x:v>T006</x:v>
      </x:c>
      <x:c r="E10" s="30" t="str">
        <x:v>Agent自主选择该目标；当前设备与资源满足所选分支</x:v>
      </x:c>
      <x:c r="F10" s="30" t="str">
        <x:v>A001/A002 → A005 → A006 → A041 → A036</x:v>
      </x:c>
      <x:c r="G10" s="30" t="str">
        <x:v>报告火烟/气体可测证据与危险区估计</x:v>
      </x:c>
      <x:c r="H10" s="30" t="str">
        <x:v>任一步出现拒绝/受阻/超时/不确定：返回真实反馈；Agent可重试、改方法、改分配或终止；不得强制成功</x:v>
      </x:c>
      <x:c r="I10" s="30" t="str">
        <x:v>S01；S03；S04</x:v>
      </x:c>
      <x:c r="J10" s="30" t="str">
        <x:v>https://insarag.org/wp-content/uploads/2021/06/INSARAG20Guidelines20Vol20II2C20Man20B.pdf
https://roborescue.github.io/rcrs-server/rcrs-server/index.html
https://www.darpa.mil/research/programs/darpa-subterranean-challenge</x:v>
      </x:c>
    </x:row>
    <x:row r="11" ht="108" customHeight="1">
      <x:c r="A11" s="30" t="str">
        <x:v>Q007</x:v>
      </x:c>
      <x:c r="B11" s="30" t="str">
        <x:v>灾前灾后变化与地图更新—参考完成路径</x:v>
      </x:c>
      <x:c r="C11" s="30" t="str">
        <x:v>参考主路径</x:v>
      </x:c>
      <x:c r="D11" s="30" t="str">
        <x:v>T007</x:v>
      </x:c>
      <x:c r="E11" s="30" t="str">
        <x:v>Agent自主选择该目标；当前设备与资源满足所选分支</x:v>
      </x:c>
      <x:c r="F11" s="30" t="str">
        <x:v>A038 → A005 → A044 → A006 → A040 → A041</x:v>
      </x:c>
      <x:c r="G11" s="30" t="str">
        <x:v>形成变化证据和地图修订，不覆写真值</x:v>
      </x:c>
      <x:c r="H11" s="30" t="str">
        <x:v>任一步出现拒绝/受阻/超时/不确定：返回真实反馈；Agent可重试、改方法、改分配或终止；不得强制成功</x:v>
      </x:c>
      <x:c r="I11" s="30" t="str">
        <x:v>S07；S08；S09</x:v>
      </x:c>
      <x:c r="J11" s="30" t="str">
        <x:v>https://github.com/BinaLab/RescueNet-A-High-Resolution-Post-Disaster-UAV-Dataset-for-Semantic-Segmentation
https://github.com/BinaLab/FloodNet-Supervised_v1.0
https://arxiv.org/abs/1911.09296</x:v>
      </x:c>
    </x:row>
    <x:row r="12" ht="108" customHeight="1">
      <x:c r="A12" s="30" t="str">
        <x:v>Q008</x:v>
      </x:c>
      <x:c r="B12" s="30" t="str">
        <x:v>建筑/区域覆盖登记—参考完成路径</x:v>
      </x:c>
      <x:c r="C12" s="30" t="str">
        <x:v>参考主路径</x:v>
      </x:c>
      <x:c r="D12" s="30" t="str">
        <x:v>T008</x:v>
      </x:c>
      <x:c r="E12" s="30" t="str">
        <x:v>Agent自主选择该目标；当前设备与资源满足所选分支</x:v>
      </x:c>
      <x:c r="F12" s="30" t="str">
        <x:v>A038 → A010 → A054 → A036</x:v>
      </x:c>
      <x:c r="G12" s="30" t="str">
        <x:v>登记实际评估/搜索范围及未覆盖部分</x:v>
      </x:c>
      <x:c r="H12" s="30" t="str">
        <x:v>任一步出现拒绝/受阻/超时/不确定：返回真实反馈；Agent可重试、改方法、改分配或终止；不得强制成功</x:v>
      </x:c>
      <x:c r="I12" s="30" t="str">
        <x:v>S01；S24</x:v>
      </x:c>
      <x:c r="J12" s="30" t="str">
        <x:v>https://insarag.org/wp-content/uploads/2021/06/INSARAG20Guidelines20Vol20II2C20Man20B.pdf</x:v>
      </x:c>
    </x:row>
    <x:row r="13" ht="108" customHeight="1">
      <x:c r="A13" s="30" t="str">
        <x:v>Q009</x:v>
      </x:c>
      <x:c r="B13" s="30" t="str">
        <x:v>系统空中人员搜索—参考完成路径</x:v>
      </x:c>
      <x:c r="C13" s="30" t="str">
        <x:v>参考主路径</x:v>
      </x:c>
      <x:c r="D13" s="30" t="str">
        <x:v>T009</x:v>
      </x:c>
      <x:c r="E13" s="30" t="str">
        <x:v>Agent自主选择该目标；当前设备与资源满足所选分支</x:v>
      </x:c>
      <x:c r="F13" s="30" t="str">
        <x:v>A001 → A005 → A044 → A006 → A007 → A041 → A036</x:v>
      </x:c>
      <x:c r="G13" s="30" t="str">
        <x:v>在给定预算搜索人员并报告候选，未检出保留不确定</x:v>
      </x:c>
      <x:c r="H13" s="30" t="str">
        <x:v>任一步出现拒绝/受阻/超时/不确定：返回真实反馈；Agent可重试、改方法、改分配或终止；不得强制成功</x:v>
      </x:c>
      <x:c r="I13" s="30" t="str">
        <x:v>S04；S05；S11</x:v>
      </x:c>
      <x:c r="J13" s="30" t="str">
        <x:v>https://www.darpa.mil/research/programs/darpa-subterranean-challenge
https://4amgodvzx.github.io/ESAR.github.io/
https://arxiv.org/abs/2309.09518</x:v>
      </x:c>
    </x:row>
    <x:row r="14" ht="108" customHeight="1">
      <x:c r="A14" s="30" t="str">
        <x:v>Q010</x:v>
      </x:c>
      <x:c r="B14" s="30" t="str">
        <x:v>线索发现与语义解读—参考完成路径</x:v>
      </x:c>
      <x:c r="C14" s="30" t="str">
        <x:v>参考主路径</x:v>
      </x:c>
      <x:c r="D14" s="30" t="str">
        <x:v>T010</x:v>
      </x:c>
      <x:c r="E14" s="30" t="str">
        <x:v>Agent自主选择该目标；当前设备与资源满足所选分支</x:v>
      </x:c>
      <x:c r="F14" s="30" t="str">
        <x:v>A001/A002 → A005 → A006 → A038 → A041</x:v>
      </x:c>
      <x:c r="G14" s="30" t="str">
        <x:v>记录物品线索位置及关联推断，不直接得知其真实主人</x:v>
      </x:c>
      <x:c r="H14" s="30" t="str">
        <x:v>任一步出现拒绝/受阻/超时/不确定：返回真实反馈；Agent可重试、改方法、改分配或终止；不得强制成功</x:v>
      </x:c>
      <x:c r="I14" s="30" t="str">
        <x:v>S04；S05；S26</x:v>
      </x:c>
      <x:c r="J14" s="30" t="str">
        <x:v>https://www.darpa.mil/research/programs/darpa-subterranean-challenge
https://4amgodvzx.github.io/ESAR.github.io/
https://raw.githubusercontent.com/4amGodvzx/ESAR/main/data/cue_list.json</x:v>
      </x:c>
    </x:row>
    <x:row r="15" ht="108" customHeight="1">
      <x:c r="A15" s="30" t="str">
        <x:v>Q011</x:v>
      </x:c>
      <x:c r="B15" s="30" t="str">
        <x:v>疑似目标多视角复核—参考完成路径</x:v>
      </x:c>
      <x:c r="C15" s="30" t="str">
        <x:v>参考主路径</x:v>
      </x:c>
      <x:c r="D15" s="30" t="str">
        <x:v>T011</x:v>
      </x:c>
      <x:c r="E15" s="30" t="str">
        <x:v>Agent自主选择该目标；当前设备与资源满足所选分支</x:v>
      </x:c>
      <x:c r="F15" s="30" t="str">
        <x:v>A001/A002 → A005 → A006 → A040 → A041 → A036</x:v>
      </x:c>
      <x:c r="G15" s="30" t="str">
        <x:v>给出确认/排除/仍不确定和对应新证据</x:v>
      </x:c>
      <x:c r="H15" s="30" t="str">
        <x:v>任一步出现拒绝/受阻/超时/不确定：返回真实反馈；Agent可重试、改方法、改分配或终止；不得强制成功</x:v>
      </x:c>
      <x:c r="I15" s="30" t="str">
        <x:v>S05；S11；S24</x:v>
      </x:c>
      <x:c r="J15" s="30" t="str">
        <x:v>https://4amgodvzx.github.io/ESAR.github.io/
https://arxiv.org/abs/2309.09518</x:v>
      </x:c>
    </x:row>
    <x:row r="16" ht="108" customHeight="1">
      <x:c r="A16" s="30" t="str">
        <x:v>Q012</x:v>
      </x:c>
      <x:c r="B16" s="30" t="str">
        <x:v>目标定位跟踪与跨视角关联—参考完成路径</x:v>
      </x:c>
      <x:c r="C16" s="30" t="str">
        <x:v>参考主路径</x:v>
      </x:c>
      <x:c r="D16" s="30" t="str">
        <x:v>T012</x:v>
      </x:c>
      <x:c r="E16" s="30" t="str">
        <x:v>Agent自主选择该目标；当前设备与资源满足所选分支</x:v>
      </x:c>
      <x:c r="F16" s="30" t="str">
        <x:v>A005 → A007 → A040 → A041 → A036</x:v>
      </x:c>
      <x:c r="G16" s="30" t="str">
        <x:v>得到带误差的轨迹/位置，去重而不读取真值ID</x:v>
      </x:c>
      <x:c r="H16" s="30" t="str">
        <x:v>任一步出现拒绝/受阻/超时/不确定：返回真实反馈；Agent可重试、改方法、改分配或终止；不得强制成功</x:v>
      </x:c>
      <x:c r="I16" s="30" t="str">
        <x:v>S04；S05；S11</x:v>
      </x:c>
      <x:c r="J16" s="30" t="str">
        <x:v>https://www.darpa.mil/research/programs/darpa-subterranean-challenge
https://4amgodvzx.github.io/ESAR.github.io/
https://arxiv.org/abs/2309.09518</x:v>
      </x:c>
    </x:row>
    <x:row r="17" ht="108" customHeight="1">
      <x:c r="A17" s="30" t="str">
        <x:v>Q013</x:v>
      </x:c>
      <x:c r="B17" s="30" t="str">
        <x:v>近地外部与狭窄区搜索—参考完成路径</x:v>
      </x:c>
      <x:c r="C17" s="30" t="str">
        <x:v>参考主路径</x:v>
      </x:c>
      <x:c r="D17" s="30" t="str">
        <x:v>T013</x:v>
      </x:c>
      <x:c r="E17" s="30" t="str">
        <x:v>Agent自主选择该目标；当前设备与资源满足所选分支</x:v>
      </x:c>
      <x:c r="F17" s="30" t="str">
        <x:v>A002 → A011 → A005 → A006 → A007 → A041</x:v>
      </x:c>
      <x:c r="G17" s="30" t="str">
        <x:v>完成可达外部空间的实际感知，不假定所有缝隙可进</x:v>
      </x:c>
      <x:c r="H17" s="30" t="str">
        <x:v>任一步出现拒绝/受阻/超时/不确定：返回真实反馈；Agent可重试、改方法、改分配或终止；不得强制成功</x:v>
      </x:c>
      <x:c r="I17" s="30" t="str">
        <x:v>S01；S02；S04</x:v>
      </x:c>
      <x:c r="J17" s="30" t="str">
        <x:v>https://insarag.org/wp-content/uploads/2021/06/INSARAG20Guidelines20Vol20II2C20Man20B.pdf
https://www.nist.gov/programs-projects/department-homeland-security-response-robot-performance-standards
https://www.darpa.mil/research/programs/darpa-subterranean-challenge</x:v>
      </x:c>
    </x:row>
    <x:row r="18" ht="108" customHeight="1">
      <x:c r="A18" s="30" t="str">
        <x:v>Q014</x:v>
      </x:c>
      <x:c r="B18" s="30" t="str">
        <x:v>建筑内部初次抽象搜索—参考完成路径</x:v>
      </x:c>
      <x:c r="C18" s="30" t="str">
        <x:v>参考主路径</x:v>
      </x:c>
      <x:c r="D18" s="30" t="str">
        <x:v>T014</x:v>
      </x:c>
      <x:c r="E18" s="30" t="str">
        <x:v>Agent自主选择该目标；当前设备与资源满足所选分支</x:v>
      </x:c>
      <x:c r="F18" s="30" t="str">
        <x:v>A002 → A008 → A041 → A036 → A054</x:v>
      </x:c>
      <x:c r="G18" s="30" t="str">
        <x:v>完成约定覆盖/耗时并产出本地报告；不自动解救</x:v>
      </x:c>
      <x:c r="H18" s="30" t="str">
        <x:v>任一步出现拒绝/受阻/超时/不确定：返回真实反馈；Agent可重试、改方法、改分配或终止；不得强制成功</x:v>
      </x:c>
      <x:c r="I18" s="30" t="str">
        <x:v>S01；S24</x:v>
      </x:c>
      <x:c r="J18" s="30" t="str">
        <x:v>https://insarag.org/wp-content/uploads/2021/06/INSARAG20Guidelines20Vol20II2C20Man20B.pdf</x:v>
      </x:c>
    </x:row>
    <x:row r="19" ht="108" customHeight="1">
      <x:c r="A19" s="30" t="str">
        <x:v>Q015</x:v>
      </x:c>
      <x:c r="B19" s="30" t="str">
        <x:v>建筑内部复搜/完整搜索—参考完成路径</x:v>
      </x:c>
      <x:c r="C19" s="30" t="str">
        <x:v>参考主路径</x:v>
      </x:c>
      <x:c r="D19" s="30" t="str">
        <x:v>T015</x:v>
      </x:c>
      <x:c r="E19" s="30" t="str">
        <x:v>Agent自主选择该目标；当前设备与资源满足所选分支</x:v>
      </x:c>
      <x:c r="F19" s="30" t="str">
        <x:v>A038 → A002 → A008 → A010 → A041 → A036</x:v>
      </x:c>
      <x:c r="G19" s="30" t="str">
        <x:v>补足上次未覆盖区域，允许仍不确定或受阻</x:v>
      </x:c>
      <x:c r="H19" s="30" t="str">
        <x:v>任一步出现拒绝/受阻/超时/不确定：返回真实反馈；Agent可重试、改方法、改分配或终止；不得强制成功</x:v>
      </x:c>
      <x:c r="I19" s="30" t="str">
        <x:v>S01；S24</x:v>
      </x:c>
      <x:c r="J19" s="30" t="str">
        <x:v>https://insarag.org/wp-content/uploads/2021/06/INSARAG20Guidelines20Vol20II2C20Man20B.pdf</x:v>
      </x:c>
    </x:row>
    <x:row r="20" ht="108" customHeight="1">
      <x:c r="A20" s="30" t="str">
        <x:v>Q016</x:v>
      </x:c>
      <x:c r="B20" s="30" t="str">
        <x:v>热成像补充搜索—参考完成路径</x:v>
      </x:c>
      <x:c r="C20" s="30" t="str">
        <x:v>参考主路径</x:v>
      </x:c>
      <x:c r="D20" s="30" t="str">
        <x:v>T016</x:v>
      </x:c>
      <x:c r="E20" s="30" t="str">
        <x:v>Agent自主选择该目标；当前设备与资源满足所选分支</x:v>
      </x:c>
      <x:c r="F20" s="30" t="str">
        <x:v>A001/A002 → A005 → A044 → A006 → A007 → A041</x:v>
      </x:c>
      <x:c r="G20" s="30" t="str">
        <x:v>使用真实可用热像或明确热像模型发现线索，不透墙</x:v>
      </x:c>
      <x:c r="H20" s="30" t="str">
        <x:v>任一步出现拒绝/受阻/超时/不确定：返回真实反馈；Agent可重试、改方法、改分配或终止；不得强制成功</x:v>
      </x:c>
      <x:c r="I20" s="30" t="str">
        <x:v>S02；S25</x:v>
      </x:c>
      <x:c r="J20" s="30" t="str">
        <x:v>https://www.nist.gov/programs-projects/department-homeland-security-response-robot-performance-standards</x:v>
      </x:c>
    </x:row>
    <x:row r="21" ht="108" customHeight="1">
      <x:c r="A21" s="30" t="str">
        <x:v>Q017</x:v>
      </x:c>
      <x:c r="B21" s="30" t="str">
        <x:v>声音线索搜索—参考完成路径</x:v>
      </x:c>
      <x:c r="C21" s="30" t="str">
        <x:v>参考主路径</x:v>
      </x:c>
      <x:c r="D21" s="30" t="str">
        <x:v>T017</x:v>
      </x:c>
      <x:c r="E21" s="30" t="str">
        <x:v>Agent自主选择该目标；当前设备与资源满足所选分支</x:v>
      </x:c>
      <x:c r="F21" s="30" t="str">
        <x:v>A002 → A005 → A044 → A006 → A007 → A041</x:v>
      </x:c>
      <x:c r="G21" s="30" t="str">
        <x:v>通过声学观测给出方向/位置不确定性</x:v>
      </x:c>
      <x:c r="H21" s="30" t="str">
        <x:v>任一步出现拒绝/受阻/超时/不确定：返回真实反馈；Agent可重试、改方法、改分配或终止；不得强制成功</x:v>
      </x:c>
      <x:c r="I21" s="30" t="str">
        <x:v>S01；S02</x:v>
      </x:c>
      <x:c r="J21" s="30" t="str">
        <x:v>https://insarag.org/wp-content/uploads/2021/06/INSARAG20Guidelines20Vol20II2C20Man20B.pdf
https://www.nist.gov/programs-projects/department-homeland-security-response-robot-performance-standards</x:v>
      </x:c>
    </x:row>
    <x:row r="22" ht="108" customHeight="1">
      <x:c r="A22" s="30" t="str">
        <x:v>Q018</x:v>
      </x:c>
      <x:c r="B22" s="30" t="str">
        <x:v>RF/手机线索搜索—参考完成路径</x:v>
      </x:c>
      <x:c r="C22" s="30" t="str">
        <x:v>参考主路径</x:v>
      </x:c>
      <x:c r="D22" s="30" t="str">
        <x:v>T018</x:v>
      </x:c>
      <x:c r="E22" s="30" t="str">
        <x:v>Agent自主选择该目标；当前设备与资源满足所选分支</x:v>
      </x:c>
      <x:c r="F22" s="30" t="str">
        <x:v>A001/A002 → A005 → A044 → A006 → A007 → A041</x:v>
      </x:c>
      <x:c r="G22" s="30" t="str">
        <x:v>在已声明设备协议与授权条件下定位信号线索</x:v>
      </x:c>
      <x:c r="H22" s="30" t="str">
        <x:v>任一步出现拒绝/受阻/超时/不确定：返回真实反馈；Agent可重试、改方法、改分配或终止；不得强制成功</x:v>
      </x:c>
      <x:c r="I22" s="30" t="str">
        <x:v>S02；S04</x:v>
      </x:c>
      <x:c r="J22" s="30" t="str">
        <x:v>https://www.nist.gov/programs-projects/department-homeland-security-response-robot-performance-standards
https://www.darpa.mil/research/programs/darpa-subterranean-challenge</x:v>
      </x:c>
    </x:row>
    <x:row r="23" ht="108" customHeight="1">
      <x:c r="A23" s="30" t="str">
        <x:v>Q019</x:v>
      </x:c>
      <x:c r="B23" s="30" t="str">
        <x:v>空中转场与观察点到达—参考完成路径</x:v>
      </x:c>
      <x:c r="C23" s="30" t="str">
        <x:v>参考主路径</x:v>
      </x:c>
      <x:c r="D23" s="30" t="str">
        <x:v>T019</x:v>
      </x:c>
      <x:c r="E23" s="30" t="str">
        <x:v>Agent自主选择该目标；当前设备与资源满足所选分支</x:v>
      </x:c>
      <x:c r="F23" s="30" t="str">
        <x:v>A066 → A001 → A004 → A054</x:v>
      </x:c>
      <x:c r="G23" s="30" t="str">
        <x:v>实际到达合法观察/中继点并确认位姿</x:v>
      </x:c>
      <x:c r="H23" s="30" t="str">
        <x:v>任一步出现拒绝/受阻/超时/不确定：返回真实反馈；Agent可重试、改方法、改分配或终止；不得强制成功</x:v>
      </x:c>
      <x:c r="I23" s="30" t="str">
        <x:v>S02；S05；S16</x:v>
      </x:c>
      <x:c r="J23" s="30" t="str">
        <x:v>https://www.nist.gov/programs-projects/department-homeland-security-response-robot-performance-standards
https://4amgodvzx.github.io/ESAR.github.io/
https://github.com/AirVLN/AirVLN</x:v>
      </x:c>
    </x:row>
    <x:row r="24" ht="108" customHeight="1">
      <x:c r="A24" s="30" t="str">
        <x:v>Q020</x:v>
      </x:c>
      <x:c r="B24" s="30" t="str">
        <x:v>地面转场与绕行—参考完成路径</x:v>
      </x:c>
      <x:c r="C24" s="30" t="str">
        <x:v>参考主路径</x:v>
      </x:c>
      <x:c r="D24" s="30" t="str">
        <x:v>T020</x:v>
      </x:c>
      <x:c r="E24" s="30" t="str">
        <x:v>Agent自主选择该目标；当前设备与资源满足所选分支</x:v>
      </x:c>
      <x:c r="F24" s="30" t="str">
        <x:v>A011 → A066 → A002 → A054</x:v>
      </x:c>
      <x:c r="G24" s="30" t="str">
        <x:v>按可通行路线到达目标，失败反馈阻碍</x:v>
      </x:c>
      <x:c r="H24" s="30" t="str">
        <x:v>任一步出现拒绝/受阻/超时/不确定：返回真实反馈；Agent可重试、改方法、改分配或终止；不得强制成功</x:v>
      </x:c>
      <x:c r="I24" s="30" t="str">
        <x:v>S02；S03</x:v>
      </x:c>
      <x:c r="J24" s="30" t="str">
        <x:v>https://www.nist.gov/programs-projects/department-homeland-security-response-robot-performance-standards
https://roborescue.github.io/rcrs-server/rcrs-server/index.html</x:v>
      </x:c>
    </x:row>
    <x:row r="25" ht="108" customHeight="1">
      <x:c r="A25" s="30" t="str">
        <x:v>Q021</x:v>
      </x:c>
      <x:c r="B25" s="30" t="str">
        <x:v>障碍接近探测与路径验证—参考完成路径</x:v>
      </x:c>
      <x:c r="C25" s="30" t="str">
        <x:v>参考主路径</x:v>
      </x:c>
      <x:c r="D25" s="30" t="str">
        <x:v>T021</x:v>
      </x:c>
      <x:c r="E25" s="30" t="str">
        <x:v>Agent自主选择该目标；当前设备与资源满足所选分支</x:v>
      </x:c>
      <x:c r="F25" s="30" t="str">
        <x:v>A002 → A011 → A041 → A036</x:v>
      </x:c>
      <x:c r="G25" s="30" t="str">
        <x:v>获取局部净空/阻碍证据，不能远程查询隐蔽通行答案</x:v>
      </x:c>
      <x:c r="H25" s="30" t="str">
        <x:v>任一步出现拒绝/受阻/超时/不确定：返回真实反馈；Agent可重试、改方法、改分配或终止；不得强制成功</x:v>
      </x:c>
      <x:c r="I25" s="30" t="str">
        <x:v>S02；S03</x:v>
      </x:c>
      <x:c r="J25" s="30" t="str">
        <x:v>https://www.nist.gov/programs-projects/department-homeland-security-response-robot-performance-standards
https://roborescue.github.io/rcrs-server/rcrs-server/index.html</x:v>
      </x:c>
    </x:row>
    <x:row r="26" ht="108" customHeight="1">
      <x:c r="A26" s="30" t="str">
        <x:v>Q022</x:v>
      </x:c>
      <x:c r="B26" s="30" t="str">
        <x:v>轻型残骸移除—参考完成路径</x:v>
      </x:c>
      <x:c r="C26" s="30" t="str">
        <x:v>参考主路径</x:v>
      </x:c>
      <x:c r="D26" s="30" t="str">
        <x:v>T022</x:v>
      </x:c>
      <x:c r="E26" s="30" t="str">
        <x:v>Agent自主选择该目标；当前设备与资源满足所选分支</x:v>
      </x:c>
      <x:c r="F26" s="30" t="str">
        <x:v>A002 → A011 → A012 → A011 → A054</x:v>
      </x:c>
      <x:c r="G26" s="30" t="str">
        <x:v>在装备额定范围内移走轻障碍并验证通路变化</x:v>
      </x:c>
      <x:c r="H26" s="30" t="str">
        <x:v>任一步出现拒绝/受阻/超时/不确定：返回真实反馈；Agent可重试、改方法、改分配或终止；不得强制成功</x:v>
      </x:c>
      <x:c r="I26" s="30" t="str">
        <x:v>S01；S02</x:v>
      </x:c>
      <x:c r="J26" s="30" t="str">
        <x:v>https://insarag.org/wp-content/uploads/2021/06/INSARAG20Guidelines20Vol20II2C20Man20B.pdf
https://www.nist.gov/programs-projects/department-homeland-security-response-robot-performance-standards</x:v>
      </x:c>
    </x:row>
    <x:row r="27" ht="108" customHeight="1">
      <x:c r="A27" s="30" t="str">
        <x:v>Q023</x:v>
      </x:c>
      <x:c r="B27" s="30" t="str">
        <x:v>重型道路清障—参考完成路径</x:v>
      </x:c>
      <x:c r="C27" s="30" t="str">
        <x:v>参考主路径</x:v>
      </x:c>
      <x:c r="D27" s="30" t="str">
        <x:v>T023</x:v>
      </x:c>
      <x:c r="E27" s="30" t="str">
        <x:v>Agent自主选择该目标；当前设备与资源满足所选分支</x:v>
      </x:c>
      <x:c r="F27" s="30" t="str">
        <x:v>A059 → A013 → A011 → A054 → A036</x:v>
      </x:c>
      <x:c r="G27" s="30" t="str">
        <x:v>工程主体完成清运，真实残骸/道路状态改变</x:v>
      </x:c>
      <x:c r="H27" s="30" t="str">
        <x:v>任一步出现拒绝/受阻/超时/不确定：返回真实反馈；Agent可重试、改方法、改分配或终止；不得强制成功</x:v>
      </x:c>
      <x:c r="I27" s="30" t="str">
        <x:v>S01；S03</x:v>
      </x:c>
      <x:c r="J27" s="30" t="str">
        <x:v>https://insarag.org/wp-content/uploads/2021/06/INSARAG20Guidelines20Vol20II2C20Man20B.pdf
https://roborescue.github.io/rcrs-server/rcrs-server/index.html</x:v>
      </x:c>
    </x:row>
    <x:row r="28" ht="108" customHeight="1">
      <x:c r="A28" s="30" t="str">
        <x:v>Q024</x:v>
      </x:c>
      <x:c r="B28" s="30" t="str">
        <x:v>入口开辟与局部破拆—参考完成路径</x:v>
      </x:c>
      <x:c r="C28" s="30" t="str">
        <x:v>参考主路径</x:v>
      </x:c>
      <x:c r="D28" s="30" t="str">
        <x:v>T024</x:v>
      </x:c>
      <x:c r="E28" s="30" t="str">
        <x:v>Agent自主选择该目标；当前设备与资源满足所选分支</x:v>
      </x:c>
      <x:c r="F28" s="30" t="str">
        <x:v>A059 → A014 → A011 → A054</x:v>
      </x:c>
      <x:c r="G28" s="30" t="str">
        <x:v>获得可用入口/缺口，保持安全与结构限制</x:v>
      </x:c>
      <x:c r="H28" s="30" t="str">
        <x:v>任一步出现拒绝/受阻/超时/不确定：返回真实反馈；Agent可重试、改方法、改分配或终止；不得强制成功</x:v>
      </x:c>
      <x:c r="I28" s="30" t="str">
        <x:v>S01</x:v>
      </x:c>
      <x:c r="J28" s="30" t="str">
        <x:v>https://insarag.org/wp-content/uploads/2021/06/INSARAG20Guidelines20Vol20II2C20Man20B.pdf</x:v>
      </x:c>
    </x:row>
    <x:row r="29" ht="108" customHeight="1">
      <x:c r="A29" s="30" t="str">
        <x:v>Q025</x:v>
      </x:c>
      <x:c r="B29" s="30" t="str">
        <x:v>危险结构临时支撑—参考完成路径</x:v>
      </x:c>
      <x:c r="C29" s="30" t="str">
        <x:v>参考主路径</x:v>
      </x:c>
      <x:c r="D29" s="30" t="str">
        <x:v>T025</x:v>
      </x:c>
      <x:c r="E29" s="30" t="str">
        <x:v>Agent自主选择该目标；当前设备与资源满足所选分支</x:v>
      </x:c>
      <x:c r="F29" s="30" t="str">
        <x:v>A059 → A015 → A054 → A036</x:v>
      </x:c>
      <x:c r="G29" s="30" t="str">
        <x:v>登记实际支撑区域/剩余危险，不宣称全楼安全</x:v>
      </x:c>
      <x:c r="H29" s="30" t="str">
        <x:v>任一步出现拒绝/受阻/超时/不确定：返回真实反馈；Agent可重试、改方法、改分配或终止；不得强制成功</x:v>
      </x:c>
      <x:c r="I29" s="30" t="str">
        <x:v>S01</x:v>
      </x:c>
      <x:c r="J29" s="30" t="str">
        <x:v>https://insarag.org/wp-content/uploads/2021/06/INSARAG20Guidelines20Vol20II2C20Man20B.pdf</x:v>
      </x:c>
    </x:row>
    <x:row r="30" ht="108" customHeight="1">
      <x:c r="A30" s="30" t="str">
        <x:v>Q026</x:v>
      </x:c>
      <x:c r="B30" s="30" t="str">
        <x:v>吊升/移置大块障碍—参考完成路径</x:v>
      </x:c>
      <x:c r="C30" s="30" t="str">
        <x:v>参考主路径</x:v>
      </x:c>
      <x:c r="D30" s="30" t="str">
        <x:v>T026</x:v>
      </x:c>
      <x:c r="E30" s="30" t="str">
        <x:v>Agent自主选择该目标；当前设备与资源满足所选分支</x:v>
      </x:c>
      <x:c r="F30" s="30" t="str">
        <x:v>A059 → A016 → A011 → A054</x:v>
      </x:c>
      <x:c r="G30" s="30" t="str">
        <x:v>大障碍移置到合法区域，净空/遮挡重新计算</x:v>
      </x:c>
      <x:c r="H30" s="30" t="str">
        <x:v>任一步出现拒绝/受阻/超时/不确定：返回真实反馈；Agent可重试、改方法、改分配或终止；不得强制成功</x:v>
      </x:c>
      <x:c r="I30" s="30" t="str">
        <x:v>S01；S02</x:v>
      </x:c>
      <x:c r="J30" s="30" t="str">
        <x:v>https://insarag.org/wp-content/uploads/2021/06/INSARAG20Guidelines20Vol20II2C20Man20B.pdf
https://www.nist.gov/programs-projects/department-homeland-security-response-robot-performance-standards</x:v>
      </x:c>
    </x:row>
    <x:row r="31" ht="108" customHeight="1">
      <x:c r="A31" s="30" t="str">
        <x:v>Q027</x:v>
      </x:c>
      <x:c r="B31" s="30" t="str">
        <x:v>建立联系并确认需求—参考完成路径</x:v>
      </x:c>
      <x:c r="C31" s="30" t="str">
        <x:v>参考主路径</x:v>
      </x:c>
      <x:c r="D31" s="30" t="str">
        <x:v>T027</x:v>
      </x:c>
      <x:c r="E31" s="30" t="str">
        <x:v>Agent自主选择该目标；当前设备与资源满足所选分支</x:v>
      </x:c>
      <x:c r="F31" s="30" t="str">
        <x:v>A001/A002 → A009 → A041 → A036</x:v>
      </x:c>
      <x:c r="G31" s="30" t="str">
        <x:v>获有效人员响应/需求；无响应留unknown</x:v>
      </x:c>
      <x:c r="H31" s="30" t="str">
        <x:v>任一步出现拒绝/受阻/超时/不确定：返回真实反馈；Agent可重试、改方法、改分配或终止；不得强制成功</x:v>
      </x:c>
      <x:c r="I31" s="30" t="str">
        <x:v>S01；S24</x:v>
      </x:c>
      <x:c r="J31" s="30" t="str">
        <x:v>https://insarag.org/wp-content/uploads/2021/06/INSARAG20Guidelines20Vol20II2C20Man20B.pdf</x:v>
      </x:c>
    </x:row>
    <x:row r="32" ht="108" customHeight="1">
      <x:c r="A32" s="30" t="str">
        <x:v>Q028</x:v>
      </x:c>
      <x:c r="B32" s="30" t="str">
        <x:v>安全警示与避险引导—参考完成路径</x:v>
      </x:c>
      <x:c r="C32" s="30" t="str">
        <x:v>参考主路径</x:v>
      </x:c>
      <x:c r="D32" s="30" t="str">
        <x:v>T028</x:v>
      </x:c>
      <x:c r="E32" s="30" t="str">
        <x:v>Agent自主选择该目标；当前设备与资源满足所选分支</x:v>
      </x:c>
      <x:c r="F32" s="30" t="str">
        <x:v>A009 → A002 → A054 → A036</x:v>
      </x:c>
      <x:c r="G32" s="30" t="str">
        <x:v>观察/确认人员响应和安全去向，不以播报即完成</x:v>
      </x:c>
      <x:c r="H32" s="30" t="str">
        <x:v>任一步出现拒绝/受阻/超时/不确定：返回真实反馈；Agent可重试、改方法、改分配或终止；不得强制成功</x:v>
      </x:c>
      <x:c r="I32" s="30" t="str">
        <x:v>S01；S24</x:v>
      </x:c>
      <x:c r="J32" s="30" t="str">
        <x:v>https://insarag.org/wp-content/uploads/2021/06/INSARAG20Guidelines20Vol20II2C20Man20B.pdf</x:v>
      </x:c>
    </x:row>
    <x:row r="33" ht="108" customHeight="1">
      <x:c r="A33" s="30" t="str">
        <x:v>Q029</x:v>
      </x:c>
      <x:c r="B33" s="30" t="str">
        <x:v>专业伤员评估与分级—参考完成路径</x:v>
      </x:c>
      <x:c r="C33" s="30" t="str">
        <x:v>参考主路径</x:v>
      </x:c>
      <x:c r="D33" s="30" t="str">
        <x:v>T029</x:v>
      </x:c>
      <x:c r="E33" s="30" t="str">
        <x:v>Agent自主选择该目标；当前设备与资源满足所选分支</x:v>
      </x:c>
      <x:c r="F33" s="30" t="str">
        <x:v>A059 → A018 → A036 → A054</x:v>
      </x:c>
      <x:c r="G33" s="30" t="str">
        <x:v>授权服务形成评估记录；区分模型化与实测</x:v>
      </x:c>
      <x:c r="H33" s="30" t="str">
        <x:v>任一步出现拒绝/受阻/超时/不确定：返回真实反馈；Agent可重试、改方法、改分配或终止；不得强制成功</x:v>
      </x:c>
      <x:c r="I33" s="30" t="str">
        <x:v>S01</x:v>
      </x:c>
      <x:c r="J33" s="30" t="str">
        <x:v>https://insarag.org/wp-content/uploads/2021/06/INSARAG20Guidelines20Vol20II2C20Man20B.pdf</x:v>
      </x:c>
    </x:row>
    <x:row r="34" ht="108" customHeight="1">
      <x:c r="A34" s="30" t="str">
        <x:v>Q030</x:v>
      </x:c>
      <x:c r="B34" s="30" t="str">
        <x:v>人员基础物资支援—参考完成路径</x:v>
      </x:c>
      <x:c r="C34" s="30" t="str">
        <x:v>参考主路径</x:v>
      </x:c>
      <x:c r="D34" s="30" t="str">
        <x:v>T030</x:v>
      </x:c>
      <x:c r="E34" s="30" t="str">
        <x:v>Agent自主选择该目标；当前设备与资源满足所选分支</x:v>
      </x:c>
      <x:c r="F34" s="30" t="str">
        <x:v>A024 → A001/A002 → A025/A026 → A027 → A036</x:v>
      </x:c>
      <x:c r="G34" s="30" t="str">
        <x:v>匹配需求的物资实际领取/签收，不自动治愈</x:v>
      </x:c>
      <x:c r="H34" s="30" t="str">
        <x:v>任一步出现拒绝/受阻/超时/不确定：返回真实反馈；Agent可重试、改方法、改分配或终止；不得强制成功</x:v>
      </x:c>
      <x:c r="I34" s="30" t="str">
        <x:v>S24；S25</x:v>
      </x:c>
      <x:c r="J34" s="30" t="str"/>
    </x:row>
    <x:row r="35" ht="108" customHeight="1">
      <x:c r="A35" s="30" t="str">
        <x:v>Q031</x:v>
      </x:c>
      <x:c r="B35" s="30" t="str">
        <x:v>专业初步救护—参考完成路径</x:v>
      </x:c>
      <x:c r="C35" s="30" t="str">
        <x:v>参考主路径</x:v>
      </x:c>
      <x:c r="D35" s="30" t="str">
        <x:v>T031</x:v>
      </x:c>
      <x:c r="E35" s="30" t="str">
        <x:v>Agent自主选择该目标；当前设备与资源满足所选分支</x:v>
      </x:c>
      <x:c r="F35" s="30" t="str">
        <x:v>A059 → A018 → A019 → A054 → A036</x:v>
      </x:c>
      <x:c r="G35" s="30" t="str">
        <x:v>消耗适用耗材并获得专业服务结果</x:v>
      </x:c>
      <x:c r="H35" s="30" t="str">
        <x:v>任一步出现拒绝/受阻/超时/不确定：返回真实反馈；Agent可重试、改方法、改分配或终止；不得强制成功</x:v>
      </x:c>
      <x:c r="I35" s="30" t="str">
        <x:v>S01</x:v>
      </x:c>
      <x:c r="J35" s="30" t="str">
        <x:v>https://insarag.org/wp-content/uploads/2021/06/INSARAG20Guidelines20Vol20II2C20Man20B.pdf</x:v>
      </x:c>
    </x:row>
    <x:row r="36" ht="108" customHeight="1">
      <x:c r="A36" s="30" t="str">
        <x:v>Q032</x:v>
      </x:c>
      <x:c r="B36" s="30" t="str">
        <x:v>受困解除/解困—参考完成路径</x:v>
      </x:c>
      <x:c r="C36" s="30" t="str">
        <x:v>参考主路径</x:v>
      </x:c>
      <x:c r="D36" s="30" t="str">
        <x:v>T032</x:v>
      </x:c>
      <x:c r="E36" s="30" t="str">
        <x:v>Agent自主选择该目标；当前设备与资源满足所选分支</x:v>
      </x:c>
      <x:c r="F36" s="30" t="str">
        <x:v>A059 → A015/A016/A014 → A017 → A054</x:v>
      </x:c>
      <x:c r="G36" s="30" t="str">
        <x:v>受困条件被真实解除，保留转运/医疗需求</x:v>
      </x:c>
      <x:c r="H36" s="30" t="str">
        <x:v>任一步出现拒绝/受阻/超时/不确定：返回真实反馈；Agent可重试、改方法、改分配或终止；不得强制成功</x:v>
      </x:c>
      <x:c r="I36" s="30" t="str">
        <x:v>S01</x:v>
      </x:c>
      <x:c r="J36" s="30" t="str">
        <x:v>https://insarag.org/wp-content/uploads/2021/06/INSARAG20Guidelines20Vol20II2C20Man20B.pdf</x:v>
      </x:c>
    </x:row>
    <x:row r="37" ht="108" customHeight="1">
      <x:c r="A37" s="30" t="str">
        <x:v>Q033</x:v>
      </x:c>
      <x:c r="B37" s="30" t="str">
        <x:v>人员装载—参考完成路径</x:v>
      </x:c>
      <x:c r="C37" s="30" t="str">
        <x:v>参考主路径</x:v>
      </x:c>
      <x:c r="D37" s="30" t="str">
        <x:v>T033</x:v>
      </x:c>
      <x:c r="E37" s="30" t="str">
        <x:v>Agent自主选择该目标；当前设备与资源满足所选分支</x:v>
      </x:c>
      <x:c r="F37" s="30" t="str">
        <x:v>A020 → A054</x:v>
      </x:c>
      <x:c r="G37" s="30" t="str">
        <x:v>人员实际附着合格载具并计入承载</x:v>
      </x:c>
      <x:c r="H37" s="30" t="str">
        <x:v>任一步出现拒绝/受阻/超时/不确定：返回真实反馈；Agent可重试、改方法、改分配或终止；不得强制成功</x:v>
      </x:c>
      <x:c r="I37" s="30" t="str">
        <x:v>S01；S03；S06</x:v>
      </x:c>
      <x:c r="J37" s="30" t="str">
        <x:v>https://insarag.org/wp-content/uploads/2021/06/INSARAG20Guidelines20Vol20II2C20Man20B.pdf
https://roborescue.github.io/rcrs-server/rcrs-server/index.html
https://github.com/UnrealZoo/RescueBench</x:v>
      </x:c>
    </x:row>
    <x:row r="38" ht="108" customHeight="1">
      <x:c r="A38" s="30" t="str">
        <x:v>Q034</x:v>
      </x:c>
      <x:c r="B38" s="30" t="str">
        <x:v>人员转运—参考完成路径</x:v>
      </x:c>
      <x:c r="C38" s="30" t="str">
        <x:v>参考主路径</x:v>
      </x:c>
      <x:c r="D38" s="30" t="str">
        <x:v>T034</x:v>
      </x:c>
      <x:c r="E38" s="30" t="str">
        <x:v>Agent自主选择该目标；当前设备与资源满足所选分支</x:v>
      </x:c>
      <x:c r="F38" s="30" t="str">
        <x:v>A020 → A021 → A054</x:v>
      </x:c>
      <x:c r="G38" s="30" t="str">
        <x:v>人员到达兼容接收点，未签收不算最终移交</x:v>
      </x:c>
      <x:c r="H38" s="30" t="str">
        <x:v>任一步出现拒绝/受阻/超时/不确定：返回真实反馈；Agent可重试、改方法、改分配或终止；不得强制成功</x:v>
      </x:c>
      <x:c r="I38" s="30" t="str">
        <x:v>S01；S03；S06</x:v>
      </x:c>
      <x:c r="J38" s="30" t="str">
        <x:v>https://insarag.org/wp-content/uploads/2021/06/INSARAG20Guidelines20Vol20II2C20Man20B.pdf
https://roborescue.github.io/rcrs-server/rcrs-server/index.html
https://github.com/UnrealZoo/RescueBench</x:v>
      </x:c>
    </x:row>
    <x:row r="39" ht="108" customHeight="1">
      <x:c r="A39" s="30" t="str">
        <x:v>Q035</x:v>
      </x:c>
      <x:c r="B39" s="30" t="str">
        <x:v>救援/医疗最终移交—参考完成路径</x:v>
      </x:c>
      <x:c r="C39" s="30" t="str">
        <x:v>参考主路径</x:v>
      </x:c>
      <x:c r="D39" s="30" t="str">
        <x:v>T035</x:v>
      </x:c>
      <x:c r="E39" s="30" t="str">
        <x:v>Agent自主选择该目标；当前设备与资源满足所选分支</x:v>
      </x:c>
      <x:c r="F39" s="30" t="str">
        <x:v>A021 → A022 → A036 → A054</x:v>
      </x:c>
      <x:c r="G39" s="30" t="str">
        <x:v>接收端确认身份/接收且运输占用解除</x:v>
      </x:c>
      <x:c r="H39" s="30" t="str">
        <x:v>任一步出现拒绝/受阻/超时/不确定：返回真实反馈；Agent可重试、改方法、改分配或终止；不得强制成功</x:v>
      </x:c>
      <x:c r="I39" s="30" t="str">
        <x:v>S01；S06</x:v>
      </x:c>
      <x:c r="J39" s="30" t="str">
        <x:v>https://insarag.org/wp-content/uploads/2021/06/INSARAG20Guidelines20Vol20II2C20Man20B.pdf
https://github.com/UnrealZoo/RescueBench</x:v>
      </x:c>
    </x:row>
    <x:row r="40" ht="108" customHeight="1">
      <x:c r="A40" s="30" t="str">
        <x:v>Q036</x:v>
      </x:c>
      <x:c r="B40" s="30" t="str">
        <x:v>水中人员救助回收—参考完成路径</x:v>
      </x:c>
      <x:c r="C40" s="30" t="str">
        <x:v>参考主路径</x:v>
      </x:c>
      <x:c r="D40" s="30" t="str">
        <x:v>T036</x:v>
      </x:c>
      <x:c r="E40" s="30" t="str">
        <x:v>Agent自主选择该目标；当前设备与资源满足所选分支</x:v>
      </x:c>
      <x:c r="F40" s="30" t="str">
        <x:v>A003 → A023 → A021 → A022 → A036</x:v>
      </x:c>
      <x:c r="G40" s="30" t="str">
        <x:v>由具备水域能力者回收与移交</x:v>
      </x:c>
      <x:c r="H40" s="30" t="str">
        <x:v>任一步出现拒绝/受阻/超时/不确定：返回真实反馈；Agent可重试、改方法、改分配或终止；不得强制成功</x:v>
      </x:c>
      <x:c r="I40" s="30" t="str">
        <x:v>S02；S12；S13</x:v>
      </x:c>
      <x:c r="J40" s="30" t="str">
        <x:v>https://www.nist.gov/programs-projects/department-homeland-security-response-robot-performance-standards
https://seadronessee.cs.uni-tuebingen.de/leaderboard
https://arxiv.org/abs/2203.07973</x:v>
      </x:c>
    </x:row>
    <x:row r="41" ht="108" customHeight="1">
      <x:c r="A41" s="30" t="str">
        <x:v>Q037</x:v>
      </x:c>
      <x:c r="B41" s="30" t="str">
        <x:v>救援转恢复阶段的遗体移交—参考完成路径</x:v>
      </x:c>
      <x:c r="C41" s="30" t="str">
        <x:v>参考主路径</x:v>
      </x:c>
      <x:c r="D41" s="30" t="str">
        <x:v>T037</x:v>
      </x:c>
      <x:c r="E41" s="30" t="str">
        <x:v>Agent自主选择该目标；当前设备与资源满足所选分支</x:v>
      </x:c>
      <x:c r="F41" s="30" t="str">
        <x:v>A059 → A020 → A021 → A022 → A010</x:v>
      </x:c>
      <x:c r="G41" s="30" t="str">
        <x:v>只在明确恢复阶段与授权力量下记录；不计存活救援得分</x:v>
      </x:c>
      <x:c r="H41" s="30" t="str">
        <x:v>任一步出现拒绝/受阻/超时/不确定：返回真实反馈；Agent可重试、改方法、改分配或终止；不得强制成功</x:v>
      </x:c>
      <x:c r="I41" s="30" t="str">
        <x:v>S01</x:v>
      </x:c>
      <x:c r="J41" s="30" t="str">
        <x:v>https://insarag.org/wp-content/uploads/2021/06/INSARAG20Guidelines20Vol20II2C20Man20B.pdf</x:v>
      </x:c>
    </x:row>
    <x:row r="42" ht="108" customHeight="1">
      <x:c r="A42" s="30" t="str">
        <x:v>Q038</x:v>
      </x:c>
      <x:c r="B42" s="30" t="str">
        <x:v>货物取用与挂载—参考完成路径</x:v>
      </x:c>
      <x:c r="C42" s="30" t="str">
        <x:v>参考主路径</x:v>
      </x:c>
      <x:c r="D42" s="30" t="str">
        <x:v>T038</x:v>
      </x:c>
      <x:c r="E42" s="30" t="str">
        <x:v>Agent自主选择该目标；当前设备与资源满足所选分支</x:v>
      </x:c>
      <x:c r="F42" s="30" t="str">
        <x:v>A028 → A024 → A054</x:v>
      </x:c>
      <x:c r="G42" s="30" t="str">
        <x:v>指定物资从库存转到平台且容量检查通过</x:v>
      </x:c>
      <x:c r="H42" s="30" t="str">
        <x:v>任一步出现拒绝/受阻/超时/不确定：返回真实反馈；Agent可重试、改方法、改分配或终止；不得强制成功</x:v>
      </x:c>
      <x:c r="I42" s="30" t="str">
        <x:v>S24；S25</x:v>
      </x:c>
      <x:c r="J42" s="30" t="str"/>
    </x:row>
    <x:row r="43" ht="108" customHeight="1">
      <x:c r="A43" s="30" t="str">
        <x:v>Q039</x:v>
      </x:c>
      <x:c r="B43" s="30" t="str">
        <x:v>无人机精确物资投送—参考完成路径</x:v>
      </x:c>
      <x:c r="C43" s="30" t="str">
        <x:v>参考主路径</x:v>
      </x:c>
      <x:c r="D43" s="30" t="str">
        <x:v>T039</x:v>
      </x:c>
      <x:c r="E43" s="30" t="str">
        <x:v>Agent自主选择该目标；当前设备与资源满足所选分支</x:v>
      </x:c>
      <x:c r="F43" s="30" t="str">
        <x:v>A024 → A001 → A025 → A054</x:v>
      </x:c>
      <x:c r="G43" s="30" t="str">
        <x:v>真实释放和落点记录；不等于目标领取</x:v>
      </x:c>
      <x:c r="H43" s="30" t="str">
        <x:v>任一步出现拒绝/受阻/超时/不确定：返回真实反馈；Agent可重试、改方法、改分配或终止；不得强制成功</x:v>
      </x:c>
      <x:c r="I43" s="30" t="str">
        <x:v>S24；S25</x:v>
      </x:c>
      <x:c r="J43" s="30" t="str"/>
    </x:row>
    <x:row r="44" ht="108" customHeight="1">
      <x:c r="A44" s="30" t="str">
        <x:v>Q040</x:v>
      </x:c>
      <x:c r="B44" s="30" t="str">
        <x:v>地面物资送达与卸放—参考完成路径</x:v>
      </x:c>
      <x:c r="C44" s="30" t="str">
        <x:v>参考主路径</x:v>
      </x:c>
      <x:c r="D44" s="30" t="str">
        <x:v>T040</x:v>
      </x:c>
      <x:c r="E44" s="30" t="str">
        <x:v>Agent自主选择该目标；当前设备与资源满足所选分支</x:v>
      </x:c>
      <x:c r="F44" s="30" t="str">
        <x:v>A024 → A002 → A026 → A054</x:v>
      </x:c>
      <x:c r="G44" s="30" t="str">
        <x:v>合法卸载主体把物资放到交付区</x:v>
      </x:c>
      <x:c r="H44" s="30" t="str">
        <x:v>任一步出现拒绝/受阻/超时/不确定：返回真实反馈；Agent可重试、改方法、改分配或终止；不得强制成功</x:v>
      </x:c>
      <x:c r="I44" s="30" t="str">
        <x:v>S02；S24</x:v>
      </x:c>
      <x:c r="J44" s="30" t="str">
        <x:v>https://www.nist.gov/programs-projects/department-homeland-security-response-robot-performance-standards</x:v>
      </x:c>
    </x:row>
    <x:row r="45" ht="108" customHeight="1">
      <x:c r="A45" s="30" t="str">
        <x:v>Q041</x:v>
      </x:c>
      <x:c r="B45" s="30" t="str">
        <x:v>交付复核与收货报告—参考完成路径</x:v>
      </x:c>
      <x:c r="C45" s="30" t="str">
        <x:v>参考主路径</x:v>
      </x:c>
      <x:c r="D45" s="30" t="str">
        <x:v>T041</x:v>
      </x:c>
      <x:c r="E45" s="30" t="str">
        <x:v>Agent自主选择该目标；当前设备与资源满足所选分支</x:v>
      </x:c>
      <x:c r="F45" s="30" t="str">
        <x:v>A005 → A027 → A036 → A037 → A054</x:v>
      </x:c>
      <x:c r="G45" s="30" t="str">
        <x:v>有效签收回执送达所需接收者</x:v>
      </x:c>
      <x:c r="H45" s="30" t="str">
        <x:v>任一步出现拒绝/受阻/超时/不确定：返回真实反馈；Agent可重试、改方法、改分配或终止；不得强制成功</x:v>
      </x:c>
      <x:c r="I45" s="30" t="str">
        <x:v>S24；S25</x:v>
      </x:c>
      <x:c r="J45" s="30" t="str"/>
    </x:row>
    <x:row r="46" ht="108" customHeight="1">
      <x:c r="A46" s="30" t="str">
        <x:v>Q042</x:v>
      </x:c>
      <x:c r="B46" s="30" t="str">
        <x:v>物资/器材补给—参考完成路径</x:v>
      </x:c>
      <x:c r="C46" s="30" t="str">
        <x:v>参考主路径</x:v>
      </x:c>
      <x:c r="D46" s="30" t="str">
        <x:v>T042</x:v>
      </x:c>
      <x:c r="E46" s="30" t="str">
        <x:v>Agent自主选择该目标；当前设备与资源满足所选分支</x:v>
      </x:c>
      <x:c r="F46" s="30" t="str">
        <x:v>A002 → A028 → A024 → A054</x:v>
      </x:c>
      <x:c r="G46" s="30" t="str">
        <x:v>库存减少、载荷/耗材增加且耗时计入</x:v>
      </x:c>
      <x:c r="H46" s="30" t="str">
        <x:v>任一步出现拒绝/受阻/超时/不确定：返回真实反馈；Agent可重试、改方法、改分配或终止；不得强制成功</x:v>
      </x:c>
      <x:c r="I46" s="30" t="str">
        <x:v>S01；S24</x:v>
      </x:c>
      <x:c r="J46" s="30" t="str">
        <x:v>https://insarag.org/wp-content/uploads/2021/06/INSARAG20Guidelines20Vol20II2C20Man20B.pdf</x:v>
      </x:c>
    </x:row>
    <x:row r="47" ht="108" customHeight="1">
      <x:c r="A47" s="30" t="str">
        <x:v>Q043</x:v>
      </x:c>
      <x:c r="B47" s="30" t="str">
        <x:v>平台充电—参考完成路径</x:v>
      </x:c>
      <x:c r="C47" s="30" t="str">
        <x:v>参考主路径</x:v>
      </x:c>
      <x:c r="D47" s="30" t="str">
        <x:v>T043</x:v>
      </x:c>
      <x:c r="E47" s="30" t="str">
        <x:v>Agent自主选择该目标；当前设备与资源满足所选分支</x:v>
      </x:c>
      <x:c r="F47" s="30" t="str">
        <x:v>A001/A002 → A029 → A054</x:v>
      </x:c>
      <x:c r="G47" s="30" t="str">
        <x:v>按实际功率/队列达到目标电量</x:v>
      </x:c>
      <x:c r="H47" s="30" t="str">
        <x:v>任一步出现拒绝/受阻/超时/不确定：返回真实反馈；Agent可重试、改方法、改分配或终止；不得强制成功</x:v>
      </x:c>
      <x:c r="I47" s="30" t="str">
        <x:v>S18；S24</x:v>
      </x:c>
      <x:c r="J47" s="30" t="str">
        <x:v>https://www.nsnam.org/docs/models/html/energy.html</x:v>
      </x:c>
    </x:row>
    <x:row r="48" ht="108" customHeight="1">
      <x:c r="A48" s="30" t="str">
        <x:v>Q044</x:v>
      </x:c>
      <x:c r="B48" s="30" t="str">
        <x:v>平台换电—参考完成路径</x:v>
      </x:c>
      <x:c r="C48" s="30" t="str">
        <x:v>参考主路径</x:v>
      </x:c>
      <x:c r="D48" s="30" t="str">
        <x:v>T044</x:v>
      </x:c>
      <x:c r="E48" s="30" t="str">
        <x:v>Agent自主选择该目标；当前设备与资源满足所选分支</x:v>
      </x:c>
      <x:c r="F48" s="30" t="str">
        <x:v>A001/A002 → A030 → A054</x:v>
      </x:c>
      <x:c r="G48" s="30" t="str">
        <x:v>兼容新电池装入且旧电池转移，操作服务占用计入</x:v>
      </x:c>
      <x:c r="H48" s="30" t="str">
        <x:v>任一步出现拒绝/受阻/超时/不确定：返回真实反馈；Agent可重试、改方法、改分配或终止；不得强制成功</x:v>
      </x:c>
      <x:c r="I48" s="30" t="str">
        <x:v>S24</x:v>
      </x:c>
      <x:c r="J48" s="30" t="str"/>
    </x:row>
    <x:row r="49" ht="108" customHeight="1">
      <x:c r="A49" s="30" t="str">
        <x:v>Q045</x:v>
      </x:c>
      <x:c r="B49" s="30" t="str">
        <x:v>返航/返站与安全撤离—参考完成路径</x:v>
      </x:c>
      <x:c r="C49" s="30" t="str">
        <x:v>参考主路径</x:v>
      </x:c>
      <x:c r="D49" s="30" t="str">
        <x:v>T045</x:v>
      </x:c>
      <x:c r="E49" s="30" t="str">
        <x:v>Agent自主选择该目标；当前设备与资源满足所选分支</x:v>
      </x:c>
      <x:c r="F49" s="30" t="str">
        <x:v>A055 → A001/A002 → A004 → A054</x:v>
      </x:c>
      <x:c r="G49" s="30" t="str">
        <x:v>到达可用安全点，任务与安全状态同步</x:v>
      </x:c>
      <x:c r="H49" s="30" t="str">
        <x:v>任一步出现拒绝/受阻/超时/不确定：返回真实反馈；Agent可重试、改方法、改分配或终止；不得强制成功</x:v>
      </x:c>
      <x:c r="I49" s="30" t="str">
        <x:v>S02；S05；S24</x:v>
      </x:c>
      <x:c r="J49" s="30" t="str">
        <x:v>https://www.nist.gov/programs-projects/department-homeland-security-response-robot-performance-standards
https://4amgodvzx.github.io/ESAR.github.io/</x:v>
      </x:c>
    </x:row>
    <x:row r="50" ht="108" customHeight="1">
      <x:c r="A50" s="30" t="str">
        <x:v>Q046</x:v>
      </x:c>
      <x:c r="B50" s="30" t="str">
        <x:v>失效平台回收—参考完成路径</x:v>
      </x:c>
      <x:c r="C50" s="30" t="str">
        <x:v>参考主路径</x:v>
      </x:c>
      <x:c r="D50" s="30" t="str">
        <x:v>T046</x:v>
      </x:c>
      <x:c r="E50" s="30" t="str">
        <x:v>Agent自主选择该目标；当前设备与资源满足所选分支</x:v>
      </x:c>
      <x:c r="F50" s="30" t="str">
        <x:v>A059 → A031 → A054 → A036</x:v>
      </x:c>
      <x:c r="G50" s="30" t="str">
        <x:v>回收主体完成牵引/运送，而非原平台自行瞬移</x:v>
      </x:c>
      <x:c r="H50" s="30" t="str">
        <x:v>任一步出现拒绝/受阻/超时/不确定：返回真实反馈；Agent可重试、改方法、改分配或终止；不得强制成功</x:v>
      </x:c>
      <x:c r="I50" s="30" t="str">
        <x:v>S01；S02</x:v>
      </x:c>
      <x:c r="J50" s="30" t="str">
        <x:v>https://insarag.org/wp-content/uploads/2021/06/INSARAG20Guidelines20Vol20II2C20Man20B.pdf
https://www.nist.gov/programs-projects/department-homeland-security-response-robot-performance-standards</x:v>
      </x:c>
    </x:row>
    <x:row r="51" ht="108" customHeight="1">
      <x:c r="A51" s="30" t="str">
        <x:v>Q047</x:v>
      </x:c>
      <x:c r="B51" s="30" t="str">
        <x:v>链路探测与质量估计—参考完成路径</x:v>
      </x:c>
      <x:c r="C51" s="30" t="str">
        <x:v>参考主路径</x:v>
      </x:c>
      <x:c r="D51" s="30" t="str">
        <x:v>T047</x:v>
      </x:c>
      <x:c r="E51" s="30" t="str">
        <x:v>Agent自主选择该目标；当前设备与资源满足所选分支</x:v>
      </x:c>
      <x:c r="F51" s="30" t="str">
        <x:v>A032 → A041</x:v>
      </x:c>
      <x:c r="G51" s="30" t="str">
        <x:v>根据实际探测更新链路估计与样本窗口</x:v>
      </x:c>
      <x:c r="H51" s="30" t="str">
        <x:v>任一步出现拒绝/受阻/超时/不确定：返回真实反馈；Agent可重试、改方法、改分配或终止；不得强制成功</x:v>
      </x:c>
      <x:c r="I51" s="30" t="str">
        <x:v>S17；S24</x:v>
      </x:c>
      <x:c r="J51" s="30" t="str">
        <x:v>https://www.nsnam.org/docs/models/html/wifi-design.html</x:v>
      </x:c>
    </x:row>
    <x:row r="52" ht="108" customHeight="1">
      <x:c r="A52" s="30" t="str">
        <x:v>Q048</x:v>
      </x:c>
      <x:c r="B52" s="30" t="str">
        <x:v>通信会合与重定位—参考完成路径</x:v>
      </x:c>
      <x:c r="C52" s="30" t="str">
        <x:v>参考主路径</x:v>
      </x:c>
      <x:c r="D52" s="30" t="str">
        <x:v>T048</x:v>
      </x:c>
      <x:c r="E52" s="30" t="str">
        <x:v>Agent自主选择该目标；当前设备与资源满足所选分支</x:v>
      </x:c>
      <x:c r="F52" s="30" t="str">
        <x:v>A032 → A001/A002 → A032 → A036</x:v>
      </x:c>
      <x:c r="G52" s="30" t="str">
        <x:v>重定位后实际恢复业务传输</x:v>
      </x:c>
      <x:c r="H52" s="30" t="str">
        <x:v>任一步出现拒绝/受阻/超时/不确定：返回真实反馈；Agent可重试、改方法、改分配或终止；不得强制成功</x:v>
      </x:c>
      <x:c r="I52" s="30" t="str">
        <x:v>S04；S17；S24</x:v>
      </x:c>
      <x:c r="J52" s="30" t="str">
        <x:v>https://www.darpa.mil/research/programs/darpa-subterranean-challenge
https://www.nsnam.org/docs/models/html/wifi-design.html</x:v>
      </x:c>
    </x:row>
    <x:row r="53" ht="108" customHeight="1">
      <x:c r="A53" s="30" t="str">
        <x:v>Q049</x:v>
      </x:c>
      <x:c r="B53" s="30" t="str">
        <x:v>空中中继保持—参考完成路径</x:v>
      </x:c>
      <x:c r="C53" s="30" t="str">
        <x:v>参考主路径</x:v>
      </x:c>
      <x:c r="D53" s="30" t="str">
        <x:v>T049</x:v>
      </x:c>
      <x:c r="E53" s="30" t="str">
        <x:v>Agent自主选择该目标；当前设备与资源满足所选分支</x:v>
      </x:c>
      <x:c r="F53" s="30" t="str">
        <x:v>A001 → A033 → A004 → A035 → A037</x:v>
      </x:c>
      <x:c r="G53" s="30" t="str">
        <x:v>所需时间内转发业务并保留逐跳证据</x:v>
      </x:c>
      <x:c r="H53" s="30" t="str">
        <x:v>任一步出现拒绝/受阻/超时/不确定：返回真实反馈；Agent可重试、改方法、改分配或终止；不得强制成功</x:v>
      </x:c>
      <x:c r="I53" s="30" t="str">
        <x:v>S04；S17；S25</x:v>
      </x:c>
      <x:c r="J53" s="30" t="str">
        <x:v>https://www.darpa.mil/research/programs/darpa-subterranean-challenge
https://www.nsnam.org/docs/models/html/wifi-design.html</x:v>
      </x:c>
    </x:row>
    <x:row r="54" ht="108" customHeight="1">
      <x:c r="A54" s="30" t="str">
        <x:v>Q050</x:v>
      </x:c>
      <x:c r="B54" s="30" t="str">
        <x:v>通信节点布放—参考完成路径</x:v>
      </x:c>
      <x:c r="C54" s="30" t="str">
        <x:v>参考主路径</x:v>
      </x:c>
      <x:c r="D54" s="30" t="str">
        <x:v>T050</x:v>
      </x:c>
      <x:c r="E54" s="30" t="str">
        <x:v>Agent自主选择该目标；当前设备与资源满足所选分支</x:v>
      </x:c>
      <x:c r="F54" s="30" t="str">
        <x:v>A024 → A001/A002 → A034 → A032 → A036</x:v>
      </x:c>
      <x:c r="G54" s="30" t="str">
        <x:v>节点实体、电源和链路均实际生效</x:v>
      </x:c>
      <x:c r="H54" s="30" t="str">
        <x:v>任一步出现拒绝/受阻/超时/不确定：返回真实反馈；Agent可重试、改方法、改分配或终止；不得强制成功</x:v>
      </x:c>
      <x:c r="I54" s="30" t="str">
        <x:v>S04；S17</x:v>
      </x:c>
      <x:c r="J54" s="30" t="str">
        <x:v>https://www.darpa.mil/research/programs/darpa-subterranean-challenge
https://www.nsnam.org/docs/models/html/wifi-design.html</x:v>
      </x:c>
    </x:row>
    <x:row r="55" ht="108" customHeight="1">
      <x:c r="A55" s="30" t="str">
        <x:v>Q051</x:v>
      </x:c>
      <x:c r="B55" s="30" t="str">
        <x:v>多跳业务转发—参考完成路径</x:v>
      </x:c>
      <x:c r="C55" s="30" t="str">
        <x:v>参考主路径</x:v>
      </x:c>
      <x:c r="D55" s="30" t="str">
        <x:v>T051</x:v>
      </x:c>
      <x:c r="E55" s="30" t="str">
        <x:v>Agent自主选择该目标；当前设备与资源满足所选分支</x:v>
      </x:c>
      <x:c r="F55" s="30" t="str">
        <x:v>A036 → A065 → A035 → A065 → A037</x:v>
      </x:c>
      <x:c r="G55" s="30" t="str">
        <x:v>上一跳到达后下一跳发送，终端完整接收</x:v>
      </x:c>
      <x:c r="H55" s="30" t="str">
        <x:v>任一步出现拒绝/受阻/超时/不确定：返回真实反馈；Agent可重试、改方法、改分配或终止；不得强制成功</x:v>
      </x:c>
      <x:c r="I55" s="30" t="str">
        <x:v>S04；S17；S25</x:v>
      </x:c>
      <x:c r="J55" s="30" t="str">
        <x:v>https://www.darpa.mil/research/programs/darpa-subterranean-challenge
https://www.nsnam.org/docs/models/html/wifi-design.html</x:v>
      </x:c>
    </x:row>
    <x:row r="56" ht="108" customHeight="1">
      <x:c r="A56" s="30" t="str">
        <x:v>Q052</x:v>
      </x:c>
      <x:c r="B56" s="30" t="str">
        <x:v>图像/证据数据上传—参考完成路径</x:v>
      </x:c>
      <x:c r="C56" s="30" t="str">
        <x:v>参考主路径</x:v>
      </x:c>
      <x:c r="D56" s="30" t="str">
        <x:v>T052</x:v>
      </x:c>
      <x:c r="E56" s="30" t="str">
        <x:v>Agent自主选择该目标；当前设备与资源满足所选分支</x:v>
      </x:c>
      <x:c r="F56" s="30" t="str">
        <x:v>A039 → A036 → A037</x:v>
      </x:c>
      <x:c r="G56" s="30" t="str">
        <x:v>编码后的真实数据分块送达并校验</x:v>
      </x:c>
      <x:c r="H56" s="30" t="str">
        <x:v>任一步出现拒绝/受阻/超时/不确定：返回真实反馈；Agent可重试、改方法、改分配或终止；不得强制成功</x:v>
      </x:c>
      <x:c r="I56" s="30" t="str">
        <x:v>S17；S24；S25</x:v>
      </x:c>
      <x:c r="J56" s="30" t="str">
        <x:v>https://www.nsnam.org/docs/models/html/wifi-design.html</x:v>
      </x:c>
    </x:row>
    <x:row r="57" ht="108" customHeight="1">
      <x:c r="A57" s="30" t="str">
        <x:v>Q053</x:v>
      </x:c>
      <x:c r="B57" s="30" t="str">
        <x:v>可靠回执与超时重传—参考完成路径</x:v>
      </x:c>
      <x:c r="C57" s="30" t="str">
        <x:v>参考主路径</x:v>
      </x:c>
      <x:c r="D57" s="30" t="str">
        <x:v>T053</x:v>
      </x:c>
      <x:c r="E57" s="30" t="str">
        <x:v>Agent自主选择该目标；当前设备与资源满足所选分支</x:v>
      </x:c>
      <x:c r="F57" s="30" t="str">
        <x:v>A036 → A037 → A036 → A037</x:v>
      </x:c>
      <x:c r="G57" s="30" t="str">
        <x:v>明确重试条件和次数，失败不生成成功回执</x:v>
      </x:c>
      <x:c r="H57" s="30" t="str">
        <x:v>任一步出现拒绝/受阻/超时/不确定：返回真实反馈；Agent可重试、改方法、改分配或终止；不得强制成功</x:v>
      </x:c>
      <x:c r="I57" s="30" t="str">
        <x:v>S17；S24</x:v>
      </x:c>
      <x:c r="J57" s="30" t="str">
        <x:v>https://www.nsnam.org/docs/models/html/wifi-design.html</x:v>
      </x:c>
    </x:row>
    <x:row r="58" ht="108" customHeight="1">
      <x:c r="A58" s="30" t="str">
        <x:v>Q054</x:v>
      </x:c>
      <x:c r="B58" s="30" t="str">
        <x:v>断联存储-携带-转发—参考完成路径</x:v>
      </x:c>
      <x:c r="C58" s="30" t="str">
        <x:v>参考主路径</x:v>
      </x:c>
      <x:c r="D58" s="30" t="str">
        <x:v>T054</x:v>
      </x:c>
      <x:c r="E58" s="30" t="str">
        <x:v>Agent自主选择该目标；当前设备与资源满足所选分支</x:v>
      </x:c>
      <x:c r="F58" s="30" t="str">
        <x:v>A046 → A001/A002 → A032 → A036 → A037</x:v>
      </x:c>
      <x:c r="G58" s="30" t="str">
        <x:v>过期前完成缓存消息实际投递</x:v>
      </x:c>
      <x:c r="H58" s="30" t="str">
        <x:v>任一步出现拒绝/受阻/超时/不确定：返回真实反馈；Agent可重试、改方法、改分配或终止；不得强制成功</x:v>
      </x:c>
      <x:c r="I58" s="30" t="str">
        <x:v>S04；S17；S24</x:v>
      </x:c>
      <x:c r="J58" s="30" t="str">
        <x:v>https://www.darpa.mil/research/programs/darpa-subterranean-challenge
https://www.nsnam.org/docs/models/html/wifi-design.html</x:v>
      </x:c>
    </x:row>
    <x:row r="59" ht="108" customHeight="1">
      <x:c r="A59" s="30" t="str">
        <x:v>Q055</x:v>
      </x:c>
      <x:c r="B59" s="30" t="str">
        <x:v>信道/功率/传输优先级调整—参考完成路径</x:v>
      </x:c>
      <x:c r="C59" s="30" t="str">
        <x:v>参考主路径</x:v>
      </x:c>
      <x:c r="D59" s="30" t="str">
        <x:v>T055</x:v>
      </x:c>
      <x:c r="E59" s="30" t="str">
        <x:v>Agent自主选择该目标；当前设备与资源满足所选分支</x:v>
      </x:c>
      <x:c r="F59" s="30" t="str">
        <x:v>A032 → A033 → A036 → A037</x:v>
      </x:c>
      <x:c r="G59" s="30" t="str">
        <x:v>设备支持且调整效果由实际网络反馈验证</x:v>
      </x:c>
      <x:c r="H59" s="30" t="str">
        <x:v>任一步出现拒绝/受阻/超时/不确定：返回真实反馈；Agent可重试、改方法、改分配或终止；不得强制成功</x:v>
      </x:c>
      <x:c r="I59" s="30" t="str">
        <x:v>S17</x:v>
      </x:c>
      <x:c r="J59" s="30" t="str">
        <x:v>https://www.nsnam.org/docs/models/html/wifi-design.html</x:v>
      </x:c>
    </x:row>
    <x:row r="60" ht="108" customHeight="1">
      <x:c r="A60" s="30" t="str">
        <x:v>Q056</x:v>
      </x:c>
      <x:c r="B60" s="30" t="str">
        <x:v>失联后的连接恢复—参考完成路径</x:v>
      </x:c>
      <x:c r="C60" s="30" t="str">
        <x:v>参考主路径</x:v>
      </x:c>
      <x:c r="D60" s="30" t="str">
        <x:v>T056</x:v>
      </x:c>
      <x:c r="E60" s="30" t="str">
        <x:v>Agent自主选择该目标；当前设备与资源满足所选分支</x:v>
      </x:c>
      <x:c r="F60" s="30" t="str">
        <x:v>A032 → A033 → A001/A002 → A032 → A036 → A037</x:v>
      </x:c>
      <x:c r="G60" s="30" t="str">
        <x:v>恢复可用业务链，刷新过时队友信息</x:v>
      </x:c>
      <x:c r="H60" s="30" t="str">
        <x:v>任一步出现拒绝/受阻/超时/不确定：返回真实反馈；Agent可重试、改方法、改分配或终止；不得强制成功</x:v>
      </x:c>
      <x:c r="I60" s="30" t="str">
        <x:v>S04；S17；S24</x:v>
      </x:c>
      <x:c r="J60" s="30" t="str">
        <x:v>https://www.darpa.mil/research/programs/darpa-subterranean-challenge
https://www.nsnam.org/docs/models/html/wifi-design.html</x:v>
      </x:c>
    </x:row>
    <x:row r="61" ht="108" customHeight="1">
      <x:c r="A61" s="30" t="str">
        <x:v>Q057</x:v>
      </x:c>
      <x:c r="B61" s="30" t="str">
        <x:v>计算与模型服务发现—参考完成路径</x:v>
      </x:c>
      <x:c r="C61" s="30" t="str">
        <x:v>参考主路径</x:v>
      </x:c>
      <x:c r="D61" s="30" t="str">
        <x:v>T057</x:v>
      </x:c>
      <x:c r="E61" s="30" t="str">
        <x:v>Agent自主选择该目标；当前设备与资源满足所选分支</x:v>
      </x:c>
      <x:c r="F61" s="30" t="str">
        <x:v>A042 → A036 → A037 → A041</x:v>
      </x:c>
      <x:c r="G61" s="30" t="str">
        <x:v>获得带时效的可用服务信息</x:v>
      </x:c>
      <x:c r="H61" s="30" t="str">
        <x:v>任一步出现拒绝/受阻/超时/不确定：返回真实反馈；Agent可重试、改方法、改分配或终止；不得强制成功</x:v>
      </x:c>
      <x:c r="I61" s="30" t="str">
        <x:v>S20；S24</x:v>
      </x:c>
      <x:c r="J61" s="30" t="str">
        <x:v>https://kubernetes.io/docs/concepts/configuration/manage-resources-containers/</x:v>
      </x:c>
    </x:row>
    <x:row r="62" ht="108" customHeight="1">
      <x:c r="A62" s="30" t="str">
        <x:v>Q058</x:v>
      </x:c>
      <x:c r="B62" s="30" t="str">
        <x:v>本地视觉检测—参考完成路径</x:v>
      </x:c>
      <x:c r="C62" s="30" t="str">
        <x:v>参考主路径</x:v>
      </x:c>
      <x:c r="D62" s="30" t="str">
        <x:v>T058</x:v>
      </x:c>
      <x:c r="E62" s="30" t="str">
        <x:v>Agent自主选择该目标；当前设备与资源满足所选分支</x:v>
      </x:c>
      <x:c r="F62" s="30" t="str">
        <x:v>A005 → A044 → A006 → A041</x:v>
      </x:c>
      <x:c r="G62" s="30" t="str">
        <x:v>本机真实/建模计算完成产生检测证据</x:v>
      </x:c>
      <x:c r="H62" s="30" t="str">
        <x:v>任一步出现拒绝/受阻/超时/不确定：返回真实反馈；Agent可重试、改方法、改分配或终止；不得强制成功</x:v>
      </x:c>
      <x:c r="I62" s="30" t="str">
        <x:v>S05；S07；S11；S21</x:v>
      </x:c>
      <x:c r="J62" s="30" t="str">
        <x:v>https://4amgodvzx.github.io/ESAR.github.io/
https://github.com/BinaLab/RescueNet-A-High-Resolution-Post-Disaster-UAV-Dataset-for-Semantic-Segmentation
https://arxiv.org/abs/2309.09518
https://docs.mlcommons.org/inference/benchmarks/language/llama3_1-8b/</x:v>
      </x:c>
    </x:row>
    <x:row r="63" ht="108" customHeight="1">
      <x:c r="A63" s="30" t="str">
        <x:v>Q059</x:v>
      </x:c>
      <x:c r="B63" s="30" t="str">
        <x:v>本地语义/任务推理—参考完成路径</x:v>
      </x:c>
      <x:c r="C63" s="30" t="str">
        <x:v>参考主路径</x:v>
      </x:c>
      <x:c r="D63" s="30" t="str">
        <x:v>T059</x:v>
      </x:c>
      <x:c r="E63" s="30" t="str">
        <x:v>Agent自主选择该目标；当前设备与资源满足所选分支</x:v>
      </x:c>
      <x:c r="F63" s="30" t="str">
        <x:v>A038 → A044 → A006 → A041</x:v>
      </x:c>
      <x:c r="G63" s="30" t="str">
        <x:v>使用当前任务与证据产生推断，计上下文与推理成本</x:v>
      </x:c>
      <x:c r="H63" s="30" t="str">
        <x:v>任一步出现拒绝/受阻/超时/不确定：返回真实反馈；Agent可重试、改方法、改分配或终止；不得强制成功</x:v>
      </x:c>
      <x:c r="I63" s="30" t="str">
        <x:v>S05；S24</x:v>
      </x:c>
      <x:c r="J63" s="30" t="str">
        <x:v>https://4amgodvzx.github.io/ESAR.github.io/</x:v>
      </x:c>
    </x:row>
    <x:row r="64" ht="108" customHeight="1">
      <x:c r="A64" s="30" t="str">
        <x:v>Q060</x:v>
      </x:c>
      <x:c r="B64" s="30" t="str">
        <x:v>远程视觉复核/推理卸载—参考完成路径</x:v>
      </x:c>
      <x:c r="C64" s="30" t="str">
        <x:v>参考主路径</x:v>
      </x:c>
      <x:c r="D64" s="30" t="str">
        <x:v>T060</x:v>
      </x:c>
      <x:c r="E64" s="30" t="str">
        <x:v>Agent自主选择该目标；当前设备与资源满足所选分支</x:v>
      </x:c>
      <x:c r="F64" s="30" t="str">
        <x:v>A042 → A043 → A036 → A065 → A044 → A006 → A036 → A065 → A041</x:v>
      </x:c>
      <x:c r="G64" s="30" t="str">
        <x:v>输入送达→远端完成→结果回传后才可用于决策</x:v>
      </x:c>
      <x:c r="H64" s="30" t="str">
        <x:v>任一步出现拒绝/受阻/超时/不确定：返回真实反馈；Agent可重试、改方法、改分配或终止；不得强制成功</x:v>
      </x:c>
      <x:c r="I64" s="30" t="str">
        <x:v>S17；S20；S21；S24</x:v>
      </x:c>
      <x:c r="J64" s="30" t="str">
        <x:v>https://www.nsnam.org/docs/models/html/wifi-design.html
https://kubernetes.io/docs/concepts/configuration/manage-resources-containers/
https://docs.mlcommons.org/inference/benchmarks/language/llama3_1-8b/</x:v>
      </x:c>
    </x:row>
    <x:row r="65" ht="108" customHeight="1">
      <x:c r="A65" s="30" t="str">
        <x:v>Q061</x:v>
      </x:c>
      <x:c r="B65" s="30" t="str">
        <x:v>执行节点与模型选择—参考完成路径</x:v>
      </x:c>
      <x:c r="C65" s="30" t="str">
        <x:v>参考主路径</x:v>
      </x:c>
      <x:c r="D65" s="30" t="str">
        <x:v>T061</x:v>
      </x:c>
      <x:c r="E65" s="30" t="str">
        <x:v>Agent自主选择该目标；当前设备与资源满足所选分支</x:v>
      </x:c>
      <x:c r="F65" s="30" t="str">
        <x:v>A042 → A043 → A054</x:v>
      </x:c>
      <x:c r="G65" s="30" t="str">
        <x:v>基于已知质量/时延/预算产生可执行选项</x:v>
      </x:c>
      <x:c r="H65" s="30" t="str">
        <x:v>任一步出现拒绝/受阻/超时/不确定：返回真实反馈；Agent可重试、改方法、改分配或终止；不得强制成功</x:v>
      </x:c>
      <x:c r="I65" s="30" t="str">
        <x:v>S20；S21；S24</x:v>
      </x:c>
      <x:c r="J65" s="30" t="str">
        <x:v>https://kubernetes.io/docs/concepts/configuration/manage-resources-containers/
https://docs.mlcommons.org/inference/benchmarks/language/llama3_1-8b/</x:v>
      </x:c>
    </x:row>
    <x:row r="66" ht="108" customHeight="1">
      <x:c r="A66" s="30" t="str">
        <x:v>Q062</x:v>
      </x:c>
      <x:c r="B66" s="30" t="str">
        <x:v>计算作业准入与排队—参考完成路径</x:v>
      </x:c>
      <x:c r="C66" s="30" t="str">
        <x:v>参考主路径</x:v>
      </x:c>
      <x:c r="D66" s="30" t="str">
        <x:v>T062</x:v>
      </x:c>
      <x:c r="E66" s="30" t="str">
        <x:v>Agent自主选择该目标；当前设备与资源满足所选分支</x:v>
      </x:c>
      <x:c r="F66" s="30" t="str">
        <x:v>A044 → A006 → A049</x:v>
      </x:c>
      <x:c r="G66" s="30" t="str">
        <x:v>实际预留、排队、执行、释放，入队不是完成</x:v>
      </x:c>
      <x:c r="H66" s="30" t="str">
        <x:v>任一步出现拒绝/受阻/超时/不确定：返回真实反馈；Agent可重试、改方法、改分配或终止；不得强制成功</x:v>
      </x:c>
      <x:c r="I66" s="30" t="str">
        <x:v>S19；S20；S24</x:v>
      </x:c>
      <x:c r="J66" s="30" t="str">
        <x:v>https://design.ros2.org/articles/actions.html
https://kubernetes.io/docs/concepts/configuration/manage-resources-containers/</x:v>
      </x:c>
    </x:row>
    <x:row r="67" ht="108" customHeight="1">
      <x:c r="A67" s="30" t="str">
        <x:v>Q063</x:v>
      </x:c>
      <x:c r="B67" s="30" t="str">
        <x:v>模型服务加载/卸载—参考完成路径</x:v>
      </x:c>
      <x:c r="C67" s="30" t="str">
        <x:v>参考主路径</x:v>
      </x:c>
      <x:c r="D67" s="30" t="str">
        <x:v>T063</x:v>
      </x:c>
      <x:c r="E67" s="30" t="str">
        <x:v>Agent自主选择该目标；当前设备与资源满足所选分支</x:v>
      </x:c>
      <x:c r="F67" s="30" t="str">
        <x:v>A045 → A054</x:v>
      </x:c>
      <x:c r="G67" s="30" t="str">
        <x:v>锁定版本在目标设备ready或卸载并更新资源</x:v>
      </x:c>
      <x:c r="H67" s="30" t="str">
        <x:v>任一步出现拒绝/受阻/超时/不确定：返回真实反馈；Agent可重试、改方法、改分配或终止；不得强制成功</x:v>
      </x:c>
      <x:c r="I67" s="30" t="str">
        <x:v>S20；S24</x:v>
      </x:c>
      <x:c r="J67" s="30" t="str">
        <x:v>https://kubernetes.io/docs/concepts/configuration/manage-resources-containers/</x:v>
      </x:c>
    </x:row>
    <x:row r="68" ht="108" customHeight="1">
      <x:c r="A68" s="30" t="str">
        <x:v>Q064</x:v>
      </x:c>
      <x:c r="B68" s="30" t="str">
        <x:v>上下文/表示缓存复用—参考完成路径</x:v>
      </x:c>
      <x:c r="C68" s="30" t="str">
        <x:v>参考主路径</x:v>
      </x:c>
      <x:c r="D68" s="30" t="str">
        <x:v>T064</x:v>
      </x:c>
      <x:c r="E68" s="30" t="str">
        <x:v>Agent自主选择该目标；当前设备与资源满足所选分支</x:v>
      </x:c>
      <x:c r="F68" s="30" t="str">
        <x:v>A038 → A046 → A044 → A006</x:v>
      </x:c>
      <x:c r="G68" s="30" t="str">
        <x:v>兼容时复用并记录节省；不兼容不得强行共享KV</x:v>
      </x:c>
      <x:c r="H68" s="30" t="str">
        <x:v>任一步出现拒绝/受阻/超时/不确定：返回真实反馈；Agent可重试、改方法、改分配或终止；不得强制成功</x:v>
      </x:c>
      <x:c r="I68" s="30" t="str">
        <x:v>S24</x:v>
      </x:c>
      <x:c r="J68" s="30" t="str"/>
    </x:row>
    <x:row r="69" ht="108" customHeight="1">
      <x:c r="A69" s="30" t="str">
        <x:v>Q065</x:v>
      </x:c>
      <x:c r="B69" s="30" t="str">
        <x:v>服务/作业迁移与恢复—参考完成路径</x:v>
      </x:c>
      <x:c r="C69" s="30" t="str">
        <x:v>参考主路径</x:v>
      </x:c>
      <x:c r="D69" s="30" t="str">
        <x:v>T065</x:v>
      </x:c>
      <x:c r="E69" s="30" t="str">
        <x:v>Agent自主选择该目标；当前设备与资源满足所选分支</x:v>
      </x:c>
      <x:c r="F69" s="30" t="str">
        <x:v>A047 → A036 → A037 → A045 → A044 → A006</x:v>
      </x:c>
      <x:c r="G69" s="30" t="str">
        <x:v>检查点与模型兼容，迁移后恢复且计传输成本</x:v>
      </x:c>
      <x:c r="H69" s="30" t="str">
        <x:v>任一步出现拒绝/受阻/超时/不确定：返回真实反馈；Agent可重试、改方法、改分配或终止；不得强制成功</x:v>
      </x:c>
      <x:c r="I69" s="30" t="str">
        <x:v>S20；S24</x:v>
      </x:c>
      <x:c r="J69" s="30" t="str">
        <x:v>https://kubernetes.io/docs/concepts/configuration/manage-resources-containers/</x:v>
      </x:c>
    </x:row>
    <x:row r="70" ht="108" customHeight="1">
      <x:c r="A70" s="30" t="str">
        <x:v>Q066</x:v>
      </x:c>
      <x:c r="B70" s="30" t="str">
        <x:v>预算耗尽/失败作业取消重试—参考完成路径</x:v>
      </x:c>
      <x:c r="C70" s="30" t="str">
        <x:v>参考主路径</x:v>
      </x:c>
      <x:c r="D70" s="30" t="str">
        <x:v>T066</x:v>
      </x:c>
      <x:c r="E70" s="30" t="str">
        <x:v>Agent自主选择该目标；当前设备与资源满足所选分支</x:v>
      </x:c>
      <x:c r="F70" s="30" t="str">
        <x:v>A048 → A043 → A044 → A006 → A049</x:v>
      </x:c>
      <x:c r="G70" s="30" t="str">
        <x:v>遵守版本和预算，旧结果不覆盖新任务</x:v>
      </x:c>
      <x:c r="H70" s="30" t="str">
        <x:v>任一步出现拒绝/受阻/超时/不确定：返回真实反馈；Agent可重试、改方法、改分配或终止；不得强制成功</x:v>
      </x:c>
      <x:c r="I70" s="30" t="str">
        <x:v>S19；S24</x:v>
      </x:c>
      <x:c r="J70" s="30" t="str">
        <x:v>https://design.ros2.org/articles/actions.html</x:v>
      </x:c>
    </x:row>
    <x:row r="71" ht="108" customHeight="1">
      <x:c r="A71" s="30" t="str">
        <x:v>Q067</x:v>
      </x:c>
      <x:c r="B71" s="30" t="str">
        <x:v>批处理/多源联合推理—参考完成路径</x:v>
      </x:c>
      <x:c r="C71" s="30" t="str">
        <x:v>参考主路径</x:v>
      </x:c>
      <x:c r="D71" s="30" t="str">
        <x:v>T067</x:v>
      </x:c>
      <x:c r="E71" s="30" t="str">
        <x:v>Agent自主选择该目标；当前设备与资源满足所选分支</x:v>
      </x:c>
      <x:c r="F71" s="30" t="str">
        <x:v>A040 → A044 → A006 → A041</x:v>
      </x:c>
      <x:c r="G71" s="30" t="str">
        <x:v>符合批处理/融合输入约束，结果保留每项来源</x:v>
      </x:c>
      <x:c r="H71" s="30" t="str">
        <x:v>任一步出现拒绝/受阻/超时/不确定：返回真实反馈；Agent可重试、改方法、改分配或终止；不得强制成功</x:v>
      </x:c>
      <x:c r="I71" s="30" t="str">
        <x:v>S20；S21；S24</x:v>
      </x:c>
      <x:c r="J71" s="30" t="str">
        <x:v>https://kubernetes.io/docs/concepts/configuration/manage-resources-containers/
https://docs.mlcommons.org/inference/benchmarks/language/llama3_1-8b/</x:v>
      </x:c>
    </x:row>
    <x:row r="72" ht="108" customHeight="1">
      <x:c r="A72" s="30" t="str">
        <x:v>Q068</x:v>
      </x:c>
      <x:c r="B72" s="30" t="str">
        <x:v>计算资源释放与缓存清理—参考完成路径</x:v>
      </x:c>
      <x:c r="C72" s="30" t="str">
        <x:v>参考主路径</x:v>
      </x:c>
      <x:c r="D72" s="30" t="str">
        <x:v>T068</x:v>
      </x:c>
      <x:c r="E72" s="30" t="str">
        <x:v>Agent自主选择该目标；当前设备与资源满足所选分支</x:v>
      </x:c>
      <x:c r="F72" s="30" t="str">
        <x:v>A049 → A046 → A054</x:v>
      </x:c>
      <x:c r="G72" s="30" t="str">
        <x:v>资源实际释放，不删除其他活动作业依赖</x:v>
      </x:c>
      <x:c r="H72" s="30" t="str">
        <x:v>任一步出现拒绝/受阻/超时/不确定：返回真实反馈；Agent可重试、改方法、改分配或终止；不得强制成功</x:v>
      </x:c>
      <x:c r="I72" s="30" t="str">
        <x:v>S20；S24</x:v>
      </x:c>
      <x:c r="J72" s="30" t="str">
        <x:v>https://kubernetes.io/docs/concepts/configuration/manage-resources-containers/</x:v>
      </x:c>
    </x:row>
    <x:row r="73" ht="108" customHeight="1">
      <x:c r="A73" s="30" t="str">
        <x:v>Q069</x:v>
      </x:c>
      <x:c r="B73" s="30" t="str">
        <x:v>跨源时间坐标对齐—参考完成路径</x:v>
      </x:c>
      <x:c r="C73" s="30" t="str">
        <x:v>参考主路径</x:v>
      </x:c>
      <x:c r="D73" s="30" t="str">
        <x:v>T069</x:v>
      </x:c>
      <x:c r="E73" s="30" t="str">
        <x:v>Agent自主选择该目标；当前设备与资源满足所选分支</x:v>
      </x:c>
      <x:c r="F73" s="30" t="str">
        <x:v>A007 → A040 → A041</x:v>
      </x:c>
      <x:c r="G73" s="30" t="str">
        <x:v>观测时间/坐标可比较且误差保留</x:v>
      </x:c>
      <x:c r="H73" s="30" t="str">
        <x:v>任一步出现拒绝/受阻/超时/不确定：返回真实反馈；Agent可重试、改方法、改分配或终止；不得强制成功</x:v>
      </x:c>
      <x:c r="I73" s="30" t="str">
        <x:v>S05；S25</x:v>
      </x:c>
      <x:c r="J73" s="30" t="str">
        <x:v>https://4amgodvzx.github.io/ESAR.github.io/</x:v>
      </x:c>
    </x:row>
    <x:row r="74" ht="108" customHeight="1">
      <x:c r="A74" s="30" t="str">
        <x:v>Q070</x:v>
      </x:c>
      <x:c r="B74" s="30" t="str">
        <x:v>任务条件化本地历史检索—参考完成路径</x:v>
      </x:c>
      <x:c r="C74" s="30" t="str">
        <x:v>参考主路径</x:v>
      </x:c>
      <x:c r="D74" s="30" t="str">
        <x:v>T070</x:v>
      </x:c>
      <x:c r="E74" s="30" t="str">
        <x:v>Agent自主选择该目标；当前设备与资源满足所选分支</x:v>
      </x:c>
      <x:c r="F74" s="30" t="str">
        <x:v>A038 → A041</x:v>
      </x:c>
      <x:c r="G74" s="30" t="str">
        <x:v>返回本机有权访问的相关历史，不能读取队友私库</x:v>
      </x:c>
      <x:c r="H74" s="30" t="str">
        <x:v>任一步出现拒绝/受阻/超时/不确定：返回真实反馈；Agent可重试、改方法、改分配或终止；不得强制成功</x:v>
      </x:c>
      <x:c r="I74" s="30" t="str">
        <x:v>S05；S06；S24</x:v>
      </x:c>
      <x:c r="J74" s="30" t="str">
        <x:v>https://4amgodvzx.github.io/ESAR.github.io/
https://github.com/UnrealZoo/RescueBench</x:v>
      </x:c>
    </x:row>
    <x:row r="75" ht="108" customHeight="1">
      <x:c r="A75" s="30" t="str">
        <x:v>Q071</x:v>
      </x:c>
      <x:c r="B75" s="30" t="str">
        <x:v>图像裁剪/编码/证据打包—参考完成路径</x:v>
      </x:c>
      <x:c r="C75" s="30" t="str">
        <x:v>参考主路径</x:v>
      </x:c>
      <x:c r="D75" s="30" t="str">
        <x:v>T071</x:v>
      </x:c>
      <x:c r="E75" s="30" t="str">
        <x:v>Agent自主选择该目标；当前设备与资源满足所选分支</x:v>
      </x:c>
      <x:c r="F75" s="30" t="str">
        <x:v>A039 → A046</x:v>
      </x:c>
      <x:c r="G75" s="30" t="str">
        <x:v>产生可追溯内容、hash、字节及变换成本</x:v>
      </x:c>
      <x:c r="H75" s="30" t="str">
        <x:v>任一步出现拒绝/受阻/超时/不确定：返回真实反馈；Agent可重试、改方法、改分配或终止；不得强制成功</x:v>
      </x:c>
      <x:c r="I75" s="30" t="str">
        <x:v>S24；S25</x:v>
      </x:c>
      <x:c r="J75" s="30" t="str"/>
    </x:row>
    <x:row r="76" ht="108" customHeight="1">
      <x:c r="A76" s="30" t="str">
        <x:v>Q072</x:v>
      </x:c>
      <x:c r="B76" s="30" t="str">
        <x:v>置信度与证据充分性判断—参考完成路径</x:v>
      </x:c>
      <x:c r="C76" s="30" t="str">
        <x:v>参考主路径</x:v>
      </x:c>
      <x:c r="D76" s="30" t="str">
        <x:v>T072</x:v>
      </x:c>
      <x:c r="E76" s="30" t="str">
        <x:v>Agent自主选择该目标；当前设备与资源满足所选分支</x:v>
      </x:c>
      <x:c r="F76" s="30" t="str">
        <x:v>A044 → A006 → A040 → A041</x:v>
      </x:c>
      <x:c r="G76" s="30" t="str">
        <x:v>输出不确定性/需复核判断，不将未检测当不存在</x:v>
      </x:c>
      <x:c r="H76" s="30" t="str">
        <x:v>任一步出现拒绝/受阻/超时/不确定：返回真实反馈；Agent可重试、改方法、改分配或终止；不得强制成功</x:v>
      </x:c>
      <x:c r="I76" s="30" t="str">
        <x:v>S05；S11；S24</x:v>
      </x:c>
      <x:c r="J76" s="30" t="str">
        <x:v>https://4amgodvzx.github.io/ESAR.github.io/
https://arxiv.org/abs/2309.09518</x:v>
      </x:c>
    </x:row>
    <x:row r="77" ht="108" customHeight="1">
      <x:c r="A77" s="30" t="str">
        <x:v>Q073</x:v>
      </x:c>
      <x:c r="B77" s="30" t="str">
        <x:v>多源融合与冲突更正—参考完成路径</x:v>
      </x:c>
      <x:c r="C77" s="30" t="str">
        <x:v>参考主路径</x:v>
      </x:c>
      <x:c r="D77" s="30" t="str">
        <x:v>T073</x:v>
      </x:c>
      <x:c r="E77" s="30" t="str">
        <x:v>Agent自主选择该目标；当前设备与资源满足所选分支</x:v>
      </x:c>
      <x:c r="F77" s="30" t="str">
        <x:v>A038 → A040 → A041 → A036</x:v>
      </x:c>
      <x:c r="G77" s="30" t="str">
        <x:v>保留冲突与更正传播；接收者仅收件后更新</x:v>
      </x:c>
      <x:c r="H77" s="30" t="str">
        <x:v>任一步出现拒绝/受阻/超时/不确定：返回真实反馈；Agent可重试、改方法、改分配或终止；不得强制成功</x:v>
      </x:c>
      <x:c r="I77" s="30" t="str">
        <x:v>S05；S24</x:v>
      </x:c>
      <x:c r="J77" s="30" t="str">
        <x:v>https://4amgodvzx.github.io/ESAR.github.io/</x:v>
      </x:c>
    </x:row>
    <x:row r="78" ht="108" customHeight="1">
      <x:c r="A78" s="30" t="str">
        <x:v>Q074</x:v>
      </x:c>
      <x:c r="B78" s="30" t="str">
        <x:v>面向任务的信息选择与共享—参考完成路径</x:v>
      </x:c>
      <x:c r="C78" s="30" t="str">
        <x:v>参考主路径</x:v>
      </x:c>
      <x:c r="D78" s="30" t="str">
        <x:v>T074</x:v>
      </x:c>
      <x:c r="E78" s="30" t="str">
        <x:v>Agent自主选择该目标；当前设备与资源满足所选分支</x:v>
      </x:c>
      <x:c r="F78" s="30" t="str">
        <x:v>A038 → A043 → A039 → A036 → A037</x:v>
      </x:c>
      <x:c r="G78" s="30" t="str">
        <x:v>选取原图/裁剪/文本/表示，计通信与推理质量代价</x:v>
      </x:c>
      <x:c r="H78" s="30" t="str">
        <x:v>任一步出现拒绝/受阻/超时/不确定：返回真实反馈；Agent可重试、改方法、改分配或终止；不得强制成功</x:v>
      </x:c>
      <x:c r="I78" s="30" t="str">
        <x:v>S24</x:v>
      </x:c>
      <x:c r="J78" s="30" t="str"/>
    </x:row>
    <x:row r="79" ht="108" customHeight="1">
      <x:c r="A79" s="30" t="str">
        <x:v>Q075</x:v>
      </x:c>
      <x:c r="B79" s="30" t="str">
        <x:v>局部信念与过时信息维护—参考完成路径</x:v>
      </x:c>
      <x:c r="C79" s="30" t="str">
        <x:v>参考主路径</x:v>
      </x:c>
      <x:c r="D79" s="30" t="str">
        <x:v>T075</x:v>
      </x:c>
      <x:c r="E79" s="30" t="str">
        <x:v>Agent自主选择该目标；当前设备与资源满足所选分支</x:v>
      </x:c>
      <x:c r="F79" s="30" t="str">
        <x:v>A038 → A041 → A046</x:v>
      </x:c>
      <x:c r="G79" s="30" t="str">
        <x:v>按来源/时间更新本地世界、任务与队友估计</x:v>
      </x:c>
      <x:c r="H79" s="30" t="str">
        <x:v>任一步出现拒绝/受阻/超时/不确定：返回真实反馈；Agent可重试、改方法、改分配或终止；不得强制成功</x:v>
      </x:c>
      <x:c r="I79" s="30" t="str">
        <x:v>S05；S06；S24</x:v>
      </x:c>
      <x:c r="J79" s="30" t="str">
        <x:v>https://4amgodvzx.github.io/ESAR.github.io/
https://github.com/UnrealZoo/RescueBench</x:v>
      </x:c>
    </x:row>
    <x:row r="80" ht="108" customHeight="1">
      <x:c r="A80" s="30" t="str">
        <x:v>Q076</x:v>
      </x:c>
      <x:c r="B80" s="30" t="str">
        <x:v>轨迹/证据归档与回放—参考完成路径</x:v>
      </x:c>
      <x:c r="C80" s="30" t="str">
        <x:v>参考主路径</x:v>
      </x:c>
      <x:c r="D80" s="30" t="str">
        <x:v>T076</x:v>
      </x:c>
      <x:c r="E80" s="30" t="str">
        <x:v>Agent自主选择该目标；当前设备与资源满足所选分支</x:v>
      </x:c>
      <x:c r="F80" s="30" t="str">
        <x:v>A060</x:v>
      </x:c>
      <x:c r="G80" s="30" t="str">
        <x:v>完整记录观察-任务-动作-反馈-费用；评估真值不进策略输入</x:v>
      </x:c>
      <x:c r="H80" s="30" t="str">
        <x:v>任一步出现拒绝/受阻/超时/不确定：返回真实反馈；Agent可重试、改方法、改分配或终止；不得强制成功</x:v>
      </x:c>
      <x:c r="I80" s="30" t="str">
        <x:v>S05；S06；S24</x:v>
      </x:c>
      <x:c r="J80" s="30" t="str">
        <x:v>https://4amgodvzx.github.io/ESAR.github.io/
https://github.com/UnrealZoo/RescueBench</x:v>
      </x:c>
    </x:row>
    <x:row r="81" ht="108" customHeight="1">
      <x:c r="A81" s="30" t="str">
        <x:v>Q077</x:v>
      </x:c>
      <x:c r="B81" s="30" t="str">
        <x:v>接收并解释当前使命—参考完成路径</x:v>
      </x:c>
      <x:c r="C81" s="30" t="str">
        <x:v>参考主路径</x:v>
      </x:c>
      <x:c r="D81" s="30" t="str">
        <x:v>T077</x:v>
      </x:c>
      <x:c r="E81" s="30" t="str">
        <x:v>Agent自主选择该目标；当前设备与资源满足所选分支</x:v>
      </x:c>
      <x:c r="F81" s="30" t="str">
        <x:v>A065 → A044 → A006 → A041 → A053</x:v>
      </x:c>
      <x:c r="G81" s="30" t="str">
        <x:v>任务实际到达后解析目标/约束并决定接受</x:v>
      </x:c>
      <x:c r="H81" s="30" t="str">
        <x:v>任一步出现拒绝/受阻/超时/不确定：返回真实反馈；Agent可重试、改方法、改分配或终止；不得强制成功</x:v>
      </x:c>
      <x:c r="I81" s="30" t="str">
        <x:v>S19；S24</x:v>
      </x:c>
      <x:c r="J81" s="30" t="str">
        <x:v>https://design.ros2.org/articles/actions.html</x:v>
      </x:c>
    </x:row>
    <x:row r="82" ht="108" customHeight="1">
      <x:c r="A82" s="30" t="str">
        <x:v>Q078</x:v>
      </x:c>
      <x:c r="B82" s="30" t="str">
        <x:v>自主任务分解与候选生成—参考完成路径</x:v>
      </x:c>
      <x:c r="C82" s="30" t="str">
        <x:v>参考主路径</x:v>
      </x:c>
      <x:c r="D82" s="30" t="str">
        <x:v>T078</x:v>
      </x:c>
      <x:c r="E82" s="30" t="str">
        <x:v>Agent自主选择该目标；当前设备与资源满足所选分支</x:v>
      </x:c>
      <x:c r="F82" s="30" t="str">
        <x:v>A038 → A044 → A006 → A050</x:v>
      </x:c>
      <x:c r="G82" s="30" t="str">
        <x:v>形成可执行子目标/依赖，不由环境预写派生树</x:v>
      </x:c>
      <x:c r="H82" s="30" t="str">
        <x:v>任一步出现拒绝/受阻/超时/不确定：返回真实反馈；Agent可重试、改方法、改分配或终止；不得强制成功</x:v>
      </x:c>
      <x:c r="I82" s="30" t="str">
        <x:v>S24</x:v>
      </x:c>
      <x:c r="J82" s="30" t="str"/>
    </x:row>
    <x:row r="83" ht="108" customHeight="1">
      <x:c r="A83" s="30" t="str">
        <x:v>Q079</x:v>
      </x:c>
      <x:c r="B83" s="30" t="str">
        <x:v>本机参与筛选与出价—参考完成路径</x:v>
      </x:c>
      <x:c r="C83" s="30" t="str">
        <x:v>参考主路径</x:v>
      </x:c>
      <x:c r="D83" s="30" t="str">
        <x:v>T079</x:v>
      </x:c>
      <x:c r="E83" s="30" t="str">
        <x:v>Agent自主选择该目标；当前设备与资源满足所选分支</x:v>
      </x:c>
      <x:c r="F83" s="30" t="str">
        <x:v>A051 → A036 → A037</x:v>
      </x:c>
      <x:c r="G83" s="30" t="str">
        <x:v>根据实际设备、资源、当前承诺提出参与建议</x:v>
      </x:c>
      <x:c r="H83" s="30" t="str">
        <x:v>任一步出现拒绝/受阻/超时/不确定：返回真实反馈；Agent可重试、改方法、改分配或终止；不得强制成功</x:v>
      </x:c>
      <x:c r="I83" s="30" t="str">
        <x:v>S24；S25</x:v>
      </x:c>
      <x:c r="J83" s="30" t="str"/>
    </x:row>
    <x:row r="84" ht="108" customHeight="1">
      <x:c r="A84" s="30" t="str">
        <x:v>Q080</x:v>
      </x:c>
      <x:c r="B84" s="30" t="str">
        <x:v>多平台任务分配与协调—参考完成路径</x:v>
      </x:c>
      <x:c r="C84" s="30" t="str">
        <x:v>参考主路径</x:v>
      </x:c>
      <x:c r="D84" s="30" t="str">
        <x:v>T080</x:v>
      </x:c>
      <x:c r="E84" s="30" t="str">
        <x:v>Agent自主选择该目标；当前设备与资源满足所选分支</x:v>
      </x:c>
      <x:c r="F84" s="30" t="str">
        <x:v>A038 → A044 → A006 → A052 → A036</x:v>
      </x:c>
      <x:c r="G84" s="30" t="str">
        <x:v>计划只基于已收信息，分配后还需执行者接受</x:v>
      </x:c>
      <x:c r="H84" s="30" t="str">
        <x:v>任一步出现拒绝/受阻/超时/不确定：返回真实反馈；Agent可重试、改方法、改分配或终止；不得强制成功</x:v>
      </x:c>
      <x:c r="I84" s="30" t="str">
        <x:v>S03；S24</x:v>
      </x:c>
      <x:c r="J84" s="30" t="str">
        <x:v>https://roborescue.github.io/rcrs-server/rcrs-server/index.html</x:v>
      </x:c>
    </x:row>
    <x:row r="85" ht="108" customHeight="1">
      <x:c r="A85" s="30" t="str">
        <x:v>Q081</x:v>
      </x:c>
      <x:c r="B85" s="30" t="str">
        <x:v>任务接受/拒绝与承诺—参考完成路径</x:v>
      </x:c>
      <x:c r="C85" s="30" t="str">
        <x:v>参考主路径</x:v>
      </x:c>
      <x:c r="D85" s="30" t="str">
        <x:v>T081</x:v>
      </x:c>
      <x:c r="E85" s="30" t="str">
        <x:v>Agent自主选择该目标；当前设备与资源满足所选分支</x:v>
      </x:c>
      <x:c r="F85" s="30" t="str">
        <x:v>A065 → A053 → A036 → A037</x:v>
      </x:c>
      <x:c r="G85" s="30" t="str">
        <x:v>本机接受后承诺生效，拒绝说明设备/资源原因</x:v>
      </x:c>
      <x:c r="H85" s="30" t="str">
        <x:v>任一步出现拒绝/受阻/超时/不确定：返回真实反馈；Agent可重试、改方法、改分配或终止；不得强制成功</x:v>
      </x:c>
      <x:c r="I85" s="30" t="str">
        <x:v>S19；S24</x:v>
      </x:c>
      <x:c r="J85" s="30" t="str">
        <x:v>https://design.ros2.org/articles/actions.html</x:v>
      </x:c>
    </x:row>
    <x:row r="86" ht="108" customHeight="1">
      <x:c r="A86" s="30" t="str">
        <x:v>Q082</x:v>
      </x:c>
      <x:c r="B86" s="30" t="str">
        <x:v>进度监控与完成确认—参考完成路径</x:v>
      </x:c>
      <x:c r="C86" s="30" t="str">
        <x:v>参考主路径</x:v>
      </x:c>
      <x:c r="D86" s="30" t="str">
        <x:v>T082</x:v>
      </x:c>
      <x:c r="E86" s="30" t="str">
        <x:v>Agent自主选择该目标；当前设备与资源满足所选分支</x:v>
      </x:c>
      <x:c r="F86" s="30" t="str">
        <x:v>A054 → A036 → A037</x:v>
      </x:c>
      <x:c r="G86" s="30" t="str">
        <x:v>实际动作/结果证据支撑进度；缺回执不完成</x:v>
      </x:c>
      <x:c r="H86" s="30" t="str">
        <x:v>任一步出现拒绝/受阻/超时/不确定：返回真实反馈；Agent可重试、改方法、改分配或终止；不得强制成功</x:v>
      </x:c>
      <x:c r="I86" s="30" t="str">
        <x:v>S19；S24</x:v>
      </x:c>
      <x:c r="J86" s="30" t="str">
        <x:v>https://design.ros2.org/articles/actions.html</x:v>
      </x:c>
    </x:row>
    <x:row r="87" ht="108" customHeight="1">
      <x:c r="A87" s="30" t="str">
        <x:v>Q083</x:v>
      </x:c>
      <x:c r="B87" s="30" t="str">
        <x:v>任务取消/抢占—参考完成路径</x:v>
      </x:c>
      <x:c r="C87" s="30" t="str">
        <x:v>参考主路径</x:v>
      </x:c>
      <x:c r="D87" s="30" t="str">
        <x:v>T083</x:v>
      </x:c>
      <x:c r="E87" s="30" t="str">
        <x:v>Agent自主选择该目标；当前设备与资源满足所选分支</x:v>
      </x:c>
      <x:c r="F87" s="30" t="str">
        <x:v>A055 → A056 → A054 → A036</x:v>
      </x:c>
      <x:c r="G87" s="30" t="str">
        <x:v>安全停止或拒绝后修改任务，已耗成本保留</x:v>
      </x:c>
      <x:c r="H87" s="30" t="str">
        <x:v>任一步出现拒绝/受阻/超时/不确定：返回真实反馈；Agent可重试、改方法、改分配或终止；不得强制成功</x:v>
      </x:c>
      <x:c r="I87" s="30" t="str">
        <x:v>S19；S24</x:v>
      </x:c>
      <x:c r="J87" s="30" t="str">
        <x:v>https://design.ros2.org/articles/actions.html</x:v>
      </x:c>
    </x:row>
    <x:row r="88" ht="108" customHeight="1">
      <x:c r="A88" s="30" t="str">
        <x:v>Q084</x:v>
      </x:c>
      <x:c r="B88" s="30" t="str">
        <x:v>恢复原任务—参考完成路径</x:v>
      </x:c>
      <x:c r="C88" s="30" t="str">
        <x:v>参考主路径</x:v>
      </x:c>
      <x:c r="D88" s="30" t="str">
        <x:v>T084</x:v>
      </x:c>
      <x:c r="E88" s="30" t="str">
        <x:v>Agent自主选择该目标；当前设备与资源满足所选分支</x:v>
      </x:c>
      <x:c r="F88" s="30" t="str">
        <x:v>A038 → A057 → A001/A002 → A054</x:v>
      </x:c>
      <x:c r="G88" s="30" t="str">
        <x:v>校验当前资源/地图后从检查点继续原承诺</x:v>
      </x:c>
      <x:c r="H88" s="30" t="str">
        <x:v>任一步出现拒绝/受阻/超时/不确定：返回真实反馈；Agent可重试、改方法、改分配或终止；不得强制成功</x:v>
      </x:c>
      <x:c r="I88" s="30" t="str">
        <x:v>S19；S24；S25</x:v>
      </x:c>
      <x:c r="J88" s="30" t="str">
        <x:v>https://design.ros2.org/articles/actions.html</x:v>
      </x:c>
    </x:row>
    <x:row r="89" ht="108" customHeight="1">
      <x:c r="A89" s="30" t="str">
        <x:v>Q085</x:v>
      </x:c>
      <x:c r="B89" s="30" t="str">
        <x:v>跨Agent任务与证据交接—参考完成路径</x:v>
      </x:c>
      <x:c r="C89" s="30" t="str">
        <x:v>参考主路径</x:v>
      </x:c>
      <x:c r="D89" s="30" t="str">
        <x:v>T085</x:v>
      </x:c>
      <x:c r="E89" s="30" t="str">
        <x:v>Agent自主选择该目标；当前设备与资源满足所选分支</x:v>
      </x:c>
      <x:c r="F89" s="30" t="str">
        <x:v>A058 → A036 → A065 → A053 → A036 → A037 → A054</x:v>
      </x:c>
      <x:c r="G89" s="30" t="str">
        <x:v>新方确认、旧方释放，避免双执行和免费共享历史</x:v>
      </x:c>
      <x:c r="H89" s="30" t="str">
        <x:v>任一步出现拒绝/受阻/超时/不确定：返回真实反馈；Agent可重试、改方法、改分配或终止；不得强制成功</x:v>
      </x:c>
      <x:c r="I89" s="30" t="str">
        <x:v>S19；S24</x:v>
      </x:c>
      <x:c r="J89" s="30" t="str">
        <x:v>https://design.ros2.org/articles/actions.html</x:v>
      </x:c>
    </x:row>
    <x:row r="90" ht="108" customHeight="1">
      <x:c r="A90" s="30" t="str">
        <x:v>Q086</x:v>
      </x:c>
      <x:c r="B90" s="30" t="str">
        <x:v>失败重规划与重派—参考完成路径</x:v>
      </x:c>
      <x:c r="C90" s="30" t="str">
        <x:v>参考主路径</x:v>
      </x:c>
      <x:c r="D90" s="30" t="str">
        <x:v>T086</x:v>
      </x:c>
      <x:c r="E90" s="30" t="str">
        <x:v>Agent自主选择该目标；当前设备与资源满足所选分支</x:v>
      </x:c>
      <x:c r="F90" s="30" t="str">
        <x:v>A041 → A044 → A006 → A050 → A052 → A036</x:v>
      </x:c>
      <x:c r="G90" s="30" t="str">
        <x:v>新的证据/限制引起新版本计划，并正确撤销旧承诺</x:v>
      </x:c>
      <x:c r="H90" s="30" t="str">
        <x:v>任一步出现拒绝/受阻/超时/不确定：返回真实反馈；Agent可重试、改方法、改分配或终止；不得强制成功</x:v>
      </x:c>
      <x:c r="I90" s="30" t="str">
        <x:v>S03；S24</x:v>
      </x:c>
      <x:c r="J90" s="30" t="str">
        <x:v>https://roborescue.github.io/rcrs-server/rcrs-server/index.html</x:v>
      </x:c>
    </x:row>
    <x:row r="91" ht="108" customHeight="1">
      <x:c r="A91" s="30" t="str">
        <x:v>Q087</x:v>
      </x:c>
      <x:c r="B91" s="30" t="str">
        <x:v>请求专业救援/工程力量—参考完成路径</x:v>
      </x:c>
      <x:c r="C91" s="30" t="str">
        <x:v>参考主路径</x:v>
      </x:c>
      <x:c r="D91" s="30" t="str">
        <x:v>T087</x:v>
      </x:c>
      <x:c r="E91" s="30" t="str">
        <x:v>Agent自主选择该目标；当前设备与资源满足所选分支</x:v>
      </x:c>
      <x:c r="F91" s="30" t="str">
        <x:v>A059 → A036 → A037 → A054</x:v>
      </x:c>
      <x:c r="G91" s="30" t="str">
        <x:v>明确外部响应、到场、作业结果；请求不等于成功</x:v>
      </x:c>
      <x:c r="H91" s="30" t="str">
        <x:v>任一步出现拒绝/受阻/超时/不确定：返回真实反馈；Agent可重试、改方法、改分配或终止；不得强制成功</x:v>
      </x:c>
      <x:c r="I91" s="30" t="str">
        <x:v>S01；S24</x:v>
      </x:c>
      <x:c r="J91" s="30" t="str">
        <x:v>https://insarag.org/wp-content/uploads/2021/06/INSARAG20Guidelines20Vol20II2C20Man20B.pdf</x:v>
      </x:c>
    </x:row>
    <x:row r="92" ht="108" customHeight="1">
      <x:c r="A92" s="30" t="str">
        <x:v>Q088</x:v>
      </x:c>
      <x:c r="B92" s="30" t="str">
        <x:v>工作现场闭合与阶段移交—参考完成路径</x:v>
      </x:c>
      <x:c r="C92" s="30" t="str">
        <x:v>参考主路径</x:v>
      </x:c>
      <x:c r="D92" s="30" t="str">
        <x:v>T088</x:v>
      </x:c>
      <x:c r="E92" s="30" t="str">
        <x:v>Agent自主选择该目标；当前设备与资源满足所选分支</x:v>
      </x:c>
      <x:c r="F92" s="30" t="str">
        <x:v>A010 → A054 → A036 → A037</x:v>
      </x:c>
      <x:c r="G92" s="30" t="str">
        <x:v>汇报完成/未覆盖/残余危险及后续承担者</x:v>
      </x:c>
      <x:c r="H92" s="30" t="str">
        <x:v>任一步出现拒绝/受阻/超时/不确定：返回真实反馈；Agent可重试、改方法、改分配或终止；不得强制成功</x:v>
      </x:c>
      <x:c r="I92" s="30" t="str">
        <x:v>S01</x:v>
      </x:c>
      <x:c r="J92" s="30" t="str">
        <x:v>https://insarag.org/wp-content/uploads/2021/06/INSARAG20Guidelines20Vol20II2C20Man20B.pdf</x:v>
      </x:c>
    </x:row>
    <x:row r="93" ht="108" customHeight="1">
      <x:c r="A93" s="30" t="str">
        <x:v>Q089</x:v>
      </x:c>
      <x:c r="B93" s="30" t="str">
        <x:v>次生危险动态监视—参考完成路径</x:v>
      </x:c>
      <x:c r="C93" s="30" t="str">
        <x:v>参考主路径</x:v>
      </x:c>
      <x:c r="D93" s="30" t="str">
        <x:v>T089</x:v>
      </x:c>
      <x:c r="E93" s="30" t="str">
        <x:v>Agent自主选择该目标；当前设备与资源满足所选分支</x:v>
      </x:c>
      <x:c r="F93" s="30" t="str">
        <x:v>A005 → A006 → A041 → A036</x:v>
      </x:c>
      <x:c r="G93" s="30" t="str">
        <x:v>观测新危险后报告并触发Agent重规划，而非无代价全局告知</x:v>
      </x:c>
      <x:c r="H93" s="30" t="str">
        <x:v>任一步出现拒绝/受阻/超时/不确定：返回真实反馈；Agent可重试、改方法、改分配或终止；不得强制成功</x:v>
      </x:c>
      <x:c r="I93" s="30" t="str">
        <x:v>S01；S03；S24</x:v>
      </x:c>
      <x:c r="J93" s="30" t="str">
        <x:v>https://insarag.org/wp-content/uploads/2021/06/INSARAG20Guidelines20Vol20II2C20Man20B.pdf
https://roborescue.github.io/rcrs-server/rcrs-server/index.html</x:v>
      </x:c>
    </x:row>
    <x:row r="94" ht="108" customHeight="1">
      <x:c r="A94" s="30" t="str">
        <x:v>Q090</x:v>
      </x:c>
      <x:c r="B94" s="30" t="str">
        <x:v>平台/能源/服务健康监视—参考完成路径</x:v>
      </x:c>
      <x:c r="C94" s="30" t="str">
        <x:v>参考主路径</x:v>
      </x:c>
      <x:c r="D94" s="30" t="str">
        <x:v>T090</x:v>
      </x:c>
      <x:c r="E94" s="30" t="str">
        <x:v>Agent自主选择该目标；当前设备与资源满足所选分支</x:v>
      </x:c>
      <x:c r="F94" s="30" t="str">
        <x:v>A061 → A041 → A036</x:v>
      </x:c>
      <x:c r="G94" s="30" t="str">
        <x:v>实际遥测与服务结果更新本机/队友资源估计</x:v>
      </x:c>
      <x:c r="H94" s="30" t="str">
        <x:v>任一步出现拒绝/受阻/超时/不确定：返回真实反馈；Agent可重试、改方法、改分配或终止；不得强制成功</x:v>
      </x:c>
      <x:c r="I94" s="30" t="str">
        <x:v>S02；S18；S24</x:v>
      </x:c>
      <x:c r="J94" s="30" t="str">
        <x:v>https://www.nist.gov/programs-projects/department-homeland-security-response-robot-performance-standards
https://www.nsnam.org/docs/models/html/energy.html</x:v>
      </x:c>
    </x:row>
    <x:row r="95" ht="108" customHeight="1">
      <x:c r="A95" s="30" t="str">
        <x:v>Q091</x:v>
      </x:c>
      <x:c r="B95" s="30" t="str">
        <x:v>安全等待与驻留观察—参考完成路径</x:v>
      </x:c>
      <x:c r="C95" s="30" t="str">
        <x:v>参考主路径</x:v>
      </x:c>
      <x:c r="D95" s="30" t="str">
        <x:v>T091</x:v>
      </x:c>
      <x:c r="E95" s="30" t="str">
        <x:v>Agent自主选择该目标；当前设备与资源满足所选分支</x:v>
      </x:c>
      <x:c r="F95" s="30" t="str">
        <x:v>A004 → A005 → A041 → A054</x:v>
      </x:c>
      <x:c r="G95" s="30" t="str">
        <x:v>驻留/观察持续消耗资源，满足终止条件</x:v>
      </x:c>
      <x:c r="H95" s="30" t="str">
        <x:v>任一步出现拒绝/受阻/超时/不确定：返回真实反馈；Agent可重试、改方法、改分配或终止；不得强制成功</x:v>
      </x:c>
      <x:c r="I95" s="30" t="str">
        <x:v>S02；S24</x:v>
      </x:c>
      <x:c r="J95" s="30" t="str">
        <x:v>https://www.nist.gov/programs-projects/department-homeland-security-response-robot-performance-standards</x:v>
      </x:c>
    </x:row>
    <x:row r="96" ht="108" customHeight="1">
      <x:c r="A96" s="30" t="str">
        <x:v>Q092</x:v>
      </x:c>
      <x:c r="B96" s="30" t="str">
        <x:v>设备/传感器/服务故障诊断—参考完成路径</x:v>
      </x:c>
      <x:c r="C96" s="30" t="str">
        <x:v>参考主路径</x:v>
      </x:c>
      <x:c r="D96" s="30" t="str">
        <x:v>T092</x:v>
      </x:c>
      <x:c r="E96" s="30" t="str">
        <x:v>Agent自主选择该目标；当前设备与资源满足所选分支</x:v>
      </x:c>
      <x:c r="F96" s="30" t="str">
        <x:v>A061 → A048 → A059 → A054</x:v>
      </x:c>
      <x:c r="G96" s="30" t="str">
        <x:v>报告恢复/隔离/无法恢复，必要时请求替代主体</x:v>
      </x:c>
      <x:c r="H96" s="30" t="str">
        <x:v>任一步出现拒绝/受阻/超时/不确定：返回真实反馈；Agent可重试、改方法、改分配或终止；不得强制成功</x:v>
      </x:c>
      <x:c r="I96" s="30" t="str">
        <x:v>S02；S19；S24</x:v>
      </x:c>
      <x:c r="J96" s="30" t="str">
        <x:v>https://www.nist.gov/programs-projects/department-homeland-security-response-robot-performance-standards
https://design.ros2.org/articles/actions.html</x:v>
      </x:c>
    </x:row>
    <x:row r="97" ht="108" customHeight="1">
      <x:c r="A97" s="30" t="str">
        <x:v>Q093</x:v>
      </x:c>
      <x:c r="B97" s="30" t="str">
        <x:v>消防抑制/灭火—参考完成路径</x:v>
      </x:c>
      <x:c r="C97" s="30" t="str">
        <x:v>参考主路径</x:v>
      </x:c>
      <x:c r="D97" s="30" t="str">
        <x:v>T093</x:v>
      </x:c>
      <x:c r="E97" s="30" t="str">
        <x:v>Agent自主选择该目标；当前设备与资源满足所选分支</x:v>
      </x:c>
      <x:c r="F97" s="30" t="str">
        <x:v>A059 → A062 → A005 → A054</x:v>
      </x:c>
      <x:c r="G97" s="30" t="str">
        <x:v>具备消防能力者按模型实际降低火势并核验</x:v>
      </x:c>
      <x:c r="H97" s="30" t="str">
        <x:v>任一步出现拒绝/受阻/超时/不确定：返回真实反馈；Agent可重试、改方法、改分配或终止；不得强制成功</x:v>
      </x:c>
      <x:c r="I97" s="30" t="str">
        <x:v>S03</x:v>
      </x:c>
      <x:c r="J97" s="30" t="str">
        <x:v>https://roborescue.github.io/rcrs-server/rcrs-server/index.html</x:v>
      </x:c>
    </x:row>
    <x:row r="98" ht="108" customHeight="1">
      <x:c r="A98" s="30" t="str">
        <x:v>Q094</x:v>
      </x:c>
      <x:c r="B98" s="30" t="str">
        <x:v>消防供水与灭火耗材补充—参考完成路径</x:v>
      </x:c>
      <x:c r="C98" s="30" t="str">
        <x:v>参考主路径</x:v>
      </x:c>
      <x:c r="D98" s="30" t="str">
        <x:v>T094</x:v>
      </x:c>
      <x:c r="E98" s="30" t="str">
        <x:v>Agent自主选择该目标；当前设备与资源满足所选分支</x:v>
      </x:c>
      <x:c r="F98" s="30" t="str">
        <x:v>A002 → A028 → A054</x:v>
      </x:c>
      <x:c r="G98" s="30" t="str">
        <x:v>从实际水源/库存补充介质，不免费无限喷水</x:v>
      </x:c>
      <x:c r="H98" s="30" t="str">
        <x:v>任一步出现拒绝/受阻/超时/不确定：返回真实反馈；Agent可重试、改方法、改分配或终止；不得强制成功</x:v>
      </x:c>
      <x:c r="I98" s="30" t="str">
        <x:v>S03</x:v>
      </x:c>
      <x:c r="J98" s="30" t="str">
        <x:v>https://roborescue.github.io/rcrs-server/rcrs-server/index.html</x:v>
      </x:c>
    </x:row>
    <x:row r="99" ht="108" customHeight="1">
      <x:c r="A99" s="30" t="str">
        <x:v>Q095</x:v>
      </x:c>
      <x:c r="B99" s="30" t="str">
        <x:v>危险源隔离/警戒区建立—参考完成路径</x:v>
      </x:c>
      <x:c r="C99" s="30" t="str">
        <x:v>参考主路径</x:v>
      </x:c>
      <x:c r="D99" s="30" t="str">
        <x:v>T095</x:v>
      </x:c>
      <x:c r="E99" s="30" t="str">
        <x:v>Agent自主选择该目标；当前设备与资源满足所选分支</x:v>
      </x:c>
      <x:c r="F99" s="30" t="str">
        <x:v>A059 → A063 → A010 → A036</x:v>
      </x:c>
      <x:c r="G99" s="30" t="str">
        <x:v>授权主体隔离或标记危险区，风险与通行状态同步</x:v>
      </x:c>
      <x:c r="H99" s="30" t="str">
        <x:v>任一步出现拒绝/受阻/超时/不确定：返回真实反馈；Agent可重试、改方法、改分配或终止；不得强制成功</x:v>
      </x:c>
      <x:c r="I99" s="30" t="str">
        <x:v>S01；S02</x:v>
      </x:c>
      <x:c r="J99" s="30" t="str">
        <x:v>https://insarag.org/wp-content/uploads/2021/06/INSARAG20Guidelines20Vol20II2C20Man20B.pdf
https://www.nist.gov/programs-projects/department-homeland-security-response-robot-performance-standards</x:v>
      </x:c>
    </x:row>
    <x:row r="100" ht="108" customHeight="1">
      <x:c r="A100" s="30" t="str">
        <x:v>Q096</x:v>
      </x:c>
      <x:c r="B100" s="30" t="str">
        <x:v>跨模型特征/潜表示适配—参考完成路径</x:v>
      </x:c>
      <x:c r="C100" s="30" t="str">
        <x:v>参考主路径</x:v>
      </x:c>
      <x:c r="D100" s="30" t="str">
        <x:v>T096</x:v>
      </x:c>
      <x:c r="E100" s="30" t="str">
        <x:v>Agent自主选择该目标；当前设备与资源满足所选分支</x:v>
      </x:c>
      <x:c r="F100" s="30" t="str">
        <x:v>A038 → A064 → A046 → A036 → A037</x:v>
      </x:c>
      <x:c r="G100" s="30" t="str">
        <x:v>只有适配兼容证据充分时才输出目标表示，计成本与质量损失</x:v>
      </x:c>
      <x:c r="H100" s="30" t="str">
        <x:v>任一步出现拒绝/受阻/超时/不确定：返回真实反馈；Agent可重试、改方法、改分配或终止；不得强制成功</x:v>
      </x:c>
      <x:c r="I100" s="30" t="str">
        <x:v>S24</x:v>
      </x:c>
      <x:c r="J100" s="30" t="str"/>
    </x:row>
    <x:row r="101" ht="108" customHeight="1">
      <x:c r="A101" s="30" t="str">
        <x:v>Q097</x:v>
      </x:c>
      <x:c r="B101" s="30" t="str">
        <x:v>疑似目标看不清</x:v>
      </x:c>
      <x:c r="C101" s="30" t="str">
        <x:v>条件分支</x:v>
      </x:c>
      <x:c r="D101" s="30" t="str">
        <x:v>T011；T072</x:v>
      </x:c>
      <x:c r="E101" s="30" t="str">
        <x:v>遮挡/分辨率不足</x:v>
      </x:c>
      <x:c r="F101" s="30" t="str">
        <x:v>A005 → A006 → A041 → A001/A002 → A005 → A006 → A040 → A041</x:v>
      </x:c>
      <x:c r="G101" s="30" t="str">
        <x:v>获得新增证据或明确仍不确定</x:v>
      </x:c>
      <x:c r="H101" s="30" t="str">
        <x:v>未检测不推断无人</x:v>
      </x:c>
      <x:c r="I101" s="30" t="str">
        <x:v>S05；S11；S24</x:v>
      </x:c>
      <x:c r="J101" s="30" t="str">
        <x:v>https://4amgodvzx.github.io/ESAR.github.io/
https://arxiv.org/abs/2309.09518</x:v>
      </x:c>
    </x:row>
    <x:row r="102" ht="108" customHeight="1">
      <x:c r="A102" s="30" t="str">
        <x:v>Q098</x:v>
      </x:c>
      <x:c r="B102" s="30" t="str">
        <x:v>地面受阻后绕行</x:v>
      </x:c>
      <x:c r="C102" s="30" t="str">
        <x:v>条件分支</x:v>
      </x:c>
      <x:c r="D102" s="30" t="str">
        <x:v>T020；T021；T086</x:v>
      </x:c>
      <x:c r="E102" s="30" t="str">
        <x:v>移动实际发现阻碍</x:v>
      </x:c>
      <x:c r="F102" s="30" t="str">
        <x:v>A002 → A041 → A066 → A002 → A054</x:v>
      </x:c>
      <x:c r="G102" s="30" t="str">
        <x:v>找到合法替代路径或报告不可达</x:v>
      </x:c>
      <x:c r="H102" s="30" t="str">
        <x:v>不强制清障；按当前资源比较绕行</x:v>
      </x:c>
      <x:c r="I102" s="30" t="str">
        <x:v>S02；S03；S24</x:v>
      </x:c>
      <x:c r="J102" s="30" t="str">
        <x:v>https://www.nist.gov/programs-projects/department-homeland-security-response-robot-performance-standards
https://roborescue.github.io/rcrs-server/rcrs-server/index.html</x:v>
      </x:c>
    </x:row>
    <x:row r="103" ht="108" customHeight="1">
      <x:c r="A103" s="30" t="str">
        <x:v>Q099</x:v>
      </x:c>
      <x:c r="B103" s="30" t="str">
        <x:v>入口无法到达后请求清障</x:v>
      </x:c>
      <x:c r="C103" s="30" t="str">
        <x:v>条件分支</x:v>
      </x:c>
      <x:c r="D103" s="30" t="str">
        <x:v>T014；T023；T087</x:v>
      </x:c>
      <x:c r="E103" s="30" t="str">
        <x:v>搜索入口受阻，当前主体无工程能力</x:v>
      </x:c>
      <x:c r="F103" s="30" t="str">
        <x:v>A011 → A041 → A059 → A013 → A011 → A002 → A008 → A036</x:v>
      </x:c>
      <x:c r="G103" s="30" t="str">
        <x:v>专业主体清障后才开始室内抽象搜索</x:v>
      </x:c>
      <x:c r="H103" s="30" t="str">
        <x:v>专业服务未响应则保持阻塞/取消</x:v>
      </x:c>
      <x:c r="I103" s="30" t="str">
        <x:v>S01；S03；S24</x:v>
      </x:c>
      <x:c r="J103" s="30" t="str">
        <x:v>https://insarag.org/wp-content/uploads/2021/06/INSARAG20Guidelines20Vol20II2C20Man20B.pdf
https://roborescue.github.io/rcrs-server/rcrs-server/index.html</x:v>
      </x:c>
    </x:row>
    <x:row r="104" ht="108" customHeight="1">
      <x:c r="A104" s="30" t="str">
        <x:v>Q100</x:v>
      </x:c>
      <x:c r="B104" s="30" t="str">
        <x:v>机器狗无工具拒绝清障</x:v>
      </x:c>
      <x:c r="C104" s="30" t="str">
        <x:v>条件分支</x:v>
      </x:c>
      <x:c r="D104" s="30" t="str">
        <x:v>T022；T079；T081</x:v>
      </x:c>
      <x:c r="E104" s="30" t="str">
        <x:v>DOG无夹爪/无额定清障能力</x:v>
      </x:c>
      <x:c r="F104" s="30" t="str">
        <x:v>A053 → A051 → A036 → A052 → A065 → A053</x:v>
      </x:c>
      <x:c r="G104" s="30" t="str">
        <x:v>拒绝或改派能力匹配主体</x:v>
      </x:c>
      <x:c r="H104" s="30" t="str">
        <x:v>拒绝反馈不伪造残骸已清</x:v>
      </x:c>
      <x:c r="I104" s="30" t="str">
        <x:v>S02；S24</x:v>
      </x:c>
      <x:c r="J104" s="30" t="str">
        <x:v>https://www.nist.gov/programs-projects/department-homeland-security-response-robot-performance-standards</x:v>
      </x:c>
    </x:row>
    <x:row r="105" ht="108" customHeight="1">
      <x:c r="A105" s="30" t="str">
        <x:v>Q101</x:v>
      </x:c>
      <x:c r="B105" s="30" t="str">
        <x:v>载荷超限后拆分/换载具</x:v>
      </x:c>
      <x:c r="C105" s="30" t="str">
        <x:v>条件分支</x:v>
      </x:c>
      <x:c r="D105" s="30" t="str">
        <x:v>T030；T038；T080</x:v>
      </x:c>
      <x:c r="E105" s="30" t="str">
        <x:v>物资质量/接口超出当前构型</x:v>
      </x:c>
      <x:c r="F105" s="30" t="str">
        <x:v>A024 → A041 → A050 → A052 → A065 → A053 → A024</x:v>
      </x:c>
      <x:c r="G105" s="30" t="str">
        <x:v>由Agent选择拆分或更合适载具</x:v>
      </x:c>
      <x:c r="H105" s="30" t="str">
        <x:v>拆分不复制物品，库存守恒</x:v>
      </x:c>
      <x:c r="I105" s="30" t="str">
        <x:v>S02；S24</x:v>
      </x:c>
      <x:c r="J105" s="30" t="str">
        <x:v>https://www.nist.gov/programs-projects/department-homeland-security-response-robot-performance-standards</x:v>
      </x:c>
    </x:row>
    <x:row r="106" ht="108" customHeight="1">
      <x:c r="A106" s="30" t="str">
        <x:v>Q102</x:v>
      </x:c>
      <x:c r="B106" s="30" t="str">
        <x:v>能源不足中断并恢复原承诺</x:v>
      </x:c>
      <x:c r="C106" s="30" t="str">
        <x:v>条件分支</x:v>
      </x:c>
      <x:c r="D106" s="30" t="str">
        <x:v>T043；T045；T083；T084</x:v>
      </x:c>
      <x:c r="E106" s="30" t="str">
        <x:v>剩余能量接近安全保留阈值</x:v>
      </x:c>
      <x:c r="F106" s="30" t="str">
        <x:v>A055 → A056 → A001/A002 → A029 → A057 → A054</x:v>
      </x:c>
      <x:c r="G106" s="30" t="str">
        <x:v>安全补能后重验条件并恢复</x:v>
      </x:c>
      <x:c r="H106" s="30" t="str">
        <x:v>不可安全到站则执行安全停驻/请求回收</x:v>
      </x:c>
      <x:c r="I106" s="30" t="str">
        <x:v>S18；S19；S24</x:v>
      </x:c>
      <x:c r="J106" s="30" t="str">
        <x:v>https://www.nsnam.org/docs/models/html/energy.html
https://design.ros2.org/articles/actions.html</x:v>
      </x:c>
    </x:row>
    <x:row r="107" ht="108" customHeight="1">
      <x:c r="A107" s="30" t="str">
        <x:v>Q103</x:v>
      </x:c>
      <x:c r="B107" s="30" t="str">
        <x:v>图像丢片与业务重传</x:v>
      </x:c>
      <x:c r="C107" s="30" t="str">
        <x:v>条件分支</x:v>
      </x:c>
      <x:c r="D107" s="30" t="str">
        <x:v>T052；T053</x:v>
      </x:c>
      <x:c r="E107" s="30" t="str">
        <x:v>接收数据不完整或校验失败</x:v>
      </x:c>
      <x:c r="F107" s="30" t="str">
        <x:v>A036 → A065 → A037 → A036 → A065 → A037</x:v>
      </x:c>
      <x:c r="G107" s="30" t="str">
        <x:v>真实重传后完整接收或超时失败</x:v>
      </x:c>
      <x:c r="H107" s="30" t="str">
        <x:v>不使用共享磁盘绕过字节传输</x:v>
      </x:c>
      <x:c r="I107" s="30" t="str">
        <x:v>S17；S24；S25</x:v>
      </x:c>
      <x:c r="J107" s="30" t="str">
        <x:v>https://www.nsnam.org/docs/models/html/wifi-design.html</x:v>
      </x:c>
    </x:row>
    <x:row r="108" ht="108" customHeight="1">
      <x:c r="A108" s="30" t="str">
        <x:v>Q104</x:v>
      </x:c>
      <x:c r="B108" s="30" t="str">
        <x:v>断联携带与过期处理</x:v>
      </x:c>
      <x:c r="C108" s="30" t="str">
        <x:v>条件分支</x:v>
      </x:c>
      <x:c r="D108" s="30" t="str">
        <x:v>T054；T056</x:v>
      </x:c>
      <x:c r="E108" s="30" t="str">
        <x:v>消息缓存时链路不可用</x:v>
      </x:c>
      <x:c r="F108" s="30" t="str">
        <x:v>A046 → A001/A002 → A032 → A036 → A065</x:v>
      </x:c>
      <x:c r="G108" s="30" t="str">
        <x:v>有效期内送达或记录过期丢弃</x:v>
      </x:c>
      <x:c r="H108" s="30" t="str">
        <x:v>不把过期证据当最新事实</x:v>
      </x:c>
      <x:c r="I108" s="30" t="str">
        <x:v>S04；S17；S24</x:v>
      </x:c>
      <x:c r="J108" s="30" t="str">
        <x:v>https://www.darpa.mil/research/programs/darpa-subterranean-challenge
https://www.nsnam.org/docs/models/html/wifi-design.html</x:v>
      </x:c>
    </x:row>
    <x:row r="109" ht="108" customHeight="1">
      <x:c r="A109" s="30" t="str">
        <x:v>Q105</x:v>
      </x:c>
      <x:c r="B109" s="30" t="str">
        <x:v>中继电量不足交接</x:v>
      </x:c>
      <x:c r="C109" s="30" t="str">
        <x:v>条件分支</x:v>
      </x:c>
      <x:c r="D109" s="30" t="str">
        <x:v>T049；T085</x:v>
      </x:c>
      <x:c r="E109" s="30" t="str">
        <x:v>原中继需要退出</x:v>
      </x:c>
      <x:c r="F109" s="30" t="str">
        <x:v>A051 → A052 → A036 → A065 → A053 → A001 → A033 → A035 → A037 → A055</x:v>
      </x:c>
      <x:c r="G109" s="30" t="str">
        <x:v>新链实际可用后释放旧中继</x:v>
      </x:c>
      <x:c r="H109" s="30" t="str">
        <x:v>链路空窗真实保留，不强制无缝</x:v>
      </x:c>
      <x:c r="I109" s="30" t="str">
        <x:v>S04；S17；S24</x:v>
      </x:c>
      <x:c r="J109" s="30" t="str">
        <x:v>https://www.darpa.mil/research/programs/darpa-subterranean-challenge
https://www.nsnam.org/docs/models/html/wifi-design.html</x:v>
      </x:c>
    </x:row>
    <x:row r="110" ht="108" customHeight="1">
      <x:c r="A110" s="30" t="str">
        <x:v>Q106</x:v>
      </x:c>
      <x:c r="B110" s="30" t="str">
        <x:v>本地显存不足改远程服务</x:v>
      </x:c>
      <x:c r="C110" s="30" t="str">
        <x:v>条件分支</x:v>
      </x:c>
      <x:c r="D110" s="30" t="str">
        <x:v>T058；T060；T061</x:v>
      </x:c>
      <x:c r="E110" s="30" t="str">
        <x:v>准入时内存不足</x:v>
      </x:c>
      <x:c r="F110" s="30" t="str">
        <x:v>A044 → A041 → A042 → A043 → A036 → A065 → A044 → A006 → A036 → A065</x:v>
      </x:c>
      <x:c r="G110" s="30" t="str">
        <x:v>远程结果真正回传后可用</x:v>
      </x:c>
      <x:c r="H110" s="30" t="str">
        <x:v>排队/请求不等于执行，无法服务可失败</x:v>
      </x:c>
      <x:c r="I110" s="30" t="str">
        <x:v>S20；S21；S24</x:v>
      </x:c>
      <x:c r="J110" s="30" t="str">
        <x:v>https://kubernetes.io/docs/concepts/configuration/manage-resources-containers/
https://docs.mlcommons.org/inference/benchmarks/language/llama3_1-8b/</x:v>
      </x:c>
    </x:row>
    <x:row r="111" ht="108" customHeight="1">
      <x:c r="A111" s="30" t="str">
        <x:v>Q107</x:v>
      </x:c>
      <x:c r="B111" s="30" t="str">
        <x:v>远端服务失效迁移</x:v>
      </x:c>
      <x:c r="C111" s="30" t="str">
        <x:v>条件分支</x:v>
      </x:c>
      <x:c r="D111" s="30" t="str">
        <x:v>T060；T065；T092</x:v>
      </x:c>
      <x:c r="E111" s="30" t="str">
        <x:v>服务在执行中失败</x:v>
      </x:c>
      <x:c r="F111" s="30" t="str">
        <x:v>A048 → A042 → A047 → A036 → A065 → A045 → A044 → A006</x:v>
      </x:c>
      <x:c r="G111" s="30" t="str">
        <x:v>具备检查点/兼容性时恢复，否则重新计算</x:v>
      </x:c>
      <x:c r="H111" s="30" t="str">
        <x:v>已耗时间能量保留</x:v>
      </x:c>
      <x:c r="I111" s="30" t="str">
        <x:v>S19；S20；S24</x:v>
      </x:c>
      <x:c r="J111" s="30" t="str">
        <x:v>https://design.ros2.org/articles/actions.html
https://kubernetes.io/docs/concepts/configuration/manage-resources-containers/</x:v>
      </x:c>
    </x:row>
    <x:row r="112" ht="108" customHeight="1">
      <x:c r="A112" s="30" t="str">
        <x:v>Q108</x:v>
      </x:c>
      <x:c r="B112" s="30" t="str">
        <x:v>过期推理结果隔离</x:v>
      </x:c>
      <x:c r="C112" s="30" t="str">
        <x:v>条件分支</x:v>
      </x:c>
      <x:c r="D112" s="30" t="str">
        <x:v>T066；T075；T086</x:v>
      </x:c>
      <x:c r="E112" s="30" t="str">
        <x:v>推理期间任务版本已变化</x:v>
      </x:c>
      <x:c r="F112" s="30" t="str">
        <x:v>A065 → A041 → A048 → A049 → A043</x:v>
      </x:c>
      <x:c r="G112" s="30" t="str">
        <x:v>旧结果不作为新任务完成证据</x:v>
      </x:c>
      <x:c r="H112" s="30" t="str">
        <x:v>是否还能作为历史信息由Agent判断</x:v>
      </x:c>
      <x:c r="I112" s="30" t="str">
        <x:v>S19；S24</x:v>
      </x:c>
      <x:c r="J112" s="30" t="str">
        <x:v>https://design.ros2.org/articles/actions.html</x:v>
      </x:c>
    </x:row>
    <x:row r="113" ht="108" customHeight="1">
      <x:c r="A113" s="30" t="str">
        <x:v>Q109</x:v>
      </x:c>
      <x:c r="B113" s="30" t="str">
        <x:v>分配消息未送达</x:v>
      </x:c>
      <x:c r="C113" s="30" t="str">
        <x:v>条件分支</x:v>
      </x:c>
      <x:c r="D113" s="30" t="str">
        <x:v>T080；T081</x:v>
      </x:c>
      <x:c r="E113" s="30" t="str">
        <x:v>中心已提交，执行方尚未收件</x:v>
      </x:c>
      <x:c r="F113" s="30" t="str">
        <x:v>A052 → A036 → A037 → A036 → A065 → A053</x:v>
      </x:c>
      <x:c r="G113" s="30" t="str">
        <x:v>收件并接受后才有执行承诺</x:v>
      </x:c>
      <x:c r="H113" s="30" t="str">
        <x:v>超时改派须防旧版晚到重复执行</x:v>
      </x:c>
      <x:c r="I113" s="30" t="str">
        <x:v>S17；S19；S24</x:v>
      </x:c>
      <x:c r="J113" s="30" t="str">
        <x:v>https://www.nsnam.org/docs/models/html/wifi-design.html
https://design.ros2.org/articles/actions.html</x:v>
      </x:c>
    </x:row>
    <x:row r="114" ht="108" customHeight="1">
      <x:c r="A114" s="30" t="str">
        <x:v>Q110</x:v>
      </x:c>
      <x:c r="B114" s="30" t="str">
        <x:v>室内搜索未发现/部分覆盖</x:v>
      </x:c>
      <x:c r="C114" s="30" t="str">
        <x:v>条件分支</x:v>
      </x:c>
      <x:c r="D114" s="30" t="str">
        <x:v>T014；T015；T088</x:v>
      </x:c>
      <x:c r="E114" s="30" t="str">
        <x:v>抽象搜索结束但覆盖不全或未检测</x:v>
      </x:c>
      <x:c r="F114" s="30" t="str">
        <x:v>A008 → A041 → A010 → A036 → A065</x:v>
      </x:c>
      <x:c r="G114" s="30" t="str">
        <x:v>记录未发现/不确定/覆盖范围，供Agent再决定</x:v>
      </x:c>
      <x:c r="H114" s="30" t="str">
        <x:v>不把search_complete赋成human_absent</x:v>
      </x:c>
      <x:c r="I114" s="30" t="str">
        <x:v>S01；S24</x:v>
      </x:c>
      <x:c r="J114" s="30" t="str">
        <x:v>https://insarag.org/wp-content/uploads/2021/06/INSARAG20Guidelines20Vol20II2C20Man20B.pdf</x:v>
      </x:c>
    </x:row>
    <x:row r="115" ht="108" customHeight="1">
      <x:c r="A115" s="30" t="str">
        <x:v>Q111</x:v>
      </x:c>
      <x:c r="B115" s="30" t="str">
        <x:v>物资释放卡滞/投送偏差</x:v>
      </x:c>
      <x:c r="C115" s="30" t="str">
        <x:v>条件分支</x:v>
      </x:c>
      <x:c r="D115" s="30" t="str">
        <x:v>T039；T041；T045</x:v>
      </x:c>
      <x:c r="E115" s="30" t="str">
        <x:v>执行器故障或落点不满足条件</x:v>
      </x:c>
      <x:c r="F115" s="30" t="str">
        <x:v>A025 → A005 → A041 → A061 → A055 → A001/A002 → A054</x:v>
      </x:c>
      <x:c r="G115" s="30" t="str">
        <x:v>交付失败/部分完成并保留真实物资位置</x:v>
      </x:c>
      <x:c r="H115" s="30" t="str">
        <x:v>不扣库存后凭空签收；可补送须新实例</x:v>
      </x:c>
      <x:c r="I115" s="30" t="str">
        <x:v>S24；S25</x:v>
      </x:c>
      <x:c r="J115" s="30" t="str"/>
    </x:row>
    <x:row r="116" ht="108" customHeight="1">
      <x:c r="A116" s="30" t="str">
        <x:v>Q112</x:v>
      </x:c>
      <x:c r="B116" s="30" t="str">
        <x:v>队友冲突证据与任务重新打开</x:v>
      </x:c>
      <x:c r="C116" s="30" t="str">
        <x:v>条件分支</x:v>
      </x:c>
      <x:c r="D116" s="30" t="str">
        <x:v>T073；T075；T086</x:v>
      </x:c>
      <x:c r="E116" s="30" t="str">
        <x:v>新报告与旧判断矛盾</x:v>
      </x:c>
      <x:c r="F116" s="30" t="str">
        <x:v>A065 → A038 → A040 → A041 → A050 → A052 → A036</x:v>
      </x:c>
      <x:c r="G116" s="30" t="str">
        <x:v>保留冲突、更新版本并按需复核</x:v>
      </x:c>
      <x:c r="H116" s="30" t="str">
        <x:v>不能按发送者身份直接当真值</x:v>
      </x:c>
      <x:c r="I116" s="30" t="str">
        <x:v>S05；S24</x:v>
      </x:c>
      <x:c r="J116" s="30" t="str">
        <x:v>https://4amgodvzx.github.io/ESAR.github.io/</x:v>
      </x:c>
    </x:row>
  </x:sheetData>
  <x:mergeCells>
    <x:mergeCell ref="A1:J1"/>
    <x:mergeCell ref="A2:J2"/>
  </x:mergeCells>
  <x:pageMargins left="0.7" right="0.7" top="0.75" bottom="0.75" header="0.3" footer="0.3"/>
  <x:tableParts count="1">
    <x:tablePart xmlns:r="http://schemas.openxmlformats.org/officeDocument/2006/relationships" r:id="R837d96b63ace470e"/>
  </x:tableParts>
</x:worksheet>
</file>

<file path=xl/worksheets/sheet8.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3" hidden="0" customWidth="1"/>
    <x:col min="2" max="2" width="10" hidden="0" customWidth="1"/>
    <x:col min="3" max="3" width="25" hidden="0" customWidth="1"/>
    <x:col min="4" max="4" width="60" hidden="0" customWidth="1"/>
    <x:col min="5" max="5" width="40" hidden="0" customWidth="1"/>
    <x:col min="6" max="6" width="58" hidden="0" customWidth="1"/>
  </x:cols>
  <x:sheetData>
    <x:row r="1" ht="33" customHeight="1">
      <x:c r="A1" s="8" t="str">
        <x:v>参考序列的逐步展开</x:v>
      </x:c>
      <x:c r="B1" s="8"/>
      <x:c r="C1" s="8"/>
      <x:c r="D1" s="8"/>
      <x:c r="E1" s="8"/>
      <x:c r="F1" s="8"/>
    </x:row>
    <x:row r="2" ht="34" customHeight="1">
      <x:c r="A2" s="15" t="str">
        <x:v>主体为角色而非固定U1/U2；专业操作只能由已配置的装备/人员执行；通信或计算跨节点步骤不是同一Agent免费完成</x:v>
      </x:c>
      <x:c r="B2" s="15"/>
      <x:c r="C2" s="15"/>
      <x:c r="D2" s="15"/>
      <x:c r="E2" s="15"/>
      <x:c r="F2" s="15"/>
    </x:row>
    <x:row r="3">
      <x:c r="A3" s="4"/>
      <x:c r="B3" s="4"/>
      <x:c r="C3" s="4"/>
      <x:c r="D3" s="4"/>
      <x:c r="E3" s="4"/>
      <x:c r="F3" s="4"/>
    </x:row>
    <x:row r="4" ht="29" customHeight="1">
      <x:c r="A4" s="23" t="str">
        <x:v>序列ID</x:v>
      </x:c>
      <x:c r="B4" s="23" t="str">
        <x:v>步骤</x:v>
      </x:c>
      <x:c r="C4" s="23" t="str">
        <x:v>操作/条件替代项</x:v>
      </x:c>
      <x:c r="D4" s="23" t="str">
        <x:v>执行角色</x:v>
      </x:c>
      <x:c r="E4" s="23" t="str">
        <x:v>分支规则</x:v>
      </x:c>
      <x:c r="F4" s="23" t="str">
        <x:v>该步终止/继续条件</x:v>
      </x:c>
    </x:row>
    <x:row r="5" ht="65" customHeight="1">
      <x:c r="A5" s="30" t="str">
        <x:v>Q001</x:v>
      </x:c>
      <x:c r="B5" s="30" t="n">
        <x:v>1</x:v>
      </x:c>
      <x:c r="C5" s="30" t="str">
        <x:v>A001</x:v>
      </x:c>
      <x:c r="D5" s="30" t="str">
        <x:v>当前承担Agent/其本地工具；跨节点操作需实际接收方执行</x:v>
      </x:c>
      <x:c r="E5" s="30" t="str">
        <x:v>依前序真实结果执行</x:v>
      </x:c>
      <x:c r="F5" s="30" t="str">
        <x:v>等待操作反馈后再由Agent决定是否继续</x:v>
      </x:c>
    </x:row>
    <x:row r="6" ht="65" customHeight="1">
      <x:c r="A6" s="30" t="str">
        <x:v>Q001</x:v>
      </x:c>
      <x:c r="B6" s="30" t="n">
        <x:v>2</x:v>
      </x:c>
      <x:c r="C6" s="30" t="str">
        <x:v>A005</x:v>
      </x:c>
      <x:c r="D6" s="30" t="str">
        <x:v>当前承担Agent/其本地工具；跨节点操作需实际接收方执行</x:v>
      </x:c>
      <x:c r="E6" s="30" t="str">
        <x:v>依前序真实结果执行</x:v>
      </x:c>
      <x:c r="F6" s="30" t="str">
        <x:v>等待操作反馈后再由Agent决定是否继续</x:v>
      </x:c>
    </x:row>
    <x:row r="7" ht="65" customHeight="1">
      <x:c r="A7" s="30" t="str">
        <x:v>Q001</x:v>
      </x:c>
      <x:c r="B7" s="30" t="n">
        <x:v>3</x:v>
      </x:c>
      <x:c r="C7" s="30" t="str">
        <x:v>A044</x:v>
      </x:c>
      <x:c r="D7" s="30" t="str">
        <x:v>当前承担Agent/其本地工具；跨节点操作需实际接收方执行</x:v>
      </x:c>
      <x:c r="E7" s="30" t="str">
        <x:v>依前序真实结果执行</x:v>
      </x:c>
      <x:c r="F7" s="30" t="str">
        <x:v>等待操作反馈后再由Agent决定是否继续</x:v>
      </x:c>
    </x:row>
    <x:row r="8" ht="65" customHeight="1">
      <x:c r="A8" s="30" t="str">
        <x:v>Q001</x:v>
      </x:c>
      <x:c r="B8" s="30" t="n">
        <x:v>4</x:v>
      </x:c>
      <x:c r="C8" s="30" t="str">
        <x:v>A006</x:v>
      </x:c>
      <x:c r="D8" s="30" t="str">
        <x:v>当前承担Agent/其本地工具；跨节点操作需实际接收方执行</x:v>
      </x:c>
      <x:c r="E8" s="30" t="str">
        <x:v>依前序真实结果执行</x:v>
      </x:c>
      <x:c r="F8" s="30" t="str">
        <x:v>等待操作反馈后再由Agent决定是否继续</x:v>
      </x:c>
    </x:row>
    <x:row r="9" ht="65" customHeight="1">
      <x:c r="A9" s="30" t="str">
        <x:v>Q001</x:v>
      </x:c>
      <x:c r="B9" s="30" t="n">
        <x:v>5</x:v>
      </x:c>
      <x:c r="C9" s="30" t="str">
        <x:v>A041</x:v>
      </x:c>
      <x:c r="D9" s="30" t="str">
        <x:v>当前承担Agent/其本地工具；跨节点操作需实际接收方执行</x:v>
      </x:c>
      <x:c r="E9" s="30" t="str">
        <x:v>依前序真实结果执行</x:v>
      </x:c>
      <x:c r="F9" s="30" t="str">
        <x:v>等待操作反馈后再由Agent决定是否继续</x:v>
      </x:c>
    </x:row>
    <x:row r="10" ht="65" customHeight="1">
      <x:c r="A10" s="30" t="str">
        <x:v>Q001</x:v>
      </x:c>
      <x:c r="B10" s="30" t="n">
        <x:v>6</x:v>
      </x:c>
      <x:c r="C10" s="30" t="str">
        <x:v>A036</x:v>
      </x:c>
      <x:c r="D10" s="30" t="str">
        <x:v>当前承担Agent/其本地工具；跨节点操作需实际接收方执行</x:v>
      </x:c>
      <x:c r="E10" s="30" t="str">
        <x:v>依前序真实结果执行</x:v>
      </x:c>
      <x:c r="F10" s="30" t="str">
        <x:v>输出带空间覆盖与证据的区域概况，不把未观测处当已评估</x:v>
      </x:c>
    </x:row>
    <x:row r="11" ht="65" customHeight="1">
      <x:c r="A11" s="30" t="str">
        <x:v>Q002</x:v>
      </x:c>
      <x:c r="B11" s="30" t="n">
        <x:v>1</x:v>
      </x:c>
      <x:c r="C11" s="30" t="str">
        <x:v>A001</x:v>
      </x:c>
      <x:c r="D11" s="30" t="str">
        <x:v>当前承担Agent/其本地工具；跨节点操作需实际接收方执行</x:v>
      </x:c>
      <x:c r="E11" s="30" t="str">
        <x:v>依前序真实结果执行</x:v>
      </x:c>
      <x:c r="F11" s="30" t="str">
        <x:v>等待操作反馈后再由Agent决定是否继续</x:v>
      </x:c>
    </x:row>
    <x:row r="12" ht="65" customHeight="1">
      <x:c r="A12" s="30" t="str">
        <x:v>Q002</x:v>
      </x:c>
      <x:c r="B12" s="30" t="n">
        <x:v>2</x:v>
      </x:c>
      <x:c r="C12" s="30" t="str">
        <x:v>A005</x:v>
      </x:c>
      <x:c r="D12" s="30" t="str">
        <x:v>当前承担Agent/其本地工具；跨节点操作需实际接收方执行</x:v>
      </x:c>
      <x:c r="E12" s="30" t="str">
        <x:v>依前序真实结果执行</x:v>
      </x:c>
      <x:c r="F12" s="30" t="str">
        <x:v>等待操作反馈后再由Agent决定是否继续</x:v>
      </x:c>
    </x:row>
    <x:row r="13" ht="65" customHeight="1">
      <x:c r="A13" s="30" t="str">
        <x:v>Q002</x:v>
      </x:c>
      <x:c r="B13" s="30" t="n">
        <x:v>3</x:v>
      </x:c>
      <x:c r="C13" s="30" t="str">
        <x:v>A044</x:v>
      </x:c>
      <x:c r="D13" s="30" t="str">
        <x:v>当前承担Agent/其本地工具；跨节点操作需实际接收方执行</x:v>
      </x:c>
      <x:c r="E13" s="30" t="str">
        <x:v>依前序真实结果执行</x:v>
      </x:c>
      <x:c r="F13" s="30" t="str">
        <x:v>等待操作反馈后再由Agent决定是否继续</x:v>
      </x:c>
    </x:row>
    <x:row r="14" ht="65" customHeight="1">
      <x:c r="A14" s="30" t="str">
        <x:v>Q002</x:v>
      </x:c>
      <x:c r="B14" s="30" t="n">
        <x:v>4</x:v>
      </x:c>
      <x:c r="C14" s="30" t="str">
        <x:v>A006</x:v>
      </x:c>
      <x:c r="D14" s="30" t="str">
        <x:v>当前承担Agent/其本地工具；跨节点操作需实际接收方执行</x:v>
      </x:c>
      <x:c r="E14" s="30" t="str">
        <x:v>依前序真实结果执行</x:v>
      </x:c>
      <x:c r="F14" s="30" t="str">
        <x:v>等待操作反馈后再由Agent决定是否继续</x:v>
      </x:c>
    </x:row>
    <x:row r="15" ht="65" customHeight="1">
      <x:c r="A15" s="30" t="str">
        <x:v>Q002</x:v>
      </x:c>
      <x:c r="B15" s="30" t="n">
        <x:v>5</x:v>
      </x:c>
      <x:c r="C15" s="30" t="str">
        <x:v>A041</x:v>
      </x:c>
      <x:c r="D15" s="30" t="str">
        <x:v>当前承担Agent/其本地工具；跨节点操作需实际接收方执行</x:v>
      </x:c>
      <x:c r="E15" s="30" t="str">
        <x:v>依前序真实结果执行</x:v>
      </x:c>
      <x:c r="F15" s="30" t="str">
        <x:v>等待操作反馈后再由Agent决定是否继续</x:v>
      </x:c>
    </x:row>
    <x:row r="16" ht="65" customHeight="1">
      <x:c r="A16" s="30" t="str">
        <x:v>Q002</x:v>
      </x:c>
      <x:c r="B16" s="30" t="n">
        <x:v>6</x:v>
      </x:c>
      <x:c r="C16" s="30" t="str">
        <x:v>A036</x:v>
      </x:c>
      <x:c r="D16" s="30" t="str">
        <x:v>当前承担Agent/其本地工具；跨节点操作需实际接收方执行</x:v>
      </x:c>
      <x:c r="E16" s="30" t="str">
        <x:v>依前序真实结果执行</x:v>
      </x:c>
      <x:c r="F16" s="30" t="str">
        <x:v>提交建筑损毁估计及置信度，和结构安全判断分开</x:v>
      </x:c>
    </x:row>
    <x:row r="17" ht="65" customHeight="1">
      <x:c r="A17" s="30" t="str">
        <x:v>Q003</x:v>
      </x:c>
      <x:c r="B17" s="30" t="n">
        <x:v>1</x:v>
      </x:c>
      <x:c r="C17" s="30" t="str">
        <x:v>A001 OR A002</x:v>
      </x:c>
      <x:c r="D17" s="30" t="str">
        <x:v>当前承担Agent/其本地工具；跨节点操作需实际接收方执行</x:v>
      </x:c>
      <x:c r="E17" s="30" t="str">
        <x:v>按条件选择其中一项；不是全部执行</x:v>
      </x:c>
      <x:c r="F17" s="30" t="str">
        <x:v>等待操作反馈后再由Agent决定是否继续</x:v>
      </x:c>
    </x:row>
    <x:row r="18" ht="65" customHeight="1">
      <x:c r="A18" s="30" t="str">
        <x:v>Q003</x:v>
      </x:c>
      <x:c r="B18" s="30" t="n">
        <x:v>2</x:v>
      </x:c>
      <x:c r="C18" s="30" t="str">
        <x:v>A005</x:v>
      </x:c>
      <x:c r="D18" s="30" t="str">
        <x:v>当前承担Agent/其本地工具；跨节点操作需实际接收方执行</x:v>
      </x:c>
      <x:c r="E18" s="30" t="str">
        <x:v>依前序真实结果执行</x:v>
      </x:c>
      <x:c r="F18" s="30" t="str">
        <x:v>等待操作反馈后再由Agent决定是否继续</x:v>
      </x:c>
    </x:row>
    <x:row r="19" ht="65" customHeight="1">
      <x:c r="A19" s="30" t="str">
        <x:v>Q003</x:v>
      </x:c>
      <x:c r="B19" s="30" t="n">
        <x:v>3</x:v>
      </x:c>
      <x:c r="C19" s="30" t="str">
        <x:v>A011</x:v>
      </x:c>
      <x:c r="D19" s="30" t="str">
        <x:v>当前承担Agent/其本地工具；跨节点操作需实际接收方执行</x:v>
      </x:c>
      <x:c r="E19" s="30" t="str">
        <x:v>依前序真实结果执行</x:v>
      </x:c>
      <x:c r="F19" s="30" t="str">
        <x:v>等待操作反馈后再由Agent决定是否继续</x:v>
      </x:c>
    </x:row>
    <x:row r="20" ht="65" customHeight="1">
      <x:c r="A20" s="30" t="str">
        <x:v>Q003</x:v>
      </x:c>
      <x:c r="B20" s="30" t="n">
        <x:v>4</x:v>
      </x:c>
      <x:c r="C20" s="30" t="str">
        <x:v>A041</x:v>
      </x:c>
      <x:c r="D20" s="30" t="str">
        <x:v>当前承担Agent/其本地工具；跨节点操作需实际接收方执行</x:v>
      </x:c>
      <x:c r="E20" s="30" t="str">
        <x:v>依前序真实结果执行</x:v>
      </x:c>
      <x:c r="F20" s="30" t="str">
        <x:v>等待操作反馈后再由Agent决定是否继续</x:v>
      </x:c>
    </x:row>
    <x:row r="21" ht="65" customHeight="1">
      <x:c r="A21" s="30" t="str">
        <x:v>Q003</x:v>
      </x:c>
      <x:c r="B21" s="30" t="n">
        <x:v>5</x:v>
      </x:c>
      <x:c r="C21" s="30" t="str">
        <x:v>A036</x:v>
      </x:c>
      <x:c r="D21" s="30" t="str">
        <x:v>当前承担Agent/其本地工具；跨节点操作需实际接收方执行</x:v>
      </x:c>
      <x:c r="E21" s="30" t="str">
        <x:v>依前序真实结果执行</x:v>
      </x:c>
      <x:c r="F21" s="30" t="str">
        <x:v>形成按平台的通行估计/障碍证据</x:v>
      </x:c>
    </x:row>
    <x:row r="22" ht="65" customHeight="1">
      <x:c r="A22" s="30" t="str">
        <x:v>Q004</x:v>
      </x:c>
      <x:c r="B22" s="30" t="n">
        <x:v>1</x:v>
      </x:c>
      <x:c r="C22" s="30" t="str">
        <x:v>A001 OR A002</x:v>
      </x:c>
      <x:c r="D22" s="30" t="str">
        <x:v>当前承担Agent/其本地工具；跨节点操作需实际接收方执行</x:v>
      </x:c>
      <x:c r="E22" s="30" t="str">
        <x:v>按条件选择其中一项；不是全部执行</x:v>
      </x:c>
      <x:c r="F22" s="30" t="str">
        <x:v>等待操作反馈后再由Agent决定是否继续</x:v>
      </x:c>
    </x:row>
    <x:row r="23" ht="65" customHeight="1">
      <x:c r="A23" s="30" t="str">
        <x:v>Q004</x:v>
      </x:c>
      <x:c r="B23" s="30" t="n">
        <x:v>2</x:v>
      </x:c>
      <x:c r="C23" s="30" t="str">
        <x:v>A005</x:v>
      </x:c>
      <x:c r="D23" s="30" t="str">
        <x:v>当前承担Agent/其本地工具；跨节点操作需实际接收方执行</x:v>
      </x:c>
      <x:c r="E23" s="30" t="str">
        <x:v>依前序真实结果执行</x:v>
      </x:c>
      <x:c r="F23" s="30" t="str">
        <x:v>等待操作反馈后再由Agent决定是否继续</x:v>
      </x:c>
    </x:row>
    <x:row r="24" ht="65" customHeight="1">
      <x:c r="A24" s="30" t="str">
        <x:v>Q004</x:v>
      </x:c>
      <x:c r="B24" s="30" t="n">
        <x:v>3</x:v>
      </x:c>
      <x:c r="C24" s="30" t="str">
        <x:v>A011</x:v>
      </x:c>
      <x:c r="D24" s="30" t="str">
        <x:v>当前承担Agent/其本地工具；跨节点操作需实际接收方执行</x:v>
      </x:c>
      <x:c r="E24" s="30" t="str">
        <x:v>依前序真实结果执行</x:v>
      </x:c>
      <x:c r="F24" s="30" t="str">
        <x:v>等待操作反馈后再由Agent决定是否继续</x:v>
      </x:c>
    </x:row>
    <x:row r="25" ht="65" customHeight="1">
      <x:c r="A25" s="30" t="str">
        <x:v>Q004</x:v>
      </x:c>
      <x:c r="B25" s="30" t="n">
        <x:v>4</x:v>
      </x:c>
      <x:c r="C25" s="30" t="str">
        <x:v>A041</x:v>
      </x:c>
      <x:c r="D25" s="30" t="str">
        <x:v>当前承担Agent/其本地工具；跨节点操作需实际接收方执行</x:v>
      </x:c>
      <x:c r="E25" s="30" t="str">
        <x:v>依前序真实结果执行</x:v>
      </x:c>
      <x:c r="F25" s="30" t="str">
        <x:v>记录入口/屋顶的可见净空、接近区和不确定性</x:v>
      </x:c>
    </x:row>
    <x:row r="26" ht="65" customHeight="1">
      <x:c r="A26" s="30" t="str">
        <x:v>Q005</x:v>
      </x:c>
      <x:c r="B26" s="30" t="n">
        <x:v>1</x:v>
      </x:c>
      <x:c r="C26" s="30" t="str">
        <x:v>A001</x:v>
      </x:c>
      <x:c r="D26" s="30" t="str">
        <x:v>当前承担Agent/其本地工具；跨节点操作需实际接收方执行</x:v>
      </x:c>
      <x:c r="E26" s="30" t="str">
        <x:v>依前序真实结果执行</x:v>
      </x:c>
      <x:c r="F26" s="30" t="str">
        <x:v>等待操作反馈后再由Agent决定是否继续</x:v>
      </x:c>
    </x:row>
    <x:row r="27" ht="65" customHeight="1">
      <x:c r="A27" s="30" t="str">
        <x:v>Q005</x:v>
      </x:c>
      <x:c r="B27" s="30" t="n">
        <x:v>2</x:v>
      </x:c>
      <x:c r="C27" s="30" t="str">
        <x:v>A005</x:v>
      </x:c>
      <x:c r="D27" s="30" t="str">
        <x:v>当前承担Agent/其本地工具；跨节点操作需实际接收方执行</x:v>
      </x:c>
      <x:c r="E27" s="30" t="str">
        <x:v>依前序真实结果执行</x:v>
      </x:c>
      <x:c r="F27" s="30" t="str">
        <x:v>等待操作反馈后再由Agent决定是否继续</x:v>
      </x:c>
    </x:row>
    <x:row r="28" ht="65" customHeight="1">
      <x:c r="A28" s="30" t="str">
        <x:v>Q005</x:v>
      </x:c>
      <x:c r="B28" s="30" t="n">
        <x:v>3</x:v>
      </x:c>
      <x:c r="C28" s="30" t="str">
        <x:v>A007</x:v>
      </x:c>
      <x:c r="D28" s="30" t="str">
        <x:v>当前承担Agent/其本地工具；跨节点操作需实际接收方执行</x:v>
      </x:c>
      <x:c r="E28" s="30" t="str">
        <x:v>依前序真实结果执行</x:v>
      </x:c>
      <x:c r="F28" s="30" t="str">
        <x:v>等待操作反馈后再由Agent决定是否继续</x:v>
      </x:c>
    </x:row>
    <x:row r="29" ht="65" customHeight="1">
      <x:c r="A29" s="30" t="str">
        <x:v>Q005</x:v>
      </x:c>
      <x:c r="B29" s="30" t="n">
        <x:v>4</x:v>
      </x:c>
      <x:c r="C29" s="30" t="str">
        <x:v>A041</x:v>
      </x:c>
      <x:c r="D29" s="30" t="str">
        <x:v>当前承担Agent/其本地工具；跨节点操作需实际接收方执行</x:v>
      </x:c>
      <x:c r="E29" s="30" t="str">
        <x:v>依前序真实结果执行</x:v>
      </x:c>
      <x:c r="F29" s="30" t="str">
        <x:v>等待操作反馈后再由Agent决定是否继续</x:v>
      </x:c>
    </x:row>
    <x:row r="30" ht="65" customHeight="1">
      <x:c r="A30" s="30" t="str">
        <x:v>Q005</x:v>
      </x:c>
      <x:c r="B30" s="30" t="n">
        <x:v>5</x:v>
      </x:c>
      <x:c r="C30" s="30" t="str">
        <x:v>A036</x:v>
      </x:c>
      <x:c r="D30" s="30" t="str">
        <x:v>当前承担Agent/其本地工具；跨节点操作需实际接收方执行</x:v>
      </x:c>
      <x:c r="E30" s="30" t="str">
        <x:v>依前序真实结果执行</x:v>
      </x:c>
      <x:c r="F30" s="30" t="str">
        <x:v>报告淹水边界；无深度量测则不伪造水深</x:v>
      </x:c>
    </x:row>
    <x:row r="31" ht="65" customHeight="1">
      <x:c r="A31" s="30" t="str">
        <x:v>Q006</x:v>
      </x:c>
      <x:c r="B31" s="30" t="n">
        <x:v>1</x:v>
      </x:c>
      <x:c r="C31" s="30" t="str">
        <x:v>A001 OR A002</x:v>
      </x:c>
      <x:c r="D31" s="30" t="str">
        <x:v>当前承担Agent/其本地工具；跨节点操作需实际接收方执行</x:v>
      </x:c>
      <x:c r="E31" s="30" t="str">
        <x:v>按条件选择其中一项；不是全部执行</x:v>
      </x:c>
      <x:c r="F31" s="30" t="str">
        <x:v>等待操作反馈后再由Agent决定是否继续</x:v>
      </x:c>
    </x:row>
    <x:row r="32" ht="65" customHeight="1">
      <x:c r="A32" s="30" t="str">
        <x:v>Q006</x:v>
      </x:c>
      <x:c r="B32" s="30" t="n">
        <x:v>2</x:v>
      </x:c>
      <x:c r="C32" s="30" t="str">
        <x:v>A005</x:v>
      </x:c>
      <x:c r="D32" s="30" t="str">
        <x:v>当前承担Agent/其本地工具；跨节点操作需实际接收方执行</x:v>
      </x:c>
      <x:c r="E32" s="30" t="str">
        <x:v>依前序真实结果执行</x:v>
      </x:c>
      <x:c r="F32" s="30" t="str">
        <x:v>等待操作反馈后再由Agent决定是否继续</x:v>
      </x:c>
    </x:row>
    <x:row r="33" ht="65" customHeight="1">
      <x:c r="A33" s="30" t="str">
        <x:v>Q006</x:v>
      </x:c>
      <x:c r="B33" s="30" t="n">
        <x:v>3</x:v>
      </x:c>
      <x:c r="C33" s="30" t="str">
        <x:v>A006</x:v>
      </x:c>
      <x:c r="D33" s="30" t="str">
        <x:v>当前承担Agent/其本地工具；跨节点操作需实际接收方执行</x:v>
      </x:c>
      <x:c r="E33" s="30" t="str">
        <x:v>依前序真实结果执行</x:v>
      </x:c>
      <x:c r="F33" s="30" t="str">
        <x:v>等待操作反馈后再由Agent决定是否继续</x:v>
      </x:c>
    </x:row>
    <x:row r="34" ht="65" customHeight="1">
      <x:c r="A34" s="30" t="str">
        <x:v>Q006</x:v>
      </x:c>
      <x:c r="B34" s="30" t="n">
        <x:v>4</x:v>
      </x:c>
      <x:c r="C34" s="30" t="str">
        <x:v>A041</x:v>
      </x:c>
      <x:c r="D34" s="30" t="str">
        <x:v>当前承担Agent/其本地工具；跨节点操作需实际接收方执行</x:v>
      </x:c>
      <x:c r="E34" s="30" t="str">
        <x:v>依前序真实结果执行</x:v>
      </x:c>
      <x:c r="F34" s="30" t="str">
        <x:v>等待操作反馈后再由Agent决定是否继续</x:v>
      </x:c>
    </x:row>
    <x:row r="35" ht="65" customHeight="1">
      <x:c r="A35" s="30" t="str">
        <x:v>Q006</x:v>
      </x:c>
      <x:c r="B35" s="30" t="n">
        <x:v>5</x:v>
      </x:c>
      <x:c r="C35" s="30" t="str">
        <x:v>A036</x:v>
      </x:c>
      <x:c r="D35" s="30" t="str">
        <x:v>当前承担Agent/其本地工具；跨节点操作需实际接收方执行</x:v>
      </x:c>
      <x:c r="E35" s="30" t="str">
        <x:v>依前序真实结果执行</x:v>
      </x:c>
      <x:c r="F35" s="30" t="str">
        <x:v>报告火烟/气体可测证据与危险区估计</x:v>
      </x:c>
    </x:row>
    <x:row r="36" ht="65" customHeight="1">
      <x:c r="A36" s="30" t="str">
        <x:v>Q007</x:v>
      </x:c>
      <x:c r="B36" s="30" t="n">
        <x:v>1</x:v>
      </x:c>
      <x:c r="C36" s="30" t="str">
        <x:v>A038</x:v>
      </x:c>
      <x:c r="D36" s="30" t="str">
        <x:v>当前承担Agent/其本地工具；跨节点操作需实际接收方执行</x:v>
      </x:c>
      <x:c r="E36" s="30" t="str">
        <x:v>依前序真实结果执行</x:v>
      </x:c>
      <x:c r="F36" s="30" t="str">
        <x:v>等待操作反馈后再由Agent决定是否继续</x:v>
      </x:c>
    </x:row>
    <x:row r="37" ht="65" customHeight="1">
      <x:c r="A37" s="30" t="str">
        <x:v>Q007</x:v>
      </x:c>
      <x:c r="B37" s="30" t="n">
        <x:v>2</x:v>
      </x:c>
      <x:c r="C37" s="30" t="str">
        <x:v>A005</x:v>
      </x:c>
      <x:c r="D37" s="30" t="str">
        <x:v>当前承担Agent/其本地工具；跨节点操作需实际接收方执行</x:v>
      </x:c>
      <x:c r="E37" s="30" t="str">
        <x:v>依前序真实结果执行</x:v>
      </x:c>
      <x:c r="F37" s="30" t="str">
        <x:v>等待操作反馈后再由Agent决定是否继续</x:v>
      </x:c>
    </x:row>
    <x:row r="38" ht="65" customHeight="1">
      <x:c r="A38" s="30" t="str">
        <x:v>Q007</x:v>
      </x:c>
      <x:c r="B38" s="30" t="n">
        <x:v>3</x:v>
      </x:c>
      <x:c r="C38" s="30" t="str">
        <x:v>A044</x:v>
      </x:c>
      <x:c r="D38" s="30" t="str">
        <x:v>当前承担Agent/其本地工具；跨节点操作需实际接收方执行</x:v>
      </x:c>
      <x:c r="E38" s="30" t="str">
        <x:v>依前序真实结果执行</x:v>
      </x:c>
      <x:c r="F38" s="30" t="str">
        <x:v>等待操作反馈后再由Agent决定是否继续</x:v>
      </x:c>
    </x:row>
    <x:row r="39" ht="65" customHeight="1">
      <x:c r="A39" s="30" t="str">
        <x:v>Q007</x:v>
      </x:c>
      <x:c r="B39" s="30" t="n">
        <x:v>4</x:v>
      </x:c>
      <x:c r="C39" s="30" t="str">
        <x:v>A006</x:v>
      </x:c>
      <x:c r="D39" s="30" t="str">
        <x:v>当前承担Agent/其本地工具；跨节点操作需实际接收方执行</x:v>
      </x:c>
      <x:c r="E39" s="30" t="str">
        <x:v>依前序真实结果执行</x:v>
      </x:c>
      <x:c r="F39" s="30" t="str">
        <x:v>等待操作反馈后再由Agent决定是否继续</x:v>
      </x:c>
    </x:row>
    <x:row r="40" ht="65" customHeight="1">
      <x:c r="A40" s="30" t="str">
        <x:v>Q007</x:v>
      </x:c>
      <x:c r="B40" s="30" t="n">
        <x:v>5</x:v>
      </x:c>
      <x:c r="C40" s="30" t="str">
        <x:v>A040</x:v>
      </x:c>
      <x:c r="D40" s="30" t="str">
        <x:v>当前承担Agent/其本地工具；跨节点操作需实际接收方执行</x:v>
      </x:c>
      <x:c r="E40" s="30" t="str">
        <x:v>依前序真实结果执行</x:v>
      </x:c>
      <x:c r="F40" s="30" t="str">
        <x:v>等待操作反馈后再由Agent决定是否继续</x:v>
      </x:c>
    </x:row>
    <x:row r="41" ht="65" customHeight="1">
      <x:c r="A41" s="30" t="str">
        <x:v>Q007</x:v>
      </x:c>
      <x:c r="B41" s="30" t="n">
        <x:v>6</x:v>
      </x:c>
      <x:c r="C41" s="30" t="str">
        <x:v>A041</x:v>
      </x:c>
      <x:c r="D41" s="30" t="str">
        <x:v>当前承担Agent/其本地工具；跨节点操作需实际接收方执行</x:v>
      </x:c>
      <x:c r="E41" s="30" t="str">
        <x:v>依前序真实结果执行</x:v>
      </x:c>
      <x:c r="F41" s="30" t="str">
        <x:v>形成变化证据和地图修订，不覆写真值</x:v>
      </x:c>
    </x:row>
    <x:row r="42" ht="65" customHeight="1">
      <x:c r="A42" s="30" t="str">
        <x:v>Q008</x:v>
      </x:c>
      <x:c r="B42" s="30" t="n">
        <x:v>1</x:v>
      </x:c>
      <x:c r="C42" s="30" t="str">
        <x:v>A038</x:v>
      </x:c>
      <x:c r="D42" s="30" t="str">
        <x:v>当前承担Agent/其本地工具；跨节点操作需实际接收方执行</x:v>
      </x:c>
      <x:c r="E42" s="30" t="str">
        <x:v>依前序真实结果执行</x:v>
      </x:c>
      <x:c r="F42" s="30" t="str">
        <x:v>等待操作反馈后再由Agent决定是否继续</x:v>
      </x:c>
    </x:row>
    <x:row r="43" ht="65" customHeight="1">
      <x:c r="A43" s="30" t="str">
        <x:v>Q008</x:v>
      </x:c>
      <x:c r="B43" s="30" t="n">
        <x:v>2</x:v>
      </x:c>
      <x:c r="C43" s="30" t="str">
        <x:v>A010</x:v>
      </x:c>
      <x:c r="D43" s="30" t="str">
        <x:v>当前承担Agent/其本地工具；跨节点操作需实际接收方执行</x:v>
      </x:c>
      <x:c r="E43" s="30" t="str">
        <x:v>依前序真实结果执行</x:v>
      </x:c>
      <x:c r="F43" s="30" t="str">
        <x:v>等待操作反馈后再由Agent决定是否继续</x:v>
      </x:c>
    </x:row>
    <x:row r="44" ht="65" customHeight="1">
      <x:c r="A44" s="30" t="str">
        <x:v>Q008</x:v>
      </x:c>
      <x:c r="B44" s="30" t="n">
        <x:v>3</x:v>
      </x:c>
      <x:c r="C44" s="30" t="str">
        <x:v>A054</x:v>
      </x:c>
      <x:c r="D44" s="30" t="str">
        <x:v>当前承担Agent/其本地工具；跨节点操作需实际接收方执行</x:v>
      </x:c>
      <x:c r="E44" s="30" t="str">
        <x:v>依前序真实结果执行</x:v>
      </x:c>
      <x:c r="F44" s="30" t="str">
        <x:v>等待操作反馈后再由Agent决定是否继续</x:v>
      </x:c>
    </x:row>
    <x:row r="45" ht="65" customHeight="1">
      <x:c r="A45" s="30" t="str">
        <x:v>Q008</x:v>
      </x:c>
      <x:c r="B45" s="30" t="n">
        <x:v>4</x:v>
      </x:c>
      <x:c r="C45" s="30" t="str">
        <x:v>A036</x:v>
      </x:c>
      <x:c r="D45" s="30" t="str">
        <x:v>当前承担Agent/其本地工具；跨节点操作需实际接收方执行</x:v>
      </x:c>
      <x:c r="E45" s="30" t="str">
        <x:v>依前序真实结果执行</x:v>
      </x:c>
      <x:c r="F45" s="30" t="str">
        <x:v>登记实际评估/搜索范围及未覆盖部分</x:v>
      </x:c>
    </x:row>
    <x:row r="46" ht="65" customHeight="1">
      <x:c r="A46" s="30" t="str">
        <x:v>Q009</x:v>
      </x:c>
      <x:c r="B46" s="30" t="n">
        <x:v>1</x:v>
      </x:c>
      <x:c r="C46" s="30" t="str">
        <x:v>A001</x:v>
      </x:c>
      <x:c r="D46" s="30" t="str">
        <x:v>当前承担Agent/其本地工具；跨节点操作需实际接收方执行</x:v>
      </x:c>
      <x:c r="E46" s="30" t="str">
        <x:v>依前序真实结果执行</x:v>
      </x:c>
      <x:c r="F46" s="30" t="str">
        <x:v>等待操作反馈后再由Agent决定是否继续</x:v>
      </x:c>
    </x:row>
    <x:row r="47" ht="65" customHeight="1">
      <x:c r="A47" s="30" t="str">
        <x:v>Q009</x:v>
      </x:c>
      <x:c r="B47" s="30" t="n">
        <x:v>2</x:v>
      </x:c>
      <x:c r="C47" s="30" t="str">
        <x:v>A005</x:v>
      </x:c>
      <x:c r="D47" s="30" t="str">
        <x:v>当前承担Agent/其本地工具；跨节点操作需实际接收方执行</x:v>
      </x:c>
      <x:c r="E47" s="30" t="str">
        <x:v>依前序真实结果执行</x:v>
      </x:c>
      <x:c r="F47" s="30" t="str">
        <x:v>等待操作反馈后再由Agent决定是否继续</x:v>
      </x:c>
    </x:row>
    <x:row r="48" ht="65" customHeight="1">
      <x:c r="A48" s="30" t="str">
        <x:v>Q009</x:v>
      </x:c>
      <x:c r="B48" s="30" t="n">
        <x:v>3</x:v>
      </x:c>
      <x:c r="C48" s="30" t="str">
        <x:v>A044</x:v>
      </x:c>
      <x:c r="D48" s="30" t="str">
        <x:v>当前承担Agent/其本地工具；跨节点操作需实际接收方执行</x:v>
      </x:c>
      <x:c r="E48" s="30" t="str">
        <x:v>依前序真实结果执行</x:v>
      </x:c>
      <x:c r="F48" s="30" t="str">
        <x:v>等待操作反馈后再由Agent决定是否继续</x:v>
      </x:c>
    </x:row>
    <x:row r="49" ht="65" customHeight="1">
      <x:c r="A49" s="30" t="str">
        <x:v>Q009</x:v>
      </x:c>
      <x:c r="B49" s="30" t="n">
        <x:v>4</x:v>
      </x:c>
      <x:c r="C49" s="30" t="str">
        <x:v>A006</x:v>
      </x:c>
      <x:c r="D49" s="30" t="str">
        <x:v>当前承担Agent/其本地工具；跨节点操作需实际接收方执行</x:v>
      </x:c>
      <x:c r="E49" s="30" t="str">
        <x:v>依前序真实结果执行</x:v>
      </x:c>
      <x:c r="F49" s="30" t="str">
        <x:v>等待操作反馈后再由Agent决定是否继续</x:v>
      </x:c>
    </x:row>
    <x:row r="50" ht="65" customHeight="1">
      <x:c r="A50" s="30" t="str">
        <x:v>Q009</x:v>
      </x:c>
      <x:c r="B50" s="30" t="n">
        <x:v>5</x:v>
      </x:c>
      <x:c r="C50" s="30" t="str">
        <x:v>A007</x:v>
      </x:c>
      <x:c r="D50" s="30" t="str">
        <x:v>当前承担Agent/其本地工具；跨节点操作需实际接收方执行</x:v>
      </x:c>
      <x:c r="E50" s="30" t="str">
        <x:v>依前序真实结果执行</x:v>
      </x:c>
      <x:c r="F50" s="30" t="str">
        <x:v>等待操作反馈后再由Agent决定是否继续</x:v>
      </x:c>
    </x:row>
    <x:row r="51" ht="65" customHeight="1">
      <x:c r="A51" s="30" t="str">
        <x:v>Q009</x:v>
      </x:c>
      <x:c r="B51" s="30" t="n">
        <x:v>6</x:v>
      </x:c>
      <x:c r="C51" s="30" t="str">
        <x:v>A041</x:v>
      </x:c>
      <x:c r="D51" s="30" t="str">
        <x:v>当前承担Agent/其本地工具；跨节点操作需实际接收方执行</x:v>
      </x:c>
      <x:c r="E51" s="30" t="str">
        <x:v>依前序真实结果执行</x:v>
      </x:c>
      <x:c r="F51" s="30" t="str">
        <x:v>等待操作反馈后再由Agent决定是否继续</x:v>
      </x:c>
    </x:row>
    <x:row r="52" ht="65" customHeight="1">
      <x:c r="A52" s="30" t="str">
        <x:v>Q009</x:v>
      </x:c>
      <x:c r="B52" s="30" t="n">
        <x:v>7</x:v>
      </x:c>
      <x:c r="C52" s="30" t="str">
        <x:v>A036</x:v>
      </x:c>
      <x:c r="D52" s="30" t="str">
        <x:v>当前承担Agent/其本地工具；跨节点操作需实际接收方执行</x:v>
      </x:c>
      <x:c r="E52" s="30" t="str">
        <x:v>依前序真实结果执行</x:v>
      </x:c>
      <x:c r="F52" s="30" t="str">
        <x:v>在给定预算搜索人员并报告候选，未检出保留不确定</x:v>
      </x:c>
    </x:row>
    <x:row r="53" ht="65" customHeight="1">
      <x:c r="A53" s="30" t="str">
        <x:v>Q010</x:v>
      </x:c>
      <x:c r="B53" s="30" t="n">
        <x:v>1</x:v>
      </x:c>
      <x:c r="C53" s="30" t="str">
        <x:v>A001 OR A002</x:v>
      </x:c>
      <x:c r="D53" s="30" t="str">
        <x:v>当前承担Agent/其本地工具；跨节点操作需实际接收方执行</x:v>
      </x:c>
      <x:c r="E53" s="30" t="str">
        <x:v>按条件选择其中一项；不是全部执行</x:v>
      </x:c>
      <x:c r="F53" s="30" t="str">
        <x:v>等待操作反馈后再由Agent决定是否继续</x:v>
      </x:c>
    </x:row>
    <x:row r="54" ht="65" customHeight="1">
      <x:c r="A54" s="30" t="str">
        <x:v>Q010</x:v>
      </x:c>
      <x:c r="B54" s="30" t="n">
        <x:v>2</x:v>
      </x:c>
      <x:c r="C54" s="30" t="str">
        <x:v>A005</x:v>
      </x:c>
      <x:c r="D54" s="30" t="str">
        <x:v>当前承担Agent/其本地工具；跨节点操作需实际接收方执行</x:v>
      </x:c>
      <x:c r="E54" s="30" t="str">
        <x:v>依前序真实结果执行</x:v>
      </x:c>
      <x:c r="F54" s="30" t="str">
        <x:v>等待操作反馈后再由Agent决定是否继续</x:v>
      </x:c>
    </x:row>
    <x:row r="55" ht="65" customHeight="1">
      <x:c r="A55" s="30" t="str">
        <x:v>Q010</x:v>
      </x:c>
      <x:c r="B55" s="30" t="n">
        <x:v>3</x:v>
      </x:c>
      <x:c r="C55" s="30" t="str">
        <x:v>A006</x:v>
      </x:c>
      <x:c r="D55" s="30" t="str">
        <x:v>当前承担Agent/其本地工具；跨节点操作需实际接收方执行</x:v>
      </x:c>
      <x:c r="E55" s="30" t="str">
        <x:v>依前序真实结果执行</x:v>
      </x:c>
      <x:c r="F55" s="30" t="str">
        <x:v>等待操作反馈后再由Agent决定是否继续</x:v>
      </x:c>
    </x:row>
    <x:row r="56" ht="65" customHeight="1">
      <x:c r="A56" s="30" t="str">
        <x:v>Q010</x:v>
      </x:c>
      <x:c r="B56" s="30" t="n">
        <x:v>4</x:v>
      </x:c>
      <x:c r="C56" s="30" t="str">
        <x:v>A038</x:v>
      </x:c>
      <x:c r="D56" s="30" t="str">
        <x:v>当前承担Agent/其本地工具；跨节点操作需实际接收方执行</x:v>
      </x:c>
      <x:c r="E56" s="30" t="str">
        <x:v>依前序真实结果执行</x:v>
      </x:c>
      <x:c r="F56" s="30" t="str">
        <x:v>等待操作反馈后再由Agent决定是否继续</x:v>
      </x:c>
    </x:row>
    <x:row r="57" ht="65" customHeight="1">
      <x:c r="A57" s="30" t="str">
        <x:v>Q010</x:v>
      </x:c>
      <x:c r="B57" s="30" t="n">
        <x:v>5</x:v>
      </x:c>
      <x:c r="C57" s="30" t="str">
        <x:v>A041</x:v>
      </x:c>
      <x:c r="D57" s="30" t="str">
        <x:v>当前承担Agent/其本地工具；跨节点操作需实际接收方执行</x:v>
      </x:c>
      <x:c r="E57" s="30" t="str">
        <x:v>依前序真实结果执行</x:v>
      </x:c>
      <x:c r="F57" s="30" t="str">
        <x:v>记录物品线索位置及关联推断，不直接得知其真实主人</x:v>
      </x:c>
    </x:row>
    <x:row r="58" ht="65" customHeight="1">
      <x:c r="A58" s="30" t="str">
        <x:v>Q011</x:v>
      </x:c>
      <x:c r="B58" s="30" t="n">
        <x:v>1</x:v>
      </x:c>
      <x:c r="C58" s="30" t="str">
        <x:v>A001 OR A002</x:v>
      </x:c>
      <x:c r="D58" s="30" t="str">
        <x:v>当前承担Agent/其本地工具；跨节点操作需实际接收方执行</x:v>
      </x:c>
      <x:c r="E58" s="30" t="str">
        <x:v>按条件选择其中一项；不是全部执行</x:v>
      </x:c>
      <x:c r="F58" s="30" t="str">
        <x:v>等待操作反馈后再由Agent决定是否继续</x:v>
      </x:c>
    </x:row>
    <x:row r="59" ht="65" customHeight="1">
      <x:c r="A59" s="30" t="str">
        <x:v>Q011</x:v>
      </x:c>
      <x:c r="B59" s="30" t="n">
        <x:v>2</x:v>
      </x:c>
      <x:c r="C59" s="30" t="str">
        <x:v>A005</x:v>
      </x:c>
      <x:c r="D59" s="30" t="str">
        <x:v>当前承担Agent/其本地工具；跨节点操作需实际接收方执行</x:v>
      </x:c>
      <x:c r="E59" s="30" t="str">
        <x:v>依前序真实结果执行</x:v>
      </x:c>
      <x:c r="F59" s="30" t="str">
        <x:v>等待操作反馈后再由Agent决定是否继续</x:v>
      </x:c>
    </x:row>
    <x:row r="60" ht="65" customHeight="1">
      <x:c r="A60" s="30" t="str">
        <x:v>Q011</x:v>
      </x:c>
      <x:c r="B60" s="30" t="n">
        <x:v>3</x:v>
      </x:c>
      <x:c r="C60" s="30" t="str">
        <x:v>A006</x:v>
      </x:c>
      <x:c r="D60" s="30" t="str">
        <x:v>当前承担Agent/其本地工具；跨节点操作需实际接收方执行</x:v>
      </x:c>
      <x:c r="E60" s="30" t="str">
        <x:v>依前序真实结果执行</x:v>
      </x:c>
      <x:c r="F60" s="30" t="str">
        <x:v>等待操作反馈后再由Agent决定是否继续</x:v>
      </x:c>
    </x:row>
    <x:row r="61" ht="65" customHeight="1">
      <x:c r="A61" s="30" t="str">
        <x:v>Q011</x:v>
      </x:c>
      <x:c r="B61" s="30" t="n">
        <x:v>4</x:v>
      </x:c>
      <x:c r="C61" s="30" t="str">
        <x:v>A040</x:v>
      </x:c>
      <x:c r="D61" s="30" t="str">
        <x:v>当前承担Agent/其本地工具；跨节点操作需实际接收方执行</x:v>
      </x:c>
      <x:c r="E61" s="30" t="str">
        <x:v>依前序真实结果执行</x:v>
      </x:c>
      <x:c r="F61" s="30" t="str">
        <x:v>等待操作反馈后再由Agent决定是否继续</x:v>
      </x:c>
    </x:row>
    <x:row r="62" ht="65" customHeight="1">
      <x:c r="A62" s="30" t="str">
        <x:v>Q011</x:v>
      </x:c>
      <x:c r="B62" s="30" t="n">
        <x:v>5</x:v>
      </x:c>
      <x:c r="C62" s="30" t="str">
        <x:v>A041</x:v>
      </x:c>
      <x:c r="D62" s="30" t="str">
        <x:v>当前承担Agent/其本地工具；跨节点操作需实际接收方执行</x:v>
      </x:c>
      <x:c r="E62" s="30" t="str">
        <x:v>依前序真实结果执行</x:v>
      </x:c>
      <x:c r="F62" s="30" t="str">
        <x:v>等待操作反馈后再由Agent决定是否继续</x:v>
      </x:c>
    </x:row>
    <x:row r="63" ht="65" customHeight="1">
      <x:c r="A63" s="30" t="str">
        <x:v>Q011</x:v>
      </x:c>
      <x:c r="B63" s="30" t="n">
        <x:v>6</x:v>
      </x:c>
      <x:c r="C63" s="30" t="str">
        <x:v>A036</x:v>
      </x:c>
      <x:c r="D63" s="30" t="str">
        <x:v>当前承担Agent/其本地工具；跨节点操作需实际接收方执行</x:v>
      </x:c>
      <x:c r="E63" s="30" t="str">
        <x:v>依前序真实结果执行</x:v>
      </x:c>
      <x:c r="F63" s="30" t="str">
        <x:v>给出确认/排除/仍不确定和对应新证据</x:v>
      </x:c>
    </x:row>
    <x:row r="64" ht="65" customHeight="1">
      <x:c r="A64" s="30" t="str">
        <x:v>Q012</x:v>
      </x:c>
      <x:c r="B64" s="30" t="n">
        <x:v>1</x:v>
      </x:c>
      <x:c r="C64" s="30" t="str">
        <x:v>A005</x:v>
      </x:c>
      <x:c r="D64" s="30" t="str">
        <x:v>当前承担Agent/其本地工具；跨节点操作需实际接收方执行</x:v>
      </x:c>
      <x:c r="E64" s="30" t="str">
        <x:v>依前序真实结果执行</x:v>
      </x:c>
      <x:c r="F64" s="30" t="str">
        <x:v>等待操作反馈后再由Agent决定是否继续</x:v>
      </x:c>
    </x:row>
    <x:row r="65" ht="65" customHeight="1">
      <x:c r="A65" s="30" t="str">
        <x:v>Q012</x:v>
      </x:c>
      <x:c r="B65" s="30" t="n">
        <x:v>2</x:v>
      </x:c>
      <x:c r="C65" s="30" t="str">
        <x:v>A007</x:v>
      </x:c>
      <x:c r="D65" s="30" t="str">
        <x:v>当前承担Agent/其本地工具；跨节点操作需实际接收方执行</x:v>
      </x:c>
      <x:c r="E65" s="30" t="str">
        <x:v>依前序真实结果执行</x:v>
      </x:c>
      <x:c r="F65" s="30" t="str">
        <x:v>等待操作反馈后再由Agent决定是否继续</x:v>
      </x:c>
    </x:row>
    <x:row r="66" ht="65" customHeight="1">
      <x:c r="A66" s="30" t="str">
        <x:v>Q012</x:v>
      </x:c>
      <x:c r="B66" s="30" t="n">
        <x:v>3</x:v>
      </x:c>
      <x:c r="C66" s="30" t="str">
        <x:v>A040</x:v>
      </x:c>
      <x:c r="D66" s="30" t="str">
        <x:v>当前承担Agent/其本地工具；跨节点操作需实际接收方执行</x:v>
      </x:c>
      <x:c r="E66" s="30" t="str">
        <x:v>依前序真实结果执行</x:v>
      </x:c>
      <x:c r="F66" s="30" t="str">
        <x:v>等待操作反馈后再由Agent决定是否继续</x:v>
      </x:c>
    </x:row>
    <x:row r="67" ht="65" customHeight="1">
      <x:c r="A67" s="30" t="str">
        <x:v>Q012</x:v>
      </x:c>
      <x:c r="B67" s="30" t="n">
        <x:v>4</x:v>
      </x:c>
      <x:c r="C67" s="30" t="str">
        <x:v>A041</x:v>
      </x:c>
      <x:c r="D67" s="30" t="str">
        <x:v>当前承担Agent/其本地工具；跨节点操作需实际接收方执行</x:v>
      </x:c>
      <x:c r="E67" s="30" t="str">
        <x:v>依前序真实结果执行</x:v>
      </x:c>
      <x:c r="F67" s="30" t="str">
        <x:v>等待操作反馈后再由Agent决定是否继续</x:v>
      </x:c>
    </x:row>
    <x:row r="68" ht="65" customHeight="1">
      <x:c r="A68" s="30" t="str">
        <x:v>Q012</x:v>
      </x:c>
      <x:c r="B68" s="30" t="n">
        <x:v>5</x:v>
      </x:c>
      <x:c r="C68" s="30" t="str">
        <x:v>A036</x:v>
      </x:c>
      <x:c r="D68" s="30" t="str">
        <x:v>当前承担Agent/其本地工具；跨节点操作需实际接收方执行</x:v>
      </x:c>
      <x:c r="E68" s="30" t="str">
        <x:v>依前序真实结果执行</x:v>
      </x:c>
      <x:c r="F68" s="30" t="str">
        <x:v>得到带误差的轨迹/位置，去重而不读取真值ID</x:v>
      </x:c>
    </x:row>
    <x:row r="69" ht="65" customHeight="1">
      <x:c r="A69" s="30" t="str">
        <x:v>Q013</x:v>
      </x:c>
      <x:c r="B69" s="30" t="n">
        <x:v>1</x:v>
      </x:c>
      <x:c r="C69" s="30" t="str">
        <x:v>A002</x:v>
      </x:c>
      <x:c r="D69" s="30" t="str">
        <x:v>当前承担Agent/其本地工具；跨节点操作需实际接收方执行</x:v>
      </x:c>
      <x:c r="E69" s="30" t="str">
        <x:v>依前序真实结果执行</x:v>
      </x:c>
      <x:c r="F69" s="30" t="str">
        <x:v>等待操作反馈后再由Agent决定是否继续</x:v>
      </x:c>
    </x:row>
    <x:row r="70" ht="65" customHeight="1">
      <x:c r="A70" s="30" t="str">
        <x:v>Q013</x:v>
      </x:c>
      <x:c r="B70" s="30" t="n">
        <x:v>2</x:v>
      </x:c>
      <x:c r="C70" s="30" t="str">
        <x:v>A011</x:v>
      </x:c>
      <x:c r="D70" s="30" t="str">
        <x:v>当前承担Agent/其本地工具；跨节点操作需实际接收方执行</x:v>
      </x:c>
      <x:c r="E70" s="30" t="str">
        <x:v>依前序真实结果执行</x:v>
      </x:c>
      <x:c r="F70" s="30" t="str">
        <x:v>等待操作反馈后再由Agent决定是否继续</x:v>
      </x:c>
    </x:row>
    <x:row r="71" ht="65" customHeight="1">
      <x:c r="A71" s="30" t="str">
        <x:v>Q013</x:v>
      </x:c>
      <x:c r="B71" s="30" t="n">
        <x:v>3</x:v>
      </x:c>
      <x:c r="C71" s="30" t="str">
        <x:v>A005</x:v>
      </x:c>
      <x:c r="D71" s="30" t="str">
        <x:v>当前承担Agent/其本地工具；跨节点操作需实际接收方执行</x:v>
      </x:c>
      <x:c r="E71" s="30" t="str">
        <x:v>依前序真实结果执行</x:v>
      </x:c>
      <x:c r="F71" s="30" t="str">
        <x:v>等待操作反馈后再由Agent决定是否继续</x:v>
      </x:c>
    </x:row>
    <x:row r="72" ht="65" customHeight="1">
      <x:c r="A72" s="30" t="str">
        <x:v>Q013</x:v>
      </x:c>
      <x:c r="B72" s="30" t="n">
        <x:v>4</x:v>
      </x:c>
      <x:c r="C72" s="30" t="str">
        <x:v>A006</x:v>
      </x:c>
      <x:c r="D72" s="30" t="str">
        <x:v>当前承担Agent/其本地工具；跨节点操作需实际接收方执行</x:v>
      </x:c>
      <x:c r="E72" s="30" t="str">
        <x:v>依前序真实结果执行</x:v>
      </x:c>
      <x:c r="F72" s="30" t="str">
        <x:v>等待操作反馈后再由Agent决定是否继续</x:v>
      </x:c>
    </x:row>
    <x:row r="73" ht="65" customHeight="1">
      <x:c r="A73" s="30" t="str">
        <x:v>Q013</x:v>
      </x:c>
      <x:c r="B73" s="30" t="n">
        <x:v>5</x:v>
      </x:c>
      <x:c r="C73" s="30" t="str">
        <x:v>A007</x:v>
      </x:c>
      <x:c r="D73" s="30" t="str">
        <x:v>当前承担Agent/其本地工具；跨节点操作需实际接收方执行</x:v>
      </x:c>
      <x:c r="E73" s="30" t="str">
        <x:v>依前序真实结果执行</x:v>
      </x:c>
      <x:c r="F73" s="30" t="str">
        <x:v>等待操作反馈后再由Agent决定是否继续</x:v>
      </x:c>
    </x:row>
    <x:row r="74" ht="65" customHeight="1">
      <x:c r="A74" s="30" t="str">
        <x:v>Q013</x:v>
      </x:c>
      <x:c r="B74" s="30" t="n">
        <x:v>6</x:v>
      </x:c>
      <x:c r="C74" s="30" t="str">
        <x:v>A041</x:v>
      </x:c>
      <x:c r="D74" s="30" t="str">
        <x:v>当前承担Agent/其本地工具；跨节点操作需实际接收方执行</x:v>
      </x:c>
      <x:c r="E74" s="30" t="str">
        <x:v>依前序真实结果执行</x:v>
      </x:c>
      <x:c r="F74" s="30" t="str">
        <x:v>完成可达外部空间的实际感知，不假定所有缝隙可进</x:v>
      </x:c>
    </x:row>
    <x:row r="75" ht="65" customHeight="1">
      <x:c r="A75" s="30" t="str">
        <x:v>Q014</x:v>
      </x:c>
      <x:c r="B75" s="30" t="n">
        <x:v>1</x:v>
      </x:c>
      <x:c r="C75" s="30" t="str">
        <x:v>A002</x:v>
      </x:c>
      <x:c r="D75" s="30" t="str">
        <x:v>当前承担Agent/其本地工具；跨节点操作需实际接收方执行</x:v>
      </x:c>
      <x:c r="E75" s="30" t="str">
        <x:v>依前序真实结果执行</x:v>
      </x:c>
      <x:c r="F75" s="30" t="str">
        <x:v>等待操作反馈后再由Agent决定是否继续</x:v>
      </x:c>
    </x:row>
    <x:row r="76" ht="65" customHeight="1">
      <x:c r="A76" s="30" t="str">
        <x:v>Q014</x:v>
      </x:c>
      <x:c r="B76" s="30" t="n">
        <x:v>2</x:v>
      </x:c>
      <x:c r="C76" s="30" t="str">
        <x:v>A008</x:v>
      </x:c>
      <x:c r="D76" s="30" t="str">
        <x:v>当前承担Agent/其本地工具；跨节点操作需实际接收方执行</x:v>
      </x:c>
      <x:c r="E76" s="30" t="str">
        <x:v>依前序真实结果执行</x:v>
      </x:c>
      <x:c r="F76" s="30" t="str">
        <x:v>等待操作反馈后再由Agent决定是否继续</x:v>
      </x:c>
    </x:row>
    <x:row r="77" ht="65" customHeight="1">
      <x:c r="A77" s="30" t="str">
        <x:v>Q014</x:v>
      </x:c>
      <x:c r="B77" s="30" t="n">
        <x:v>3</x:v>
      </x:c>
      <x:c r="C77" s="30" t="str">
        <x:v>A041</x:v>
      </x:c>
      <x:c r="D77" s="30" t="str">
        <x:v>当前承担Agent/其本地工具；跨节点操作需实际接收方执行</x:v>
      </x:c>
      <x:c r="E77" s="30" t="str">
        <x:v>依前序真实结果执行</x:v>
      </x:c>
      <x:c r="F77" s="30" t="str">
        <x:v>等待操作反馈后再由Agent决定是否继续</x:v>
      </x:c>
    </x:row>
    <x:row r="78" ht="65" customHeight="1">
      <x:c r="A78" s="30" t="str">
        <x:v>Q014</x:v>
      </x:c>
      <x:c r="B78" s="30" t="n">
        <x:v>4</x:v>
      </x:c>
      <x:c r="C78" s="30" t="str">
        <x:v>A036</x:v>
      </x:c>
      <x:c r="D78" s="30" t="str">
        <x:v>当前承担Agent/其本地工具；跨节点操作需实际接收方执行</x:v>
      </x:c>
      <x:c r="E78" s="30" t="str">
        <x:v>依前序真实结果执行</x:v>
      </x:c>
      <x:c r="F78" s="30" t="str">
        <x:v>等待操作反馈后再由Agent决定是否继续</x:v>
      </x:c>
    </x:row>
    <x:row r="79" ht="65" customHeight="1">
      <x:c r="A79" s="30" t="str">
        <x:v>Q014</x:v>
      </x:c>
      <x:c r="B79" s="30" t="n">
        <x:v>5</x:v>
      </x:c>
      <x:c r="C79" s="30" t="str">
        <x:v>A054</x:v>
      </x:c>
      <x:c r="D79" s="30" t="str">
        <x:v>当前承担Agent/其本地工具；跨节点操作需实际接收方执行</x:v>
      </x:c>
      <x:c r="E79" s="30" t="str">
        <x:v>依前序真实结果执行</x:v>
      </x:c>
      <x:c r="F79" s="30" t="str">
        <x:v>完成约定覆盖/耗时并产出本地报告；不自动解救</x:v>
      </x:c>
    </x:row>
    <x:row r="80" ht="65" customHeight="1">
      <x:c r="A80" s="30" t="str">
        <x:v>Q015</x:v>
      </x:c>
      <x:c r="B80" s="30" t="n">
        <x:v>1</x:v>
      </x:c>
      <x:c r="C80" s="30" t="str">
        <x:v>A038</x:v>
      </x:c>
      <x:c r="D80" s="30" t="str">
        <x:v>当前承担Agent/其本地工具；跨节点操作需实际接收方执行</x:v>
      </x:c>
      <x:c r="E80" s="30" t="str">
        <x:v>依前序真实结果执行</x:v>
      </x:c>
      <x:c r="F80" s="30" t="str">
        <x:v>等待操作反馈后再由Agent决定是否继续</x:v>
      </x:c>
    </x:row>
    <x:row r="81" ht="65" customHeight="1">
      <x:c r="A81" s="30" t="str">
        <x:v>Q015</x:v>
      </x:c>
      <x:c r="B81" s="30" t="n">
        <x:v>2</x:v>
      </x:c>
      <x:c r="C81" s="30" t="str">
        <x:v>A002</x:v>
      </x:c>
      <x:c r="D81" s="30" t="str">
        <x:v>当前承担Agent/其本地工具；跨节点操作需实际接收方执行</x:v>
      </x:c>
      <x:c r="E81" s="30" t="str">
        <x:v>依前序真实结果执行</x:v>
      </x:c>
      <x:c r="F81" s="30" t="str">
        <x:v>等待操作反馈后再由Agent决定是否继续</x:v>
      </x:c>
    </x:row>
    <x:row r="82" ht="65" customHeight="1">
      <x:c r="A82" s="30" t="str">
        <x:v>Q015</x:v>
      </x:c>
      <x:c r="B82" s="30" t="n">
        <x:v>3</x:v>
      </x:c>
      <x:c r="C82" s="30" t="str">
        <x:v>A008</x:v>
      </x:c>
      <x:c r="D82" s="30" t="str">
        <x:v>当前承担Agent/其本地工具；跨节点操作需实际接收方执行</x:v>
      </x:c>
      <x:c r="E82" s="30" t="str">
        <x:v>依前序真实结果执行</x:v>
      </x:c>
      <x:c r="F82" s="30" t="str">
        <x:v>等待操作反馈后再由Agent决定是否继续</x:v>
      </x:c>
    </x:row>
    <x:row r="83" ht="65" customHeight="1">
      <x:c r="A83" s="30" t="str">
        <x:v>Q015</x:v>
      </x:c>
      <x:c r="B83" s="30" t="n">
        <x:v>4</x:v>
      </x:c>
      <x:c r="C83" s="30" t="str">
        <x:v>A010</x:v>
      </x:c>
      <x:c r="D83" s="30" t="str">
        <x:v>当前承担Agent/其本地工具；跨节点操作需实际接收方执行</x:v>
      </x:c>
      <x:c r="E83" s="30" t="str">
        <x:v>依前序真实结果执行</x:v>
      </x:c>
      <x:c r="F83" s="30" t="str">
        <x:v>等待操作反馈后再由Agent决定是否继续</x:v>
      </x:c>
    </x:row>
    <x:row r="84" ht="65" customHeight="1">
      <x:c r="A84" s="30" t="str">
        <x:v>Q015</x:v>
      </x:c>
      <x:c r="B84" s="30" t="n">
        <x:v>5</x:v>
      </x:c>
      <x:c r="C84" s="30" t="str">
        <x:v>A041</x:v>
      </x:c>
      <x:c r="D84" s="30" t="str">
        <x:v>当前承担Agent/其本地工具；跨节点操作需实际接收方执行</x:v>
      </x:c>
      <x:c r="E84" s="30" t="str">
        <x:v>依前序真实结果执行</x:v>
      </x:c>
      <x:c r="F84" s="30" t="str">
        <x:v>等待操作反馈后再由Agent决定是否继续</x:v>
      </x:c>
    </x:row>
    <x:row r="85" ht="65" customHeight="1">
      <x:c r="A85" s="30" t="str">
        <x:v>Q015</x:v>
      </x:c>
      <x:c r="B85" s="30" t="n">
        <x:v>6</x:v>
      </x:c>
      <x:c r="C85" s="30" t="str">
        <x:v>A036</x:v>
      </x:c>
      <x:c r="D85" s="30" t="str">
        <x:v>当前承担Agent/其本地工具；跨节点操作需实际接收方执行</x:v>
      </x:c>
      <x:c r="E85" s="30" t="str">
        <x:v>依前序真实结果执行</x:v>
      </x:c>
      <x:c r="F85" s="30" t="str">
        <x:v>补足上次未覆盖区域，允许仍不确定或受阻</x:v>
      </x:c>
    </x:row>
    <x:row r="86" ht="65" customHeight="1">
      <x:c r="A86" s="30" t="str">
        <x:v>Q016</x:v>
      </x:c>
      <x:c r="B86" s="30" t="n">
        <x:v>1</x:v>
      </x:c>
      <x:c r="C86" s="30" t="str">
        <x:v>A001 OR A002</x:v>
      </x:c>
      <x:c r="D86" s="30" t="str">
        <x:v>当前承担Agent/其本地工具；跨节点操作需实际接收方执行</x:v>
      </x:c>
      <x:c r="E86" s="30" t="str">
        <x:v>按条件选择其中一项；不是全部执行</x:v>
      </x:c>
      <x:c r="F86" s="30" t="str">
        <x:v>等待操作反馈后再由Agent决定是否继续</x:v>
      </x:c>
    </x:row>
    <x:row r="87" ht="65" customHeight="1">
      <x:c r="A87" s="30" t="str">
        <x:v>Q016</x:v>
      </x:c>
      <x:c r="B87" s="30" t="n">
        <x:v>2</x:v>
      </x:c>
      <x:c r="C87" s="30" t="str">
        <x:v>A005</x:v>
      </x:c>
      <x:c r="D87" s="30" t="str">
        <x:v>当前承担Agent/其本地工具；跨节点操作需实际接收方执行</x:v>
      </x:c>
      <x:c r="E87" s="30" t="str">
        <x:v>依前序真实结果执行</x:v>
      </x:c>
      <x:c r="F87" s="30" t="str">
        <x:v>等待操作反馈后再由Agent决定是否继续</x:v>
      </x:c>
    </x:row>
    <x:row r="88" ht="65" customHeight="1">
      <x:c r="A88" s="30" t="str">
        <x:v>Q016</x:v>
      </x:c>
      <x:c r="B88" s="30" t="n">
        <x:v>3</x:v>
      </x:c>
      <x:c r="C88" s="30" t="str">
        <x:v>A044</x:v>
      </x:c>
      <x:c r="D88" s="30" t="str">
        <x:v>当前承担Agent/其本地工具；跨节点操作需实际接收方执行</x:v>
      </x:c>
      <x:c r="E88" s="30" t="str">
        <x:v>依前序真实结果执行</x:v>
      </x:c>
      <x:c r="F88" s="30" t="str">
        <x:v>等待操作反馈后再由Agent决定是否继续</x:v>
      </x:c>
    </x:row>
    <x:row r="89" ht="65" customHeight="1">
      <x:c r="A89" s="30" t="str">
        <x:v>Q016</x:v>
      </x:c>
      <x:c r="B89" s="30" t="n">
        <x:v>4</x:v>
      </x:c>
      <x:c r="C89" s="30" t="str">
        <x:v>A006</x:v>
      </x:c>
      <x:c r="D89" s="30" t="str">
        <x:v>当前承担Agent/其本地工具；跨节点操作需实际接收方执行</x:v>
      </x:c>
      <x:c r="E89" s="30" t="str">
        <x:v>依前序真实结果执行</x:v>
      </x:c>
      <x:c r="F89" s="30" t="str">
        <x:v>等待操作反馈后再由Agent决定是否继续</x:v>
      </x:c>
    </x:row>
    <x:row r="90" ht="65" customHeight="1">
      <x:c r="A90" s="30" t="str">
        <x:v>Q016</x:v>
      </x:c>
      <x:c r="B90" s="30" t="n">
        <x:v>5</x:v>
      </x:c>
      <x:c r="C90" s="30" t="str">
        <x:v>A007</x:v>
      </x:c>
      <x:c r="D90" s="30" t="str">
        <x:v>当前承担Agent/其本地工具；跨节点操作需实际接收方执行</x:v>
      </x:c>
      <x:c r="E90" s="30" t="str">
        <x:v>依前序真实结果执行</x:v>
      </x:c>
      <x:c r="F90" s="30" t="str">
        <x:v>等待操作反馈后再由Agent决定是否继续</x:v>
      </x:c>
    </x:row>
    <x:row r="91" ht="65" customHeight="1">
      <x:c r="A91" s="30" t="str">
        <x:v>Q016</x:v>
      </x:c>
      <x:c r="B91" s="30" t="n">
        <x:v>6</x:v>
      </x:c>
      <x:c r="C91" s="30" t="str">
        <x:v>A041</x:v>
      </x:c>
      <x:c r="D91" s="30" t="str">
        <x:v>当前承担Agent/其本地工具；跨节点操作需实际接收方执行</x:v>
      </x:c>
      <x:c r="E91" s="30" t="str">
        <x:v>依前序真实结果执行</x:v>
      </x:c>
      <x:c r="F91" s="30" t="str">
        <x:v>使用真实可用热像或明确热像模型发现线索，不透墙</x:v>
      </x:c>
    </x:row>
    <x:row r="92" ht="65" customHeight="1">
      <x:c r="A92" s="30" t="str">
        <x:v>Q017</x:v>
      </x:c>
      <x:c r="B92" s="30" t="n">
        <x:v>1</x:v>
      </x:c>
      <x:c r="C92" s="30" t="str">
        <x:v>A002</x:v>
      </x:c>
      <x:c r="D92" s="30" t="str">
        <x:v>当前承担Agent/其本地工具；跨节点操作需实际接收方执行</x:v>
      </x:c>
      <x:c r="E92" s="30" t="str">
        <x:v>依前序真实结果执行</x:v>
      </x:c>
      <x:c r="F92" s="30" t="str">
        <x:v>等待操作反馈后再由Agent决定是否继续</x:v>
      </x:c>
    </x:row>
    <x:row r="93" ht="65" customHeight="1">
      <x:c r="A93" s="30" t="str">
        <x:v>Q017</x:v>
      </x:c>
      <x:c r="B93" s="30" t="n">
        <x:v>2</x:v>
      </x:c>
      <x:c r="C93" s="30" t="str">
        <x:v>A005</x:v>
      </x:c>
      <x:c r="D93" s="30" t="str">
        <x:v>当前承担Agent/其本地工具；跨节点操作需实际接收方执行</x:v>
      </x:c>
      <x:c r="E93" s="30" t="str">
        <x:v>依前序真实结果执行</x:v>
      </x:c>
      <x:c r="F93" s="30" t="str">
        <x:v>等待操作反馈后再由Agent决定是否继续</x:v>
      </x:c>
    </x:row>
    <x:row r="94" ht="65" customHeight="1">
      <x:c r="A94" s="30" t="str">
        <x:v>Q017</x:v>
      </x:c>
      <x:c r="B94" s="30" t="n">
        <x:v>3</x:v>
      </x:c>
      <x:c r="C94" s="30" t="str">
        <x:v>A044</x:v>
      </x:c>
      <x:c r="D94" s="30" t="str">
        <x:v>当前承担Agent/其本地工具；跨节点操作需实际接收方执行</x:v>
      </x:c>
      <x:c r="E94" s="30" t="str">
        <x:v>依前序真实结果执行</x:v>
      </x:c>
      <x:c r="F94" s="30" t="str">
        <x:v>等待操作反馈后再由Agent决定是否继续</x:v>
      </x:c>
    </x:row>
    <x:row r="95" ht="65" customHeight="1">
      <x:c r="A95" s="30" t="str">
        <x:v>Q017</x:v>
      </x:c>
      <x:c r="B95" s="30" t="n">
        <x:v>4</x:v>
      </x:c>
      <x:c r="C95" s="30" t="str">
        <x:v>A006</x:v>
      </x:c>
      <x:c r="D95" s="30" t="str">
        <x:v>当前承担Agent/其本地工具；跨节点操作需实际接收方执行</x:v>
      </x:c>
      <x:c r="E95" s="30" t="str">
        <x:v>依前序真实结果执行</x:v>
      </x:c>
      <x:c r="F95" s="30" t="str">
        <x:v>等待操作反馈后再由Agent决定是否继续</x:v>
      </x:c>
    </x:row>
    <x:row r="96" ht="65" customHeight="1">
      <x:c r="A96" s="30" t="str">
        <x:v>Q017</x:v>
      </x:c>
      <x:c r="B96" s="30" t="n">
        <x:v>5</x:v>
      </x:c>
      <x:c r="C96" s="30" t="str">
        <x:v>A007</x:v>
      </x:c>
      <x:c r="D96" s="30" t="str">
        <x:v>当前承担Agent/其本地工具；跨节点操作需实际接收方执行</x:v>
      </x:c>
      <x:c r="E96" s="30" t="str">
        <x:v>依前序真实结果执行</x:v>
      </x:c>
      <x:c r="F96" s="30" t="str">
        <x:v>等待操作反馈后再由Agent决定是否继续</x:v>
      </x:c>
    </x:row>
    <x:row r="97" ht="65" customHeight="1">
      <x:c r="A97" s="30" t="str">
        <x:v>Q017</x:v>
      </x:c>
      <x:c r="B97" s="30" t="n">
        <x:v>6</x:v>
      </x:c>
      <x:c r="C97" s="30" t="str">
        <x:v>A041</x:v>
      </x:c>
      <x:c r="D97" s="30" t="str">
        <x:v>当前承担Agent/其本地工具；跨节点操作需实际接收方执行</x:v>
      </x:c>
      <x:c r="E97" s="30" t="str">
        <x:v>依前序真实结果执行</x:v>
      </x:c>
      <x:c r="F97" s="30" t="str">
        <x:v>通过声学观测给出方向/位置不确定性</x:v>
      </x:c>
    </x:row>
    <x:row r="98" ht="65" customHeight="1">
      <x:c r="A98" s="30" t="str">
        <x:v>Q018</x:v>
      </x:c>
      <x:c r="B98" s="30" t="n">
        <x:v>1</x:v>
      </x:c>
      <x:c r="C98" s="30" t="str">
        <x:v>A001 OR A002</x:v>
      </x:c>
      <x:c r="D98" s="30" t="str">
        <x:v>当前承担Agent/其本地工具；跨节点操作需实际接收方执行</x:v>
      </x:c>
      <x:c r="E98" s="30" t="str">
        <x:v>按条件选择其中一项；不是全部执行</x:v>
      </x:c>
      <x:c r="F98" s="30" t="str">
        <x:v>等待操作反馈后再由Agent决定是否继续</x:v>
      </x:c>
    </x:row>
    <x:row r="99" ht="65" customHeight="1">
      <x:c r="A99" s="30" t="str">
        <x:v>Q018</x:v>
      </x:c>
      <x:c r="B99" s="30" t="n">
        <x:v>2</x:v>
      </x:c>
      <x:c r="C99" s="30" t="str">
        <x:v>A005</x:v>
      </x:c>
      <x:c r="D99" s="30" t="str">
        <x:v>当前承担Agent/其本地工具；跨节点操作需实际接收方执行</x:v>
      </x:c>
      <x:c r="E99" s="30" t="str">
        <x:v>依前序真实结果执行</x:v>
      </x:c>
      <x:c r="F99" s="30" t="str">
        <x:v>等待操作反馈后再由Agent决定是否继续</x:v>
      </x:c>
    </x:row>
    <x:row r="100" ht="65" customHeight="1">
      <x:c r="A100" s="30" t="str">
        <x:v>Q018</x:v>
      </x:c>
      <x:c r="B100" s="30" t="n">
        <x:v>3</x:v>
      </x:c>
      <x:c r="C100" s="30" t="str">
        <x:v>A044</x:v>
      </x:c>
      <x:c r="D100" s="30" t="str">
        <x:v>当前承担Agent/其本地工具；跨节点操作需实际接收方执行</x:v>
      </x:c>
      <x:c r="E100" s="30" t="str">
        <x:v>依前序真实结果执行</x:v>
      </x:c>
      <x:c r="F100" s="30" t="str">
        <x:v>等待操作反馈后再由Agent决定是否继续</x:v>
      </x:c>
    </x:row>
    <x:row r="101" ht="65" customHeight="1">
      <x:c r="A101" s="30" t="str">
        <x:v>Q018</x:v>
      </x:c>
      <x:c r="B101" s="30" t="n">
        <x:v>4</x:v>
      </x:c>
      <x:c r="C101" s="30" t="str">
        <x:v>A006</x:v>
      </x:c>
      <x:c r="D101" s="30" t="str">
        <x:v>当前承担Agent/其本地工具；跨节点操作需实际接收方执行</x:v>
      </x:c>
      <x:c r="E101" s="30" t="str">
        <x:v>依前序真实结果执行</x:v>
      </x:c>
      <x:c r="F101" s="30" t="str">
        <x:v>等待操作反馈后再由Agent决定是否继续</x:v>
      </x:c>
    </x:row>
    <x:row r="102" ht="65" customHeight="1">
      <x:c r="A102" s="30" t="str">
        <x:v>Q018</x:v>
      </x:c>
      <x:c r="B102" s="30" t="n">
        <x:v>5</x:v>
      </x:c>
      <x:c r="C102" s="30" t="str">
        <x:v>A007</x:v>
      </x:c>
      <x:c r="D102" s="30" t="str">
        <x:v>当前承担Agent/其本地工具；跨节点操作需实际接收方执行</x:v>
      </x:c>
      <x:c r="E102" s="30" t="str">
        <x:v>依前序真实结果执行</x:v>
      </x:c>
      <x:c r="F102" s="30" t="str">
        <x:v>等待操作反馈后再由Agent决定是否继续</x:v>
      </x:c>
    </x:row>
    <x:row r="103" ht="65" customHeight="1">
      <x:c r="A103" s="30" t="str">
        <x:v>Q018</x:v>
      </x:c>
      <x:c r="B103" s="30" t="n">
        <x:v>6</x:v>
      </x:c>
      <x:c r="C103" s="30" t="str">
        <x:v>A041</x:v>
      </x:c>
      <x:c r="D103" s="30" t="str">
        <x:v>当前承担Agent/其本地工具；跨节点操作需实际接收方执行</x:v>
      </x:c>
      <x:c r="E103" s="30" t="str">
        <x:v>依前序真实结果执行</x:v>
      </x:c>
      <x:c r="F103" s="30" t="str">
        <x:v>在已声明设备协议与授权条件下定位信号线索</x:v>
      </x:c>
    </x:row>
    <x:row r="104" ht="65" customHeight="1">
      <x:c r="A104" s="30" t="str">
        <x:v>Q019</x:v>
      </x:c>
      <x:c r="B104" s="30" t="n">
        <x:v>1</x:v>
      </x:c>
      <x:c r="C104" s="30" t="str">
        <x:v>A066</x:v>
      </x:c>
      <x:c r="D104" s="30" t="str">
        <x:v>当前承担Agent/其本地工具；跨节点操作需实际接收方执行</x:v>
      </x:c>
      <x:c r="E104" s="30" t="str">
        <x:v>依前序真实结果执行</x:v>
      </x:c>
      <x:c r="F104" s="30" t="str">
        <x:v>等待操作反馈后再由Agent决定是否继续</x:v>
      </x:c>
    </x:row>
    <x:row r="105" ht="65" customHeight="1">
      <x:c r="A105" s="30" t="str">
        <x:v>Q019</x:v>
      </x:c>
      <x:c r="B105" s="30" t="n">
        <x:v>2</x:v>
      </x:c>
      <x:c r="C105" s="30" t="str">
        <x:v>A001</x:v>
      </x:c>
      <x:c r="D105" s="30" t="str">
        <x:v>当前承担Agent/其本地工具；跨节点操作需实际接收方执行</x:v>
      </x:c>
      <x:c r="E105" s="30" t="str">
        <x:v>依前序真实结果执行</x:v>
      </x:c>
      <x:c r="F105" s="30" t="str">
        <x:v>等待操作反馈后再由Agent决定是否继续</x:v>
      </x:c>
    </x:row>
    <x:row r="106" ht="65" customHeight="1">
      <x:c r="A106" s="30" t="str">
        <x:v>Q019</x:v>
      </x:c>
      <x:c r="B106" s="30" t="n">
        <x:v>3</x:v>
      </x:c>
      <x:c r="C106" s="30" t="str">
        <x:v>A004</x:v>
      </x:c>
      <x:c r="D106" s="30" t="str">
        <x:v>当前承担Agent/其本地工具；跨节点操作需实际接收方执行</x:v>
      </x:c>
      <x:c r="E106" s="30" t="str">
        <x:v>依前序真实结果执行</x:v>
      </x:c>
      <x:c r="F106" s="30" t="str">
        <x:v>等待操作反馈后再由Agent决定是否继续</x:v>
      </x:c>
    </x:row>
    <x:row r="107" ht="65" customHeight="1">
      <x:c r="A107" s="30" t="str">
        <x:v>Q019</x:v>
      </x:c>
      <x:c r="B107" s="30" t="n">
        <x:v>4</x:v>
      </x:c>
      <x:c r="C107" s="30" t="str">
        <x:v>A054</x:v>
      </x:c>
      <x:c r="D107" s="30" t="str">
        <x:v>当前承担Agent/其本地工具；跨节点操作需实际接收方执行</x:v>
      </x:c>
      <x:c r="E107" s="30" t="str">
        <x:v>依前序真实结果执行</x:v>
      </x:c>
      <x:c r="F107" s="30" t="str">
        <x:v>实际到达合法观察/中继点并确认位姿</x:v>
      </x:c>
    </x:row>
    <x:row r="108" ht="65" customHeight="1">
      <x:c r="A108" s="30" t="str">
        <x:v>Q020</x:v>
      </x:c>
      <x:c r="B108" s="30" t="n">
        <x:v>1</x:v>
      </x:c>
      <x:c r="C108" s="30" t="str">
        <x:v>A011</x:v>
      </x:c>
      <x:c r="D108" s="30" t="str">
        <x:v>当前承担Agent/其本地工具；跨节点操作需实际接收方执行</x:v>
      </x:c>
      <x:c r="E108" s="30" t="str">
        <x:v>依前序真实结果执行</x:v>
      </x:c>
      <x:c r="F108" s="30" t="str">
        <x:v>等待操作反馈后再由Agent决定是否继续</x:v>
      </x:c>
    </x:row>
    <x:row r="109" ht="65" customHeight="1">
      <x:c r="A109" s="30" t="str">
        <x:v>Q020</x:v>
      </x:c>
      <x:c r="B109" s="30" t="n">
        <x:v>2</x:v>
      </x:c>
      <x:c r="C109" s="30" t="str">
        <x:v>A066</x:v>
      </x:c>
      <x:c r="D109" s="30" t="str">
        <x:v>当前承担Agent/其本地工具；跨节点操作需实际接收方执行</x:v>
      </x:c>
      <x:c r="E109" s="30" t="str">
        <x:v>依前序真实结果执行</x:v>
      </x:c>
      <x:c r="F109" s="30" t="str">
        <x:v>等待操作反馈后再由Agent决定是否继续</x:v>
      </x:c>
    </x:row>
    <x:row r="110" ht="65" customHeight="1">
      <x:c r="A110" s="30" t="str">
        <x:v>Q020</x:v>
      </x:c>
      <x:c r="B110" s="30" t="n">
        <x:v>3</x:v>
      </x:c>
      <x:c r="C110" s="30" t="str">
        <x:v>A002</x:v>
      </x:c>
      <x:c r="D110" s="30" t="str">
        <x:v>当前承担Agent/其本地工具；跨节点操作需实际接收方执行</x:v>
      </x:c>
      <x:c r="E110" s="30" t="str">
        <x:v>依前序真实结果执行</x:v>
      </x:c>
      <x:c r="F110" s="30" t="str">
        <x:v>等待操作反馈后再由Agent决定是否继续</x:v>
      </x:c>
    </x:row>
    <x:row r="111" ht="65" customHeight="1">
      <x:c r="A111" s="30" t="str">
        <x:v>Q020</x:v>
      </x:c>
      <x:c r="B111" s="30" t="n">
        <x:v>4</x:v>
      </x:c>
      <x:c r="C111" s="30" t="str">
        <x:v>A054</x:v>
      </x:c>
      <x:c r="D111" s="30" t="str">
        <x:v>当前承担Agent/其本地工具；跨节点操作需实际接收方执行</x:v>
      </x:c>
      <x:c r="E111" s="30" t="str">
        <x:v>依前序真实结果执行</x:v>
      </x:c>
      <x:c r="F111" s="30" t="str">
        <x:v>按可通行路线到达目标，失败反馈阻碍</x:v>
      </x:c>
    </x:row>
    <x:row r="112" ht="65" customHeight="1">
      <x:c r="A112" s="30" t="str">
        <x:v>Q021</x:v>
      </x:c>
      <x:c r="B112" s="30" t="n">
        <x:v>1</x:v>
      </x:c>
      <x:c r="C112" s="30" t="str">
        <x:v>A002</x:v>
      </x:c>
      <x:c r="D112" s="30" t="str">
        <x:v>当前承担Agent/其本地工具；跨节点操作需实际接收方执行</x:v>
      </x:c>
      <x:c r="E112" s="30" t="str">
        <x:v>依前序真实结果执行</x:v>
      </x:c>
      <x:c r="F112" s="30" t="str">
        <x:v>等待操作反馈后再由Agent决定是否继续</x:v>
      </x:c>
    </x:row>
    <x:row r="113" ht="65" customHeight="1">
      <x:c r="A113" s="30" t="str">
        <x:v>Q021</x:v>
      </x:c>
      <x:c r="B113" s="30" t="n">
        <x:v>2</x:v>
      </x:c>
      <x:c r="C113" s="30" t="str">
        <x:v>A011</x:v>
      </x:c>
      <x:c r="D113" s="30" t="str">
        <x:v>当前承担Agent/其本地工具；跨节点操作需实际接收方执行</x:v>
      </x:c>
      <x:c r="E113" s="30" t="str">
        <x:v>依前序真实结果执行</x:v>
      </x:c>
      <x:c r="F113" s="30" t="str">
        <x:v>等待操作反馈后再由Agent决定是否继续</x:v>
      </x:c>
    </x:row>
    <x:row r="114" ht="65" customHeight="1">
      <x:c r="A114" s="30" t="str">
        <x:v>Q021</x:v>
      </x:c>
      <x:c r="B114" s="30" t="n">
        <x:v>3</x:v>
      </x:c>
      <x:c r="C114" s="30" t="str">
        <x:v>A041</x:v>
      </x:c>
      <x:c r="D114" s="30" t="str">
        <x:v>当前承担Agent/其本地工具；跨节点操作需实际接收方执行</x:v>
      </x:c>
      <x:c r="E114" s="30" t="str">
        <x:v>依前序真实结果执行</x:v>
      </x:c>
      <x:c r="F114" s="30" t="str">
        <x:v>等待操作反馈后再由Agent决定是否继续</x:v>
      </x:c>
    </x:row>
    <x:row r="115" ht="65" customHeight="1">
      <x:c r="A115" s="30" t="str">
        <x:v>Q021</x:v>
      </x:c>
      <x:c r="B115" s="30" t="n">
        <x:v>4</x:v>
      </x:c>
      <x:c r="C115" s="30" t="str">
        <x:v>A036</x:v>
      </x:c>
      <x:c r="D115" s="30" t="str">
        <x:v>当前承担Agent/其本地工具；跨节点操作需实际接收方执行</x:v>
      </x:c>
      <x:c r="E115" s="30" t="str">
        <x:v>依前序真实结果执行</x:v>
      </x:c>
      <x:c r="F115" s="30" t="str">
        <x:v>获取局部净空/阻碍证据，不能远程查询隐蔽通行答案</x:v>
      </x:c>
    </x:row>
    <x:row r="116" ht="65" customHeight="1">
      <x:c r="A116" s="30" t="str">
        <x:v>Q022</x:v>
      </x:c>
      <x:c r="B116" s="30" t="n">
        <x:v>1</x:v>
      </x:c>
      <x:c r="C116" s="30" t="str">
        <x:v>A002</x:v>
      </x:c>
      <x:c r="D116" s="30" t="str">
        <x:v>当前承担Agent/其本地工具；跨节点操作需实际接收方执行</x:v>
      </x:c>
      <x:c r="E116" s="30" t="str">
        <x:v>依前序真实结果执行</x:v>
      </x:c>
      <x:c r="F116" s="30" t="str">
        <x:v>等待操作反馈后再由Agent决定是否继续</x:v>
      </x:c>
    </x:row>
    <x:row r="117" ht="65" customHeight="1">
      <x:c r="A117" s="30" t="str">
        <x:v>Q022</x:v>
      </x:c>
      <x:c r="B117" s="30" t="n">
        <x:v>2</x:v>
      </x:c>
      <x:c r="C117" s="30" t="str">
        <x:v>A011</x:v>
      </x:c>
      <x:c r="D117" s="30" t="str">
        <x:v>当前承担Agent/其本地工具；跨节点操作需实际接收方执行</x:v>
      </x:c>
      <x:c r="E117" s="30" t="str">
        <x:v>依前序真实结果执行</x:v>
      </x:c>
      <x:c r="F117" s="30" t="str">
        <x:v>等待操作反馈后再由Agent决定是否继续</x:v>
      </x:c>
    </x:row>
    <x:row r="118" ht="65" customHeight="1">
      <x:c r="A118" s="30" t="str">
        <x:v>Q022</x:v>
      </x:c>
      <x:c r="B118" s="30" t="n">
        <x:v>3</x:v>
      </x:c>
      <x:c r="C118" s="30" t="str">
        <x:v>A012</x:v>
      </x:c>
      <x:c r="D118" s="30" t="str">
        <x:v>当前承担Agent/其本地工具；跨节点操作需实际接收方执行</x:v>
      </x:c>
      <x:c r="E118" s="30" t="str">
        <x:v>依前序真实结果执行</x:v>
      </x:c>
      <x:c r="F118" s="30" t="str">
        <x:v>等待操作反馈后再由Agent决定是否继续</x:v>
      </x:c>
    </x:row>
    <x:row r="119" ht="65" customHeight="1">
      <x:c r="A119" s="30" t="str">
        <x:v>Q022</x:v>
      </x:c>
      <x:c r="B119" s="30" t="n">
        <x:v>4</x:v>
      </x:c>
      <x:c r="C119" s="30" t="str">
        <x:v>A011</x:v>
      </x:c>
      <x:c r="D119" s="30" t="str">
        <x:v>当前承担Agent/其本地工具；跨节点操作需实际接收方执行</x:v>
      </x:c>
      <x:c r="E119" s="30" t="str">
        <x:v>依前序真实结果执行</x:v>
      </x:c>
      <x:c r="F119" s="30" t="str">
        <x:v>等待操作反馈后再由Agent决定是否继续</x:v>
      </x:c>
    </x:row>
    <x:row r="120" ht="65" customHeight="1">
      <x:c r="A120" s="30" t="str">
        <x:v>Q022</x:v>
      </x:c>
      <x:c r="B120" s="30" t="n">
        <x:v>5</x:v>
      </x:c>
      <x:c r="C120" s="30" t="str">
        <x:v>A054</x:v>
      </x:c>
      <x:c r="D120" s="30" t="str">
        <x:v>当前承担Agent/其本地工具；跨节点操作需实际接收方执行</x:v>
      </x:c>
      <x:c r="E120" s="30" t="str">
        <x:v>依前序真实结果执行</x:v>
      </x:c>
      <x:c r="F120" s="30" t="str">
        <x:v>在装备额定范围内移走轻障碍并验证通路变化</x:v>
      </x:c>
    </x:row>
    <x:row r="121" ht="65" customHeight="1">
      <x:c r="A121" s="30" t="str">
        <x:v>Q023</x:v>
      </x:c>
      <x:c r="B121" s="30" t="n">
        <x:v>1</x:v>
      </x:c>
      <x:c r="C121" s="30" t="str">
        <x:v>A059</x:v>
      </x:c>
      <x:c r="D121" s="30" t="str">
        <x:v>当前承担Agent/其本地工具；跨节点操作需实际接收方执行</x:v>
      </x:c>
      <x:c r="E121" s="30" t="str">
        <x:v>依前序真实结果执行</x:v>
      </x:c>
      <x:c r="F121" s="30" t="str">
        <x:v>等待操作反馈后再由Agent决定是否继续</x:v>
      </x:c>
    </x:row>
    <x:row r="122" ht="65" customHeight="1">
      <x:c r="A122" s="30" t="str">
        <x:v>Q023</x:v>
      </x:c>
      <x:c r="B122" s="30" t="n">
        <x:v>2</x:v>
      </x:c>
      <x:c r="C122" s="30" t="str">
        <x:v>A013</x:v>
      </x:c>
      <x:c r="D122" s="30" t="str">
        <x:v>具备对应设备的专业/外部执行主体</x:v>
      </x:c>
      <x:c r="E122" s="30" t="str">
        <x:v>依前序真实结果执行</x:v>
      </x:c>
      <x:c r="F122" s="30" t="str">
        <x:v>等待操作反馈后再由Agent决定是否继续</x:v>
      </x:c>
    </x:row>
    <x:row r="123" ht="65" customHeight="1">
      <x:c r="A123" s="30" t="str">
        <x:v>Q023</x:v>
      </x:c>
      <x:c r="B123" s="30" t="n">
        <x:v>3</x:v>
      </x:c>
      <x:c r="C123" s="30" t="str">
        <x:v>A011</x:v>
      </x:c>
      <x:c r="D123" s="30" t="str">
        <x:v>当前承担Agent/其本地工具；跨节点操作需实际接收方执行</x:v>
      </x:c>
      <x:c r="E123" s="30" t="str">
        <x:v>依前序真实结果执行</x:v>
      </x:c>
      <x:c r="F123" s="30" t="str">
        <x:v>等待操作反馈后再由Agent决定是否继续</x:v>
      </x:c>
    </x:row>
    <x:row r="124" ht="65" customHeight="1">
      <x:c r="A124" s="30" t="str">
        <x:v>Q023</x:v>
      </x:c>
      <x:c r="B124" s="30" t="n">
        <x:v>4</x:v>
      </x:c>
      <x:c r="C124" s="30" t="str">
        <x:v>A054</x:v>
      </x:c>
      <x:c r="D124" s="30" t="str">
        <x:v>当前承担Agent/其本地工具；跨节点操作需实际接收方执行</x:v>
      </x:c>
      <x:c r="E124" s="30" t="str">
        <x:v>依前序真实结果执行</x:v>
      </x:c>
      <x:c r="F124" s="30" t="str">
        <x:v>等待操作反馈后再由Agent决定是否继续</x:v>
      </x:c>
    </x:row>
    <x:row r="125" ht="65" customHeight="1">
      <x:c r="A125" s="30" t="str">
        <x:v>Q023</x:v>
      </x:c>
      <x:c r="B125" s="30" t="n">
        <x:v>5</x:v>
      </x:c>
      <x:c r="C125" s="30" t="str">
        <x:v>A036</x:v>
      </x:c>
      <x:c r="D125" s="30" t="str">
        <x:v>当前承担Agent/其本地工具；跨节点操作需实际接收方执行</x:v>
      </x:c>
      <x:c r="E125" s="30" t="str">
        <x:v>依前序真实结果执行</x:v>
      </x:c>
      <x:c r="F125" s="30" t="str">
        <x:v>工程主体完成清运，真实残骸/道路状态改变</x:v>
      </x:c>
    </x:row>
    <x:row r="126" ht="65" customHeight="1">
      <x:c r="A126" s="30" t="str">
        <x:v>Q024</x:v>
      </x:c>
      <x:c r="B126" s="30" t="n">
        <x:v>1</x:v>
      </x:c>
      <x:c r="C126" s="30" t="str">
        <x:v>A059</x:v>
      </x:c>
      <x:c r="D126" s="30" t="str">
        <x:v>当前承担Agent/其本地工具；跨节点操作需实际接收方执行</x:v>
      </x:c>
      <x:c r="E126" s="30" t="str">
        <x:v>依前序真实结果执行</x:v>
      </x:c>
      <x:c r="F126" s="30" t="str">
        <x:v>等待操作反馈后再由Agent决定是否继续</x:v>
      </x:c>
    </x:row>
    <x:row r="127" ht="65" customHeight="1">
      <x:c r="A127" s="30" t="str">
        <x:v>Q024</x:v>
      </x:c>
      <x:c r="B127" s="30" t="n">
        <x:v>2</x:v>
      </x:c>
      <x:c r="C127" s="30" t="str">
        <x:v>A014</x:v>
      </x:c>
      <x:c r="D127" s="30" t="str">
        <x:v>具备对应设备的专业/外部执行主体</x:v>
      </x:c>
      <x:c r="E127" s="30" t="str">
        <x:v>依前序真实结果执行</x:v>
      </x:c>
      <x:c r="F127" s="30" t="str">
        <x:v>等待操作反馈后再由Agent决定是否继续</x:v>
      </x:c>
    </x:row>
    <x:row r="128" ht="65" customHeight="1">
      <x:c r="A128" s="30" t="str">
        <x:v>Q024</x:v>
      </x:c>
      <x:c r="B128" s="30" t="n">
        <x:v>3</x:v>
      </x:c>
      <x:c r="C128" s="30" t="str">
        <x:v>A011</x:v>
      </x:c>
      <x:c r="D128" s="30" t="str">
        <x:v>当前承担Agent/其本地工具；跨节点操作需实际接收方执行</x:v>
      </x:c>
      <x:c r="E128" s="30" t="str">
        <x:v>依前序真实结果执行</x:v>
      </x:c>
      <x:c r="F128" s="30" t="str">
        <x:v>等待操作反馈后再由Agent决定是否继续</x:v>
      </x:c>
    </x:row>
    <x:row r="129" ht="65" customHeight="1">
      <x:c r="A129" s="30" t="str">
        <x:v>Q024</x:v>
      </x:c>
      <x:c r="B129" s="30" t="n">
        <x:v>4</x:v>
      </x:c>
      <x:c r="C129" s="30" t="str">
        <x:v>A054</x:v>
      </x:c>
      <x:c r="D129" s="30" t="str">
        <x:v>当前承担Agent/其本地工具；跨节点操作需实际接收方执行</x:v>
      </x:c>
      <x:c r="E129" s="30" t="str">
        <x:v>依前序真实结果执行</x:v>
      </x:c>
      <x:c r="F129" s="30" t="str">
        <x:v>获得可用入口/缺口，保持安全与结构限制</x:v>
      </x:c>
    </x:row>
    <x:row r="130" ht="65" customHeight="1">
      <x:c r="A130" s="30" t="str">
        <x:v>Q025</x:v>
      </x:c>
      <x:c r="B130" s="30" t="n">
        <x:v>1</x:v>
      </x:c>
      <x:c r="C130" s="30" t="str">
        <x:v>A059</x:v>
      </x:c>
      <x:c r="D130" s="30" t="str">
        <x:v>当前承担Agent/其本地工具；跨节点操作需实际接收方执行</x:v>
      </x:c>
      <x:c r="E130" s="30" t="str">
        <x:v>依前序真实结果执行</x:v>
      </x:c>
      <x:c r="F130" s="30" t="str">
        <x:v>等待操作反馈后再由Agent决定是否继续</x:v>
      </x:c>
    </x:row>
    <x:row r="131" ht="65" customHeight="1">
      <x:c r="A131" s="30" t="str">
        <x:v>Q025</x:v>
      </x:c>
      <x:c r="B131" s="30" t="n">
        <x:v>2</x:v>
      </x:c>
      <x:c r="C131" s="30" t="str">
        <x:v>A015</x:v>
      </x:c>
      <x:c r="D131" s="30" t="str">
        <x:v>具备对应设备的专业/外部执行主体</x:v>
      </x:c>
      <x:c r="E131" s="30" t="str">
        <x:v>依前序真实结果执行</x:v>
      </x:c>
      <x:c r="F131" s="30" t="str">
        <x:v>等待操作反馈后再由Agent决定是否继续</x:v>
      </x:c>
    </x:row>
    <x:row r="132" ht="65" customHeight="1">
      <x:c r="A132" s="30" t="str">
        <x:v>Q025</x:v>
      </x:c>
      <x:c r="B132" s="30" t="n">
        <x:v>3</x:v>
      </x:c>
      <x:c r="C132" s="30" t="str">
        <x:v>A054</x:v>
      </x:c>
      <x:c r="D132" s="30" t="str">
        <x:v>当前承担Agent/其本地工具；跨节点操作需实际接收方执行</x:v>
      </x:c>
      <x:c r="E132" s="30" t="str">
        <x:v>依前序真实结果执行</x:v>
      </x:c>
      <x:c r="F132" s="30" t="str">
        <x:v>等待操作反馈后再由Agent决定是否继续</x:v>
      </x:c>
    </x:row>
    <x:row r="133" ht="65" customHeight="1">
      <x:c r="A133" s="30" t="str">
        <x:v>Q025</x:v>
      </x:c>
      <x:c r="B133" s="30" t="n">
        <x:v>4</x:v>
      </x:c>
      <x:c r="C133" s="30" t="str">
        <x:v>A036</x:v>
      </x:c>
      <x:c r="D133" s="30" t="str">
        <x:v>当前承担Agent/其本地工具；跨节点操作需实际接收方执行</x:v>
      </x:c>
      <x:c r="E133" s="30" t="str">
        <x:v>依前序真实结果执行</x:v>
      </x:c>
      <x:c r="F133" s="30" t="str">
        <x:v>登记实际支撑区域/剩余危险，不宣称全楼安全</x:v>
      </x:c>
    </x:row>
    <x:row r="134" ht="65" customHeight="1">
      <x:c r="A134" s="30" t="str">
        <x:v>Q026</x:v>
      </x:c>
      <x:c r="B134" s="30" t="n">
        <x:v>1</x:v>
      </x:c>
      <x:c r="C134" s="30" t="str">
        <x:v>A059</x:v>
      </x:c>
      <x:c r="D134" s="30" t="str">
        <x:v>当前承担Agent/其本地工具；跨节点操作需实际接收方执行</x:v>
      </x:c>
      <x:c r="E134" s="30" t="str">
        <x:v>依前序真实结果执行</x:v>
      </x:c>
      <x:c r="F134" s="30" t="str">
        <x:v>等待操作反馈后再由Agent决定是否继续</x:v>
      </x:c>
    </x:row>
    <x:row r="135" ht="65" customHeight="1">
      <x:c r="A135" s="30" t="str">
        <x:v>Q026</x:v>
      </x:c>
      <x:c r="B135" s="30" t="n">
        <x:v>2</x:v>
      </x:c>
      <x:c r="C135" s="30" t="str">
        <x:v>A016</x:v>
      </x:c>
      <x:c r="D135" s="30" t="str">
        <x:v>具备对应设备的专业/外部执行主体</x:v>
      </x:c>
      <x:c r="E135" s="30" t="str">
        <x:v>依前序真实结果执行</x:v>
      </x:c>
      <x:c r="F135" s="30" t="str">
        <x:v>等待操作反馈后再由Agent决定是否继续</x:v>
      </x:c>
    </x:row>
    <x:row r="136" ht="65" customHeight="1">
      <x:c r="A136" s="30" t="str">
        <x:v>Q026</x:v>
      </x:c>
      <x:c r="B136" s="30" t="n">
        <x:v>3</x:v>
      </x:c>
      <x:c r="C136" s="30" t="str">
        <x:v>A011</x:v>
      </x:c>
      <x:c r="D136" s="30" t="str">
        <x:v>当前承担Agent/其本地工具；跨节点操作需实际接收方执行</x:v>
      </x:c>
      <x:c r="E136" s="30" t="str">
        <x:v>依前序真实结果执行</x:v>
      </x:c>
      <x:c r="F136" s="30" t="str">
        <x:v>等待操作反馈后再由Agent决定是否继续</x:v>
      </x:c>
    </x:row>
    <x:row r="137" ht="65" customHeight="1">
      <x:c r="A137" s="30" t="str">
        <x:v>Q026</x:v>
      </x:c>
      <x:c r="B137" s="30" t="n">
        <x:v>4</x:v>
      </x:c>
      <x:c r="C137" s="30" t="str">
        <x:v>A054</x:v>
      </x:c>
      <x:c r="D137" s="30" t="str">
        <x:v>当前承担Agent/其本地工具；跨节点操作需实际接收方执行</x:v>
      </x:c>
      <x:c r="E137" s="30" t="str">
        <x:v>依前序真实结果执行</x:v>
      </x:c>
      <x:c r="F137" s="30" t="str">
        <x:v>大障碍移置到合法区域，净空/遮挡重新计算</x:v>
      </x:c>
    </x:row>
    <x:row r="138" ht="65" customHeight="1">
      <x:c r="A138" s="30" t="str">
        <x:v>Q027</x:v>
      </x:c>
      <x:c r="B138" s="30" t="n">
        <x:v>1</x:v>
      </x:c>
      <x:c r="C138" s="30" t="str">
        <x:v>A001 OR A002</x:v>
      </x:c>
      <x:c r="D138" s="30" t="str">
        <x:v>当前承担Agent/其本地工具；跨节点操作需实际接收方执行</x:v>
      </x:c>
      <x:c r="E138" s="30" t="str">
        <x:v>按条件选择其中一项；不是全部执行</x:v>
      </x:c>
      <x:c r="F138" s="30" t="str">
        <x:v>等待操作反馈后再由Agent决定是否继续</x:v>
      </x:c>
    </x:row>
    <x:row r="139" ht="65" customHeight="1">
      <x:c r="A139" s="30" t="str">
        <x:v>Q027</x:v>
      </x:c>
      <x:c r="B139" s="30" t="n">
        <x:v>2</x:v>
      </x:c>
      <x:c r="C139" s="30" t="str">
        <x:v>A009</x:v>
      </x:c>
      <x:c r="D139" s="30" t="str">
        <x:v>当前承担Agent/其本地工具；跨节点操作需实际接收方执行</x:v>
      </x:c>
      <x:c r="E139" s="30" t="str">
        <x:v>依前序真实结果执行</x:v>
      </x:c>
      <x:c r="F139" s="30" t="str">
        <x:v>等待操作反馈后再由Agent决定是否继续</x:v>
      </x:c>
    </x:row>
    <x:row r="140" ht="65" customHeight="1">
      <x:c r="A140" s="30" t="str">
        <x:v>Q027</x:v>
      </x:c>
      <x:c r="B140" s="30" t="n">
        <x:v>3</x:v>
      </x:c>
      <x:c r="C140" s="30" t="str">
        <x:v>A041</x:v>
      </x:c>
      <x:c r="D140" s="30" t="str">
        <x:v>当前承担Agent/其本地工具；跨节点操作需实际接收方执行</x:v>
      </x:c>
      <x:c r="E140" s="30" t="str">
        <x:v>依前序真实结果执行</x:v>
      </x:c>
      <x:c r="F140" s="30" t="str">
        <x:v>等待操作反馈后再由Agent决定是否继续</x:v>
      </x:c>
    </x:row>
    <x:row r="141" ht="65" customHeight="1">
      <x:c r="A141" s="30" t="str">
        <x:v>Q027</x:v>
      </x:c>
      <x:c r="B141" s="30" t="n">
        <x:v>4</x:v>
      </x:c>
      <x:c r="C141" s="30" t="str">
        <x:v>A036</x:v>
      </x:c>
      <x:c r="D141" s="30" t="str">
        <x:v>当前承担Agent/其本地工具；跨节点操作需实际接收方执行</x:v>
      </x:c>
      <x:c r="E141" s="30" t="str">
        <x:v>依前序真实结果执行</x:v>
      </x:c>
      <x:c r="F141" s="30" t="str">
        <x:v>获有效人员响应/需求；无响应留unknown</x:v>
      </x:c>
    </x:row>
    <x:row r="142" ht="65" customHeight="1">
      <x:c r="A142" s="30" t="str">
        <x:v>Q028</x:v>
      </x:c>
      <x:c r="B142" s="30" t="n">
        <x:v>1</x:v>
      </x:c>
      <x:c r="C142" s="30" t="str">
        <x:v>A009</x:v>
      </x:c>
      <x:c r="D142" s="30" t="str">
        <x:v>当前承担Agent/其本地工具；跨节点操作需实际接收方执行</x:v>
      </x:c>
      <x:c r="E142" s="30" t="str">
        <x:v>依前序真实结果执行</x:v>
      </x:c>
      <x:c r="F142" s="30" t="str">
        <x:v>等待操作反馈后再由Agent决定是否继续</x:v>
      </x:c>
    </x:row>
    <x:row r="143" ht="65" customHeight="1">
      <x:c r="A143" s="30" t="str">
        <x:v>Q028</x:v>
      </x:c>
      <x:c r="B143" s="30" t="n">
        <x:v>2</x:v>
      </x:c>
      <x:c r="C143" s="30" t="str">
        <x:v>A002</x:v>
      </x:c>
      <x:c r="D143" s="30" t="str">
        <x:v>当前承担Agent/其本地工具；跨节点操作需实际接收方执行</x:v>
      </x:c>
      <x:c r="E143" s="30" t="str">
        <x:v>依前序真实结果执行</x:v>
      </x:c>
      <x:c r="F143" s="30" t="str">
        <x:v>等待操作反馈后再由Agent决定是否继续</x:v>
      </x:c>
    </x:row>
    <x:row r="144" ht="65" customHeight="1">
      <x:c r="A144" s="30" t="str">
        <x:v>Q028</x:v>
      </x:c>
      <x:c r="B144" s="30" t="n">
        <x:v>3</x:v>
      </x:c>
      <x:c r="C144" s="30" t="str">
        <x:v>A054</x:v>
      </x:c>
      <x:c r="D144" s="30" t="str">
        <x:v>当前承担Agent/其本地工具；跨节点操作需实际接收方执行</x:v>
      </x:c>
      <x:c r="E144" s="30" t="str">
        <x:v>依前序真实结果执行</x:v>
      </x:c>
      <x:c r="F144" s="30" t="str">
        <x:v>等待操作反馈后再由Agent决定是否继续</x:v>
      </x:c>
    </x:row>
    <x:row r="145" ht="65" customHeight="1">
      <x:c r="A145" s="30" t="str">
        <x:v>Q028</x:v>
      </x:c>
      <x:c r="B145" s="30" t="n">
        <x:v>4</x:v>
      </x:c>
      <x:c r="C145" s="30" t="str">
        <x:v>A036</x:v>
      </x:c>
      <x:c r="D145" s="30" t="str">
        <x:v>当前承担Agent/其本地工具；跨节点操作需实际接收方执行</x:v>
      </x:c>
      <x:c r="E145" s="30" t="str">
        <x:v>依前序真实结果执行</x:v>
      </x:c>
      <x:c r="F145" s="30" t="str">
        <x:v>观察/确认人员响应和安全去向，不以播报即完成</x:v>
      </x:c>
    </x:row>
    <x:row r="146" ht="65" customHeight="1">
      <x:c r="A146" s="30" t="str">
        <x:v>Q029</x:v>
      </x:c>
      <x:c r="B146" s="30" t="n">
        <x:v>1</x:v>
      </x:c>
      <x:c r="C146" s="30" t="str">
        <x:v>A059</x:v>
      </x:c>
      <x:c r="D146" s="30" t="str">
        <x:v>当前承担Agent/其本地工具；跨节点操作需实际接收方执行</x:v>
      </x:c>
      <x:c r="E146" s="30" t="str">
        <x:v>依前序真实结果执行</x:v>
      </x:c>
      <x:c r="F146" s="30" t="str">
        <x:v>等待操作反馈后再由Agent决定是否继续</x:v>
      </x:c>
    </x:row>
    <x:row r="147" ht="65" customHeight="1">
      <x:c r="A147" s="30" t="str">
        <x:v>Q029</x:v>
      </x:c>
      <x:c r="B147" s="30" t="n">
        <x:v>2</x:v>
      </x:c>
      <x:c r="C147" s="30" t="str">
        <x:v>A018</x:v>
      </x:c>
      <x:c r="D147" s="30" t="str">
        <x:v>具备对应设备的专业/外部执行主体</x:v>
      </x:c>
      <x:c r="E147" s="30" t="str">
        <x:v>依前序真实结果执行</x:v>
      </x:c>
      <x:c r="F147" s="30" t="str">
        <x:v>等待操作反馈后再由Agent决定是否继续</x:v>
      </x:c>
    </x:row>
    <x:row r="148" ht="65" customHeight="1">
      <x:c r="A148" s="30" t="str">
        <x:v>Q029</x:v>
      </x:c>
      <x:c r="B148" s="30" t="n">
        <x:v>3</x:v>
      </x:c>
      <x:c r="C148" s="30" t="str">
        <x:v>A036</x:v>
      </x:c>
      <x:c r="D148" s="30" t="str">
        <x:v>当前承担Agent/其本地工具；跨节点操作需实际接收方执行</x:v>
      </x:c>
      <x:c r="E148" s="30" t="str">
        <x:v>依前序真实结果执行</x:v>
      </x:c>
      <x:c r="F148" s="30" t="str">
        <x:v>等待操作反馈后再由Agent决定是否继续</x:v>
      </x:c>
    </x:row>
    <x:row r="149" ht="65" customHeight="1">
      <x:c r="A149" s="30" t="str">
        <x:v>Q029</x:v>
      </x:c>
      <x:c r="B149" s="30" t="n">
        <x:v>4</x:v>
      </x:c>
      <x:c r="C149" s="30" t="str">
        <x:v>A054</x:v>
      </x:c>
      <x:c r="D149" s="30" t="str">
        <x:v>当前承担Agent/其本地工具；跨节点操作需实际接收方执行</x:v>
      </x:c>
      <x:c r="E149" s="30" t="str">
        <x:v>依前序真实结果执行</x:v>
      </x:c>
      <x:c r="F149" s="30" t="str">
        <x:v>授权服务形成评估记录；区分模型化与实测</x:v>
      </x:c>
    </x:row>
    <x:row r="150" ht="65" customHeight="1">
      <x:c r="A150" s="30" t="str">
        <x:v>Q030</x:v>
      </x:c>
      <x:c r="B150" s="30" t="n">
        <x:v>1</x:v>
      </x:c>
      <x:c r="C150" s="30" t="str">
        <x:v>A024</x:v>
      </x:c>
      <x:c r="D150" s="30" t="str">
        <x:v>当前承担Agent/其本地工具；跨节点操作需实际接收方执行</x:v>
      </x:c>
      <x:c r="E150" s="30" t="str">
        <x:v>依前序真实结果执行</x:v>
      </x:c>
      <x:c r="F150" s="30" t="str">
        <x:v>等待操作反馈后再由Agent决定是否继续</x:v>
      </x:c>
    </x:row>
    <x:row r="151" ht="65" customHeight="1">
      <x:c r="A151" s="30" t="str">
        <x:v>Q030</x:v>
      </x:c>
      <x:c r="B151" s="30" t="n">
        <x:v>2</x:v>
      </x:c>
      <x:c r="C151" s="30" t="str">
        <x:v>A001 OR A002</x:v>
      </x:c>
      <x:c r="D151" s="30" t="str">
        <x:v>当前承担Agent/其本地工具；跨节点操作需实际接收方执行</x:v>
      </x:c>
      <x:c r="E151" s="30" t="str">
        <x:v>按条件选择其中一项；不是全部执行</x:v>
      </x:c>
      <x:c r="F151" s="30" t="str">
        <x:v>等待操作反馈后再由Agent决定是否继续</x:v>
      </x:c>
    </x:row>
    <x:row r="152" ht="65" customHeight="1">
      <x:c r="A152" s="30" t="str">
        <x:v>Q030</x:v>
      </x:c>
      <x:c r="B152" s="30" t="n">
        <x:v>3</x:v>
      </x:c>
      <x:c r="C152" s="30" t="str">
        <x:v>A025 OR A026</x:v>
      </x:c>
      <x:c r="D152" s="30" t="str">
        <x:v>当前承担Agent/其本地工具；跨节点操作需实际接收方执行</x:v>
      </x:c>
      <x:c r="E152" s="30" t="str">
        <x:v>按条件选择其中一项；不是全部执行</x:v>
      </x:c>
      <x:c r="F152" s="30" t="str">
        <x:v>等待操作反馈后再由Agent决定是否继续</x:v>
      </x:c>
    </x:row>
    <x:row r="153" ht="65" customHeight="1">
      <x:c r="A153" s="30" t="str">
        <x:v>Q030</x:v>
      </x:c>
      <x:c r="B153" s="30" t="n">
        <x:v>4</x:v>
      </x:c>
      <x:c r="C153" s="30" t="str">
        <x:v>A027</x:v>
      </x:c>
      <x:c r="D153" s="30" t="str">
        <x:v>当前承担Agent/其本地工具；跨节点操作需实际接收方执行</x:v>
      </x:c>
      <x:c r="E153" s="30" t="str">
        <x:v>依前序真实结果执行</x:v>
      </x:c>
      <x:c r="F153" s="30" t="str">
        <x:v>等待操作反馈后再由Agent决定是否继续</x:v>
      </x:c>
    </x:row>
    <x:row r="154" ht="65" customHeight="1">
      <x:c r="A154" s="30" t="str">
        <x:v>Q030</x:v>
      </x:c>
      <x:c r="B154" s="30" t="n">
        <x:v>5</x:v>
      </x:c>
      <x:c r="C154" s="30" t="str">
        <x:v>A036</x:v>
      </x:c>
      <x:c r="D154" s="30" t="str">
        <x:v>当前承担Agent/其本地工具；跨节点操作需实际接收方执行</x:v>
      </x:c>
      <x:c r="E154" s="30" t="str">
        <x:v>依前序真实结果执行</x:v>
      </x:c>
      <x:c r="F154" s="30" t="str">
        <x:v>匹配需求的物资实际领取/签收，不自动治愈</x:v>
      </x:c>
    </x:row>
    <x:row r="155" ht="65" customHeight="1">
      <x:c r="A155" s="30" t="str">
        <x:v>Q031</x:v>
      </x:c>
      <x:c r="B155" s="30" t="n">
        <x:v>1</x:v>
      </x:c>
      <x:c r="C155" s="30" t="str">
        <x:v>A059</x:v>
      </x:c>
      <x:c r="D155" s="30" t="str">
        <x:v>当前承担Agent/其本地工具；跨节点操作需实际接收方执行</x:v>
      </x:c>
      <x:c r="E155" s="30" t="str">
        <x:v>依前序真实结果执行</x:v>
      </x:c>
      <x:c r="F155" s="30" t="str">
        <x:v>等待操作反馈后再由Agent决定是否继续</x:v>
      </x:c>
    </x:row>
    <x:row r="156" ht="65" customHeight="1">
      <x:c r="A156" s="30" t="str">
        <x:v>Q031</x:v>
      </x:c>
      <x:c r="B156" s="30" t="n">
        <x:v>2</x:v>
      </x:c>
      <x:c r="C156" s="30" t="str">
        <x:v>A018</x:v>
      </x:c>
      <x:c r="D156" s="30" t="str">
        <x:v>具备对应设备的专业/外部执行主体</x:v>
      </x:c>
      <x:c r="E156" s="30" t="str">
        <x:v>依前序真实结果执行</x:v>
      </x:c>
      <x:c r="F156" s="30" t="str">
        <x:v>等待操作反馈后再由Agent决定是否继续</x:v>
      </x:c>
    </x:row>
    <x:row r="157" ht="65" customHeight="1">
      <x:c r="A157" s="30" t="str">
        <x:v>Q031</x:v>
      </x:c>
      <x:c r="B157" s="30" t="n">
        <x:v>3</x:v>
      </x:c>
      <x:c r="C157" s="30" t="str">
        <x:v>A019</x:v>
      </x:c>
      <x:c r="D157" s="30" t="str">
        <x:v>具备对应设备的专业/外部执行主体</x:v>
      </x:c>
      <x:c r="E157" s="30" t="str">
        <x:v>依前序真实结果执行</x:v>
      </x:c>
      <x:c r="F157" s="30" t="str">
        <x:v>等待操作反馈后再由Agent决定是否继续</x:v>
      </x:c>
    </x:row>
    <x:row r="158" ht="65" customHeight="1">
      <x:c r="A158" s="30" t="str">
        <x:v>Q031</x:v>
      </x:c>
      <x:c r="B158" s="30" t="n">
        <x:v>4</x:v>
      </x:c>
      <x:c r="C158" s="30" t="str">
        <x:v>A054</x:v>
      </x:c>
      <x:c r="D158" s="30" t="str">
        <x:v>当前承担Agent/其本地工具；跨节点操作需实际接收方执行</x:v>
      </x:c>
      <x:c r="E158" s="30" t="str">
        <x:v>依前序真实结果执行</x:v>
      </x:c>
      <x:c r="F158" s="30" t="str">
        <x:v>等待操作反馈后再由Agent决定是否继续</x:v>
      </x:c>
    </x:row>
    <x:row r="159" ht="65" customHeight="1">
      <x:c r="A159" s="30" t="str">
        <x:v>Q031</x:v>
      </x:c>
      <x:c r="B159" s="30" t="n">
        <x:v>5</x:v>
      </x:c>
      <x:c r="C159" s="30" t="str">
        <x:v>A036</x:v>
      </x:c>
      <x:c r="D159" s="30" t="str">
        <x:v>当前承担Agent/其本地工具；跨节点操作需实际接收方执行</x:v>
      </x:c>
      <x:c r="E159" s="30" t="str">
        <x:v>依前序真实结果执行</x:v>
      </x:c>
      <x:c r="F159" s="30" t="str">
        <x:v>消耗适用耗材并获得专业服务结果</x:v>
      </x:c>
    </x:row>
    <x:row r="160" ht="65" customHeight="1">
      <x:c r="A160" s="30" t="str">
        <x:v>Q032</x:v>
      </x:c>
      <x:c r="B160" s="30" t="n">
        <x:v>1</x:v>
      </x:c>
      <x:c r="C160" s="30" t="str">
        <x:v>A059</x:v>
      </x:c>
      <x:c r="D160" s="30" t="str">
        <x:v>当前承担Agent/其本地工具；跨节点操作需实际接收方执行</x:v>
      </x:c>
      <x:c r="E160" s="30" t="str">
        <x:v>依前序真实结果执行</x:v>
      </x:c>
      <x:c r="F160" s="30" t="str">
        <x:v>等待操作反馈后再由Agent决定是否继续</x:v>
      </x:c>
    </x:row>
    <x:row r="161" ht="65" customHeight="1">
      <x:c r="A161" s="30" t="str">
        <x:v>Q032</x:v>
      </x:c>
      <x:c r="B161" s="30" t="n">
        <x:v>2</x:v>
      </x:c>
      <x:c r="C161" s="30" t="str">
        <x:v>A015 OR A016 OR A014</x:v>
      </x:c>
      <x:c r="D161" s="30" t="str">
        <x:v>具备对应设备的专业/外部执行主体</x:v>
      </x:c>
      <x:c r="E161" s="30" t="str">
        <x:v>按条件选择其中一项；不是全部执行</x:v>
      </x:c>
      <x:c r="F161" s="30" t="str">
        <x:v>等待操作反馈后再由Agent决定是否继续</x:v>
      </x:c>
    </x:row>
    <x:row r="162" ht="65" customHeight="1">
      <x:c r="A162" s="30" t="str">
        <x:v>Q032</x:v>
      </x:c>
      <x:c r="B162" s="30" t="n">
        <x:v>3</x:v>
      </x:c>
      <x:c r="C162" s="30" t="str">
        <x:v>A017</x:v>
      </x:c>
      <x:c r="D162" s="30" t="str">
        <x:v>具备对应设备的专业/外部执行主体</x:v>
      </x:c>
      <x:c r="E162" s="30" t="str">
        <x:v>依前序真实结果执行</x:v>
      </x:c>
      <x:c r="F162" s="30" t="str">
        <x:v>等待操作反馈后再由Agent决定是否继续</x:v>
      </x:c>
    </x:row>
    <x:row r="163" ht="65" customHeight="1">
      <x:c r="A163" s="30" t="str">
        <x:v>Q032</x:v>
      </x:c>
      <x:c r="B163" s="30" t="n">
        <x:v>4</x:v>
      </x:c>
      <x:c r="C163" s="30" t="str">
        <x:v>A054</x:v>
      </x:c>
      <x:c r="D163" s="30" t="str">
        <x:v>当前承担Agent/其本地工具；跨节点操作需实际接收方执行</x:v>
      </x:c>
      <x:c r="E163" s="30" t="str">
        <x:v>依前序真实结果执行</x:v>
      </x:c>
      <x:c r="F163" s="30" t="str">
        <x:v>受困条件被真实解除，保留转运/医疗需求</x:v>
      </x:c>
    </x:row>
    <x:row r="164" ht="65" customHeight="1">
      <x:c r="A164" s="30" t="str">
        <x:v>Q033</x:v>
      </x:c>
      <x:c r="B164" s="30" t="n">
        <x:v>1</x:v>
      </x:c>
      <x:c r="C164" s="30" t="str">
        <x:v>A020</x:v>
      </x:c>
      <x:c r="D164" s="30" t="str">
        <x:v>具备对应设备的专业/外部执行主体</x:v>
      </x:c>
      <x:c r="E164" s="30" t="str">
        <x:v>依前序真实结果执行</x:v>
      </x:c>
      <x:c r="F164" s="30" t="str">
        <x:v>等待操作反馈后再由Agent决定是否继续</x:v>
      </x:c>
    </x:row>
    <x:row r="165" ht="65" customHeight="1">
      <x:c r="A165" s="30" t="str">
        <x:v>Q033</x:v>
      </x:c>
      <x:c r="B165" s="30" t="n">
        <x:v>2</x:v>
      </x:c>
      <x:c r="C165" s="30" t="str">
        <x:v>A054</x:v>
      </x:c>
      <x:c r="D165" s="30" t="str">
        <x:v>当前承担Agent/其本地工具；跨节点操作需实际接收方执行</x:v>
      </x:c>
      <x:c r="E165" s="30" t="str">
        <x:v>依前序真实结果执行</x:v>
      </x:c>
      <x:c r="F165" s="30" t="str">
        <x:v>人员实际附着合格载具并计入承载</x:v>
      </x:c>
    </x:row>
    <x:row r="166" ht="65" customHeight="1">
      <x:c r="A166" s="30" t="str">
        <x:v>Q034</x:v>
      </x:c>
      <x:c r="B166" s="30" t="n">
        <x:v>1</x:v>
      </x:c>
      <x:c r="C166" s="30" t="str">
        <x:v>A020</x:v>
      </x:c>
      <x:c r="D166" s="30" t="str">
        <x:v>具备对应设备的专业/外部执行主体</x:v>
      </x:c>
      <x:c r="E166" s="30" t="str">
        <x:v>依前序真实结果执行</x:v>
      </x:c>
      <x:c r="F166" s="30" t="str">
        <x:v>等待操作反馈后再由Agent决定是否继续</x:v>
      </x:c>
    </x:row>
    <x:row r="167" ht="65" customHeight="1">
      <x:c r="A167" s="30" t="str">
        <x:v>Q034</x:v>
      </x:c>
      <x:c r="B167" s="30" t="n">
        <x:v>2</x:v>
      </x:c>
      <x:c r="C167" s="30" t="str">
        <x:v>A021</x:v>
      </x:c>
      <x:c r="D167" s="30" t="str">
        <x:v>具备对应设备的专业/外部执行主体</x:v>
      </x:c>
      <x:c r="E167" s="30" t="str">
        <x:v>依前序真实结果执行</x:v>
      </x:c>
      <x:c r="F167" s="30" t="str">
        <x:v>等待操作反馈后再由Agent决定是否继续</x:v>
      </x:c>
    </x:row>
    <x:row r="168" ht="65" customHeight="1">
      <x:c r="A168" s="30" t="str">
        <x:v>Q034</x:v>
      </x:c>
      <x:c r="B168" s="30" t="n">
        <x:v>3</x:v>
      </x:c>
      <x:c r="C168" s="30" t="str">
        <x:v>A054</x:v>
      </x:c>
      <x:c r="D168" s="30" t="str">
        <x:v>当前承担Agent/其本地工具；跨节点操作需实际接收方执行</x:v>
      </x:c>
      <x:c r="E168" s="30" t="str">
        <x:v>依前序真实结果执行</x:v>
      </x:c>
      <x:c r="F168" s="30" t="str">
        <x:v>人员到达兼容接收点，未签收不算最终移交</x:v>
      </x:c>
    </x:row>
    <x:row r="169" ht="65" customHeight="1">
      <x:c r="A169" s="30" t="str">
        <x:v>Q035</x:v>
      </x:c>
      <x:c r="B169" s="30" t="n">
        <x:v>1</x:v>
      </x:c>
      <x:c r="C169" s="30" t="str">
        <x:v>A021</x:v>
      </x:c>
      <x:c r="D169" s="30" t="str">
        <x:v>具备对应设备的专业/外部执行主体</x:v>
      </x:c>
      <x:c r="E169" s="30" t="str">
        <x:v>依前序真实结果执行</x:v>
      </x:c>
      <x:c r="F169" s="30" t="str">
        <x:v>等待操作反馈后再由Agent决定是否继续</x:v>
      </x:c>
    </x:row>
    <x:row r="170" ht="65" customHeight="1">
      <x:c r="A170" s="30" t="str">
        <x:v>Q035</x:v>
      </x:c>
      <x:c r="B170" s="30" t="n">
        <x:v>2</x:v>
      </x:c>
      <x:c r="C170" s="30" t="str">
        <x:v>A022</x:v>
      </x:c>
      <x:c r="D170" s="30" t="str">
        <x:v>具备对应设备的专业/外部执行主体</x:v>
      </x:c>
      <x:c r="E170" s="30" t="str">
        <x:v>依前序真实结果执行</x:v>
      </x:c>
      <x:c r="F170" s="30" t="str">
        <x:v>等待操作反馈后再由Agent决定是否继续</x:v>
      </x:c>
    </x:row>
    <x:row r="171" ht="65" customHeight="1">
      <x:c r="A171" s="30" t="str">
        <x:v>Q035</x:v>
      </x:c>
      <x:c r="B171" s="30" t="n">
        <x:v>3</x:v>
      </x:c>
      <x:c r="C171" s="30" t="str">
        <x:v>A036</x:v>
      </x:c>
      <x:c r="D171" s="30" t="str">
        <x:v>当前承担Agent/其本地工具；跨节点操作需实际接收方执行</x:v>
      </x:c>
      <x:c r="E171" s="30" t="str">
        <x:v>依前序真实结果执行</x:v>
      </x:c>
      <x:c r="F171" s="30" t="str">
        <x:v>等待操作反馈后再由Agent决定是否继续</x:v>
      </x:c>
    </x:row>
    <x:row r="172" ht="65" customHeight="1">
      <x:c r="A172" s="30" t="str">
        <x:v>Q035</x:v>
      </x:c>
      <x:c r="B172" s="30" t="n">
        <x:v>4</x:v>
      </x:c>
      <x:c r="C172" s="30" t="str">
        <x:v>A054</x:v>
      </x:c>
      <x:c r="D172" s="30" t="str">
        <x:v>当前承担Agent/其本地工具；跨节点操作需实际接收方执行</x:v>
      </x:c>
      <x:c r="E172" s="30" t="str">
        <x:v>依前序真实结果执行</x:v>
      </x:c>
      <x:c r="F172" s="30" t="str">
        <x:v>接收端确认身份/接收且运输占用解除</x:v>
      </x:c>
    </x:row>
    <x:row r="173" ht="65" customHeight="1">
      <x:c r="A173" s="30" t="str">
        <x:v>Q036</x:v>
      </x:c>
      <x:c r="B173" s="30" t="n">
        <x:v>1</x:v>
      </x:c>
      <x:c r="C173" s="30" t="str">
        <x:v>A003</x:v>
      </x:c>
      <x:c r="D173" s="30" t="str">
        <x:v>当前承担Agent/其本地工具；跨节点操作需实际接收方执行</x:v>
      </x:c>
      <x:c r="E173" s="30" t="str">
        <x:v>依前序真实结果执行</x:v>
      </x:c>
      <x:c r="F173" s="30" t="str">
        <x:v>等待操作反馈后再由Agent决定是否继续</x:v>
      </x:c>
    </x:row>
    <x:row r="174" ht="65" customHeight="1">
      <x:c r="A174" s="30" t="str">
        <x:v>Q036</x:v>
      </x:c>
      <x:c r="B174" s="30" t="n">
        <x:v>2</x:v>
      </x:c>
      <x:c r="C174" s="30" t="str">
        <x:v>A023</x:v>
      </x:c>
      <x:c r="D174" s="30" t="str">
        <x:v>具备对应设备的专业/外部执行主体</x:v>
      </x:c>
      <x:c r="E174" s="30" t="str">
        <x:v>依前序真实结果执行</x:v>
      </x:c>
      <x:c r="F174" s="30" t="str">
        <x:v>等待操作反馈后再由Agent决定是否继续</x:v>
      </x:c>
    </x:row>
    <x:row r="175" ht="65" customHeight="1">
      <x:c r="A175" s="30" t="str">
        <x:v>Q036</x:v>
      </x:c>
      <x:c r="B175" s="30" t="n">
        <x:v>3</x:v>
      </x:c>
      <x:c r="C175" s="30" t="str">
        <x:v>A021</x:v>
      </x:c>
      <x:c r="D175" s="30" t="str">
        <x:v>具备对应设备的专业/外部执行主体</x:v>
      </x:c>
      <x:c r="E175" s="30" t="str">
        <x:v>依前序真实结果执行</x:v>
      </x:c>
      <x:c r="F175" s="30" t="str">
        <x:v>等待操作反馈后再由Agent决定是否继续</x:v>
      </x:c>
    </x:row>
    <x:row r="176" ht="65" customHeight="1">
      <x:c r="A176" s="30" t="str">
        <x:v>Q036</x:v>
      </x:c>
      <x:c r="B176" s="30" t="n">
        <x:v>4</x:v>
      </x:c>
      <x:c r="C176" s="30" t="str">
        <x:v>A022</x:v>
      </x:c>
      <x:c r="D176" s="30" t="str">
        <x:v>具备对应设备的专业/外部执行主体</x:v>
      </x:c>
      <x:c r="E176" s="30" t="str">
        <x:v>依前序真实结果执行</x:v>
      </x:c>
      <x:c r="F176" s="30" t="str">
        <x:v>等待操作反馈后再由Agent决定是否继续</x:v>
      </x:c>
    </x:row>
    <x:row r="177" ht="65" customHeight="1">
      <x:c r="A177" s="30" t="str">
        <x:v>Q036</x:v>
      </x:c>
      <x:c r="B177" s="30" t="n">
        <x:v>5</x:v>
      </x:c>
      <x:c r="C177" s="30" t="str">
        <x:v>A036</x:v>
      </x:c>
      <x:c r="D177" s="30" t="str">
        <x:v>当前承担Agent/其本地工具；跨节点操作需实际接收方执行</x:v>
      </x:c>
      <x:c r="E177" s="30" t="str">
        <x:v>依前序真实结果执行</x:v>
      </x:c>
      <x:c r="F177" s="30" t="str">
        <x:v>由具备水域能力者回收与移交</x:v>
      </x:c>
    </x:row>
    <x:row r="178" ht="65" customHeight="1">
      <x:c r="A178" s="30" t="str">
        <x:v>Q037</x:v>
      </x:c>
      <x:c r="B178" s="30" t="n">
        <x:v>1</x:v>
      </x:c>
      <x:c r="C178" s="30" t="str">
        <x:v>A059</x:v>
      </x:c>
      <x:c r="D178" s="30" t="str">
        <x:v>当前承担Agent/其本地工具；跨节点操作需实际接收方执行</x:v>
      </x:c>
      <x:c r="E178" s="30" t="str">
        <x:v>依前序真实结果执行</x:v>
      </x:c>
      <x:c r="F178" s="30" t="str">
        <x:v>等待操作反馈后再由Agent决定是否继续</x:v>
      </x:c>
    </x:row>
    <x:row r="179" ht="65" customHeight="1">
      <x:c r="A179" s="30" t="str">
        <x:v>Q037</x:v>
      </x:c>
      <x:c r="B179" s="30" t="n">
        <x:v>2</x:v>
      </x:c>
      <x:c r="C179" s="30" t="str">
        <x:v>A020</x:v>
      </x:c>
      <x:c r="D179" s="30" t="str">
        <x:v>具备对应设备的专业/外部执行主体</x:v>
      </x:c>
      <x:c r="E179" s="30" t="str">
        <x:v>依前序真实结果执行</x:v>
      </x:c>
      <x:c r="F179" s="30" t="str">
        <x:v>等待操作反馈后再由Agent决定是否继续</x:v>
      </x:c>
    </x:row>
    <x:row r="180" ht="65" customHeight="1">
      <x:c r="A180" s="30" t="str">
        <x:v>Q037</x:v>
      </x:c>
      <x:c r="B180" s="30" t="n">
        <x:v>3</x:v>
      </x:c>
      <x:c r="C180" s="30" t="str">
        <x:v>A021</x:v>
      </x:c>
      <x:c r="D180" s="30" t="str">
        <x:v>具备对应设备的专业/外部执行主体</x:v>
      </x:c>
      <x:c r="E180" s="30" t="str">
        <x:v>依前序真实结果执行</x:v>
      </x:c>
      <x:c r="F180" s="30" t="str">
        <x:v>等待操作反馈后再由Agent决定是否继续</x:v>
      </x:c>
    </x:row>
    <x:row r="181" ht="65" customHeight="1">
      <x:c r="A181" s="30" t="str">
        <x:v>Q037</x:v>
      </x:c>
      <x:c r="B181" s="30" t="n">
        <x:v>4</x:v>
      </x:c>
      <x:c r="C181" s="30" t="str">
        <x:v>A022</x:v>
      </x:c>
      <x:c r="D181" s="30" t="str">
        <x:v>具备对应设备的专业/外部执行主体</x:v>
      </x:c>
      <x:c r="E181" s="30" t="str">
        <x:v>依前序真实结果执行</x:v>
      </x:c>
      <x:c r="F181" s="30" t="str">
        <x:v>等待操作反馈后再由Agent决定是否继续</x:v>
      </x:c>
    </x:row>
    <x:row r="182" ht="65" customHeight="1">
      <x:c r="A182" s="30" t="str">
        <x:v>Q037</x:v>
      </x:c>
      <x:c r="B182" s="30" t="n">
        <x:v>5</x:v>
      </x:c>
      <x:c r="C182" s="30" t="str">
        <x:v>A010</x:v>
      </x:c>
      <x:c r="D182" s="30" t="str">
        <x:v>当前承担Agent/其本地工具；跨节点操作需实际接收方执行</x:v>
      </x:c>
      <x:c r="E182" s="30" t="str">
        <x:v>依前序真实结果执行</x:v>
      </x:c>
      <x:c r="F182" s="30" t="str">
        <x:v>只在明确恢复阶段与授权力量下记录；不计存活救援得分</x:v>
      </x:c>
    </x:row>
    <x:row r="183" ht="65" customHeight="1">
      <x:c r="A183" s="30" t="str">
        <x:v>Q038</x:v>
      </x:c>
      <x:c r="B183" s="30" t="n">
        <x:v>1</x:v>
      </x:c>
      <x:c r="C183" s="30" t="str">
        <x:v>A028</x:v>
      </x:c>
      <x:c r="D183" s="30" t="str">
        <x:v>当前承担Agent/其本地工具；跨节点操作需实际接收方执行</x:v>
      </x:c>
      <x:c r="E183" s="30" t="str">
        <x:v>依前序真实结果执行</x:v>
      </x:c>
      <x:c r="F183" s="30" t="str">
        <x:v>等待操作反馈后再由Agent决定是否继续</x:v>
      </x:c>
    </x:row>
    <x:row r="184" ht="65" customHeight="1">
      <x:c r="A184" s="30" t="str">
        <x:v>Q038</x:v>
      </x:c>
      <x:c r="B184" s="30" t="n">
        <x:v>2</x:v>
      </x:c>
      <x:c r="C184" s="30" t="str">
        <x:v>A024</x:v>
      </x:c>
      <x:c r="D184" s="30" t="str">
        <x:v>当前承担Agent/其本地工具；跨节点操作需实际接收方执行</x:v>
      </x:c>
      <x:c r="E184" s="30" t="str">
        <x:v>依前序真实结果执行</x:v>
      </x:c>
      <x:c r="F184" s="30" t="str">
        <x:v>等待操作反馈后再由Agent决定是否继续</x:v>
      </x:c>
    </x:row>
    <x:row r="185" ht="65" customHeight="1">
      <x:c r="A185" s="30" t="str">
        <x:v>Q038</x:v>
      </x:c>
      <x:c r="B185" s="30" t="n">
        <x:v>3</x:v>
      </x:c>
      <x:c r="C185" s="30" t="str">
        <x:v>A054</x:v>
      </x:c>
      <x:c r="D185" s="30" t="str">
        <x:v>当前承担Agent/其本地工具；跨节点操作需实际接收方执行</x:v>
      </x:c>
      <x:c r="E185" s="30" t="str">
        <x:v>依前序真实结果执行</x:v>
      </x:c>
      <x:c r="F185" s="30" t="str">
        <x:v>指定物资从库存转到平台且容量检查通过</x:v>
      </x:c>
    </x:row>
    <x:row r="186" ht="65" customHeight="1">
      <x:c r="A186" s="30" t="str">
        <x:v>Q039</x:v>
      </x:c>
      <x:c r="B186" s="30" t="n">
        <x:v>1</x:v>
      </x:c>
      <x:c r="C186" s="30" t="str">
        <x:v>A024</x:v>
      </x:c>
      <x:c r="D186" s="30" t="str">
        <x:v>当前承担Agent/其本地工具；跨节点操作需实际接收方执行</x:v>
      </x:c>
      <x:c r="E186" s="30" t="str">
        <x:v>依前序真实结果执行</x:v>
      </x:c>
      <x:c r="F186" s="30" t="str">
        <x:v>等待操作反馈后再由Agent决定是否继续</x:v>
      </x:c>
    </x:row>
    <x:row r="187" ht="65" customHeight="1">
      <x:c r="A187" s="30" t="str">
        <x:v>Q039</x:v>
      </x:c>
      <x:c r="B187" s="30" t="n">
        <x:v>2</x:v>
      </x:c>
      <x:c r="C187" s="30" t="str">
        <x:v>A001</x:v>
      </x:c>
      <x:c r="D187" s="30" t="str">
        <x:v>当前承担Agent/其本地工具；跨节点操作需实际接收方执行</x:v>
      </x:c>
      <x:c r="E187" s="30" t="str">
        <x:v>依前序真实结果执行</x:v>
      </x:c>
      <x:c r="F187" s="30" t="str">
        <x:v>等待操作反馈后再由Agent决定是否继续</x:v>
      </x:c>
    </x:row>
    <x:row r="188" ht="65" customHeight="1">
      <x:c r="A188" s="30" t="str">
        <x:v>Q039</x:v>
      </x:c>
      <x:c r="B188" s="30" t="n">
        <x:v>3</x:v>
      </x:c>
      <x:c r="C188" s="30" t="str">
        <x:v>A025</x:v>
      </x:c>
      <x:c r="D188" s="30" t="str">
        <x:v>当前承担Agent/其本地工具；跨节点操作需实际接收方执行</x:v>
      </x:c>
      <x:c r="E188" s="30" t="str">
        <x:v>依前序真实结果执行</x:v>
      </x:c>
      <x:c r="F188" s="30" t="str">
        <x:v>等待操作反馈后再由Agent决定是否继续</x:v>
      </x:c>
    </x:row>
    <x:row r="189" ht="65" customHeight="1">
      <x:c r="A189" s="30" t="str">
        <x:v>Q039</x:v>
      </x:c>
      <x:c r="B189" s="30" t="n">
        <x:v>4</x:v>
      </x:c>
      <x:c r="C189" s="30" t="str">
        <x:v>A054</x:v>
      </x:c>
      <x:c r="D189" s="30" t="str">
        <x:v>当前承担Agent/其本地工具；跨节点操作需实际接收方执行</x:v>
      </x:c>
      <x:c r="E189" s="30" t="str">
        <x:v>依前序真实结果执行</x:v>
      </x:c>
      <x:c r="F189" s="30" t="str">
        <x:v>真实释放和落点记录；不等于目标领取</x:v>
      </x:c>
    </x:row>
    <x:row r="190" ht="65" customHeight="1">
      <x:c r="A190" s="30" t="str">
        <x:v>Q040</x:v>
      </x:c>
      <x:c r="B190" s="30" t="n">
        <x:v>1</x:v>
      </x:c>
      <x:c r="C190" s="30" t="str">
        <x:v>A024</x:v>
      </x:c>
      <x:c r="D190" s="30" t="str">
        <x:v>当前承担Agent/其本地工具；跨节点操作需实际接收方执行</x:v>
      </x:c>
      <x:c r="E190" s="30" t="str">
        <x:v>依前序真实结果执行</x:v>
      </x:c>
      <x:c r="F190" s="30" t="str">
        <x:v>等待操作反馈后再由Agent决定是否继续</x:v>
      </x:c>
    </x:row>
    <x:row r="191" ht="65" customHeight="1">
      <x:c r="A191" s="30" t="str">
        <x:v>Q040</x:v>
      </x:c>
      <x:c r="B191" s="30" t="n">
        <x:v>2</x:v>
      </x:c>
      <x:c r="C191" s="30" t="str">
        <x:v>A002</x:v>
      </x:c>
      <x:c r="D191" s="30" t="str">
        <x:v>当前承担Agent/其本地工具；跨节点操作需实际接收方执行</x:v>
      </x:c>
      <x:c r="E191" s="30" t="str">
        <x:v>依前序真实结果执行</x:v>
      </x:c>
      <x:c r="F191" s="30" t="str">
        <x:v>等待操作反馈后再由Agent决定是否继续</x:v>
      </x:c>
    </x:row>
    <x:row r="192" ht="65" customHeight="1">
      <x:c r="A192" s="30" t="str">
        <x:v>Q040</x:v>
      </x:c>
      <x:c r="B192" s="30" t="n">
        <x:v>3</x:v>
      </x:c>
      <x:c r="C192" s="30" t="str">
        <x:v>A026</x:v>
      </x:c>
      <x:c r="D192" s="30" t="str">
        <x:v>当前承担Agent/其本地工具；跨节点操作需实际接收方执行</x:v>
      </x:c>
      <x:c r="E192" s="30" t="str">
        <x:v>依前序真实结果执行</x:v>
      </x:c>
      <x:c r="F192" s="30" t="str">
        <x:v>等待操作反馈后再由Agent决定是否继续</x:v>
      </x:c>
    </x:row>
    <x:row r="193" ht="65" customHeight="1">
      <x:c r="A193" s="30" t="str">
        <x:v>Q040</x:v>
      </x:c>
      <x:c r="B193" s="30" t="n">
        <x:v>4</x:v>
      </x:c>
      <x:c r="C193" s="30" t="str">
        <x:v>A054</x:v>
      </x:c>
      <x:c r="D193" s="30" t="str">
        <x:v>当前承担Agent/其本地工具；跨节点操作需实际接收方执行</x:v>
      </x:c>
      <x:c r="E193" s="30" t="str">
        <x:v>依前序真实结果执行</x:v>
      </x:c>
      <x:c r="F193" s="30" t="str">
        <x:v>合法卸载主体把物资放到交付区</x:v>
      </x:c>
    </x:row>
    <x:row r="194" ht="65" customHeight="1">
      <x:c r="A194" s="30" t="str">
        <x:v>Q041</x:v>
      </x:c>
      <x:c r="B194" s="30" t="n">
        <x:v>1</x:v>
      </x:c>
      <x:c r="C194" s="30" t="str">
        <x:v>A005</x:v>
      </x:c>
      <x:c r="D194" s="30" t="str">
        <x:v>当前承担Agent/其本地工具；跨节点操作需实际接收方执行</x:v>
      </x:c>
      <x:c r="E194" s="30" t="str">
        <x:v>依前序真实结果执行</x:v>
      </x:c>
      <x:c r="F194" s="30" t="str">
        <x:v>等待操作反馈后再由Agent决定是否继续</x:v>
      </x:c>
    </x:row>
    <x:row r="195" ht="65" customHeight="1">
      <x:c r="A195" s="30" t="str">
        <x:v>Q041</x:v>
      </x:c>
      <x:c r="B195" s="30" t="n">
        <x:v>2</x:v>
      </x:c>
      <x:c r="C195" s="30" t="str">
        <x:v>A027</x:v>
      </x:c>
      <x:c r="D195" s="30" t="str">
        <x:v>当前承担Agent/其本地工具；跨节点操作需实际接收方执行</x:v>
      </x:c>
      <x:c r="E195" s="30" t="str">
        <x:v>依前序真实结果执行</x:v>
      </x:c>
      <x:c r="F195" s="30" t="str">
        <x:v>等待操作反馈后再由Agent决定是否继续</x:v>
      </x:c>
    </x:row>
    <x:row r="196" ht="65" customHeight="1">
      <x:c r="A196" s="30" t="str">
        <x:v>Q041</x:v>
      </x:c>
      <x:c r="B196" s="30" t="n">
        <x:v>3</x:v>
      </x:c>
      <x:c r="C196" s="30" t="str">
        <x:v>A036</x:v>
      </x:c>
      <x:c r="D196" s="30" t="str">
        <x:v>当前承担Agent/其本地工具；跨节点操作需实际接收方执行</x:v>
      </x:c>
      <x:c r="E196" s="30" t="str">
        <x:v>依前序真实结果执行</x:v>
      </x:c>
      <x:c r="F196" s="30" t="str">
        <x:v>等待操作反馈后再由Agent决定是否继续</x:v>
      </x:c>
    </x:row>
    <x:row r="197" ht="65" customHeight="1">
      <x:c r="A197" s="30" t="str">
        <x:v>Q041</x:v>
      </x:c>
      <x:c r="B197" s="30" t="n">
        <x:v>4</x:v>
      </x:c>
      <x:c r="C197" s="30" t="str">
        <x:v>A037</x:v>
      </x:c>
      <x:c r="D197" s="30" t="str">
        <x:v>当前承担Agent/其本地工具；跨节点操作需实际接收方执行</x:v>
      </x:c>
      <x:c r="E197" s="30" t="str">
        <x:v>依前序真实结果执行</x:v>
      </x:c>
      <x:c r="F197" s="30" t="str">
        <x:v>等待操作反馈后再由Agent决定是否继续</x:v>
      </x:c>
    </x:row>
    <x:row r="198" ht="65" customHeight="1">
      <x:c r="A198" s="30" t="str">
        <x:v>Q041</x:v>
      </x:c>
      <x:c r="B198" s="30" t="n">
        <x:v>5</x:v>
      </x:c>
      <x:c r="C198" s="30" t="str">
        <x:v>A054</x:v>
      </x:c>
      <x:c r="D198" s="30" t="str">
        <x:v>当前承担Agent/其本地工具；跨节点操作需实际接收方执行</x:v>
      </x:c>
      <x:c r="E198" s="30" t="str">
        <x:v>依前序真实结果执行</x:v>
      </x:c>
      <x:c r="F198" s="30" t="str">
        <x:v>有效签收回执送达所需接收者</x:v>
      </x:c>
    </x:row>
    <x:row r="199" ht="65" customHeight="1">
      <x:c r="A199" s="30" t="str">
        <x:v>Q042</x:v>
      </x:c>
      <x:c r="B199" s="30" t="n">
        <x:v>1</x:v>
      </x:c>
      <x:c r="C199" s="30" t="str">
        <x:v>A002</x:v>
      </x:c>
      <x:c r="D199" s="30" t="str">
        <x:v>当前承担Agent/其本地工具；跨节点操作需实际接收方执行</x:v>
      </x:c>
      <x:c r="E199" s="30" t="str">
        <x:v>依前序真实结果执行</x:v>
      </x:c>
      <x:c r="F199" s="30" t="str">
        <x:v>等待操作反馈后再由Agent决定是否继续</x:v>
      </x:c>
    </x:row>
    <x:row r="200" ht="65" customHeight="1">
      <x:c r="A200" s="30" t="str">
        <x:v>Q042</x:v>
      </x:c>
      <x:c r="B200" s="30" t="n">
        <x:v>2</x:v>
      </x:c>
      <x:c r="C200" s="30" t="str">
        <x:v>A028</x:v>
      </x:c>
      <x:c r="D200" s="30" t="str">
        <x:v>当前承担Agent/其本地工具；跨节点操作需实际接收方执行</x:v>
      </x:c>
      <x:c r="E200" s="30" t="str">
        <x:v>依前序真实结果执行</x:v>
      </x:c>
      <x:c r="F200" s="30" t="str">
        <x:v>等待操作反馈后再由Agent决定是否继续</x:v>
      </x:c>
    </x:row>
    <x:row r="201" ht="65" customHeight="1">
      <x:c r="A201" s="30" t="str">
        <x:v>Q042</x:v>
      </x:c>
      <x:c r="B201" s="30" t="n">
        <x:v>3</x:v>
      </x:c>
      <x:c r="C201" s="30" t="str">
        <x:v>A024</x:v>
      </x:c>
      <x:c r="D201" s="30" t="str">
        <x:v>当前承担Agent/其本地工具；跨节点操作需实际接收方执行</x:v>
      </x:c>
      <x:c r="E201" s="30" t="str">
        <x:v>依前序真实结果执行</x:v>
      </x:c>
      <x:c r="F201" s="30" t="str">
        <x:v>等待操作反馈后再由Agent决定是否继续</x:v>
      </x:c>
    </x:row>
    <x:row r="202" ht="65" customHeight="1">
      <x:c r="A202" s="30" t="str">
        <x:v>Q042</x:v>
      </x:c>
      <x:c r="B202" s="30" t="n">
        <x:v>4</x:v>
      </x:c>
      <x:c r="C202" s="30" t="str">
        <x:v>A054</x:v>
      </x:c>
      <x:c r="D202" s="30" t="str">
        <x:v>当前承担Agent/其本地工具；跨节点操作需实际接收方执行</x:v>
      </x:c>
      <x:c r="E202" s="30" t="str">
        <x:v>依前序真实结果执行</x:v>
      </x:c>
      <x:c r="F202" s="30" t="str">
        <x:v>库存减少、载荷/耗材增加且耗时计入</x:v>
      </x:c>
    </x:row>
    <x:row r="203" ht="65" customHeight="1">
      <x:c r="A203" s="30" t="str">
        <x:v>Q043</x:v>
      </x:c>
      <x:c r="B203" s="30" t="n">
        <x:v>1</x:v>
      </x:c>
      <x:c r="C203" s="30" t="str">
        <x:v>A001 OR A002</x:v>
      </x:c>
      <x:c r="D203" s="30" t="str">
        <x:v>当前承担Agent/其本地工具；跨节点操作需实际接收方执行</x:v>
      </x:c>
      <x:c r="E203" s="30" t="str">
        <x:v>按条件选择其中一项；不是全部执行</x:v>
      </x:c>
      <x:c r="F203" s="30" t="str">
        <x:v>等待操作反馈后再由Agent决定是否继续</x:v>
      </x:c>
    </x:row>
    <x:row r="204" ht="65" customHeight="1">
      <x:c r="A204" s="30" t="str">
        <x:v>Q043</x:v>
      </x:c>
      <x:c r="B204" s="30" t="n">
        <x:v>2</x:v>
      </x:c>
      <x:c r="C204" s="30" t="str">
        <x:v>A029</x:v>
      </x:c>
      <x:c r="D204" s="30" t="str">
        <x:v>当前承担Agent/其本地工具；跨节点操作需实际接收方执行</x:v>
      </x:c>
      <x:c r="E204" s="30" t="str">
        <x:v>依前序真实结果执行</x:v>
      </x:c>
      <x:c r="F204" s="30" t="str">
        <x:v>等待操作反馈后再由Agent决定是否继续</x:v>
      </x:c>
    </x:row>
    <x:row r="205" ht="65" customHeight="1">
      <x:c r="A205" s="30" t="str">
        <x:v>Q043</x:v>
      </x:c>
      <x:c r="B205" s="30" t="n">
        <x:v>3</x:v>
      </x:c>
      <x:c r="C205" s="30" t="str">
        <x:v>A054</x:v>
      </x:c>
      <x:c r="D205" s="30" t="str">
        <x:v>当前承担Agent/其本地工具；跨节点操作需实际接收方执行</x:v>
      </x:c>
      <x:c r="E205" s="30" t="str">
        <x:v>依前序真实结果执行</x:v>
      </x:c>
      <x:c r="F205" s="30" t="str">
        <x:v>按实际功率/队列达到目标电量</x:v>
      </x:c>
    </x:row>
    <x:row r="206" ht="65" customHeight="1">
      <x:c r="A206" s="30" t="str">
        <x:v>Q044</x:v>
      </x:c>
      <x:c r="B206" s="30" t="n">
        <x:v>1</x:v>
      </x:c>
      <x:c r="C206" s="30" t="str">
        <x:v>A001 OR A002</x:v>
      </x:c>
      <x:c r="D206" s="30" t="str">
        <x:v>当前承担Agent/其本地工具；跨节点操作需实际接收方执行</x:v>
      </x:c>
      <x:c r="E206" s="30" t="str">
        <x:v>按条件选择其中一项；不是全部执行</x:v>
      </x:c>
      <x:c r="F206" s="30" t="str">
        <x:v>等待操作反馈后再由Agent决定是否继续</x:v>
      </x:c>
    </x:row>
    <x:row r="207" ht="65" customHeight="1">
      <x:c r="A207" s="30" t="str">
        <x:v>Q044</x:v>
      </x:c>
      <x:c r="B207" s="30" t="n">
        <x:v>2</x:v>
      </x:c>
      <x:c r="C207" s="30" t="str">
        <x:v>A030</x:v>
      </x:c>
      <x:c r="D207" s="30" t="str">
        <x:v>具备对应设备的专业/外部执行主体</x:v>
      </x:c>
      <x:c r="E207" s="30" t="str">
        <x:v>依前序真实结果执行</x:v>
      </x:c>
      <x:c r="F207" s="30" t="str">
        <x:v>等待操作反馈后再由Agent决定是否继续</x:v>
      </x:c>
    </x:row>
    <x:row r="208" ht="65" customHeight="1">
      <x:c r="A208" s="30" t="str">
        <x:v>Q044</x:v>
      </x:c>
      <x:c r="B208" s="30" t="n">
        <x:v>3</x:v>
      </x:c>
      <x:c r="C208" s="30" t="str">
        <x:v>A054</x:v>
      </x:c>
      <x:c r="D208" s="30" t="str">
        <x:v>当前承担Agent/其本地工具；跨节点操作需实际接收方执行</x:v>
      </x:c>
      <x:c r="E208" s="30" t="str">
        <x:v>依前序真实结果执行</x:v>
      </x:c>
      <x:c r="F208" s="30" t="str">
        <x:v>兼容新电池装入且旧电池转移，操作服务占用计入</x:v>
      </x:c>
    </x:row>
    <x:row r="209" ht="65" customHeight="1">
      <x:c r="A209" s="30" t="str">
        <x:v>Q045</x:v>
      </x:c>
      <x:c r="B209" s="30" t="n">
        <x:v>1</x:v>
      </x:c>
      <x:c r="C209" s="30" t="str">
        <x:v>A055</x:v>
      </x:c>
      <x:c r="D209" s="30" t="str">
        <x:v>当前承担Agent/其本地工具；跨节点操作需实际接收方执行</x:v>
      </x:c>
      <x:c r="E209" s="30" t="str">
        <x:v>依前序真实结果执行</x:v>
      </x:c>
      <x:c r="F209" s="30" t="str">
        <x:v>等待操作反馈后再由Agent决定是否继续</x:v>
      </x:c>
    </x:row>
    <x:row r="210" ht="65" customHeight="1">
      <x:c r="A210" s="30" t="str">
        <x:v>Q045</x:v>
      </x:c>
      <x:c r="B210" s="30" t="n">
        <x:v>2</x:v>
      </x:c>
      <x:c r="C210" s="30" t="str">
        <x:v>A001 OR A002</x:v>
      </x:c>
      <x:c r="D210" s="30" t="str">
        <x:v>当前承担Agent/其本地工具；跨节点操作需实际接收方执行</x:v>
      </x:c>
      <x:c r="E210" s="30" t="str">
        <x:v>按条件选择其中一项；不是全部执行</x:v>
      </x:c>
      <x:c r="F210" s="30" t="str">
        <x:v>等待操作反馈后再由Agent决定是否继续</x:v>
      </x:c>
    </x:row>
    <x:row r="211" ht="65" customHeight="1">
      <x:c r="A211" s="30" t="str">
        <x:v>Q045</x:v>
      </x:c>
      <x:c r="B211" s="30" t="n">
        <x:v>3</x:v>
      </x:c>
      <x:c r="C211" s="30" t="str">
        <x:v>A004</x:v>
      </x:c>
      <x:c r="D211" s="30" t="str">
        <x:v>当前承担Agent/其本地工具；跨节点操作需实际接收方执行</x:v>
      </x:c>
      <x:c r="E211" s="30" t="str">
        <x:v>依前序真实结果执行</x:v>
      </x:c>
      <x:c r="F211" s="30" t="str">
        <x:v>等待操作反馈后再由Agent决定是否继续</x:v>
      </x:c>
    </x:row>
    <x:row r="212" ht="65" customHeight="1">
      <x:c r="A212" s="30" t="str">
        <x:v>Q045</x:v>
      </x:c>
      <x:c r="B212" s="30" t="n">
        <x:v>4</x:v>
      </x:c>
      <x:c r="C212" s="30" t="str">
        <x:v>A054</x:v>
      </x:c>
      <x:c r="D212" s="30" t="str">
        <x:v>当前承担Agent/其本地工具；跨节点操作需实际接收方执行</x:v>
      </x:c>
      <x:c r="E212" s="30" t="str">
        <x:v>依前序真实结果执行</x:v>
      </x:c>
      <x:c r="F212" s="30" t="str">
        <x:v>到达可用安全点，任务与安全状态同步</x:v>
      </x:c>
    </x:row>
    <x:row r="213" ht="65" customHeight="1">
      <x:c r="A213" s="30" t="str">
        <x:v>Q046</x:v>
      </x:c>
      <x:c r="B213" s="30" t="n">
        <x:v>1</x:v>
      </x:c>
      <x:c r="C213" s="30" t="str">
        <x:v>A059</x:v>
      </x:c>
      <x:c r="D213" s="30" t="str">
        <x:v>当前承担Agent/其本地工具；跨节点操作需实际接收方执行</x:v>
      </x:c>
      <x:c r="E213" s="30" t="str">
        <x:v>依前序真实结果执行</x:v>
      </x:c>
      <x:c r="F213" s="30" t="str">
        <x:v>等待操作反馈后再由Agent决定是否继续</x:v>
      </x:c>
    </x:row>
    <x:row r="214" ht="65" customHeight="1">
      <x:c r="A214" s="30" t="str">
        <x:v>Q046</x:v>
      </x:c>
      <x:c r="B214" s="30" t="n">
        <x:v>2</x:v>
      </x:c>
      <x:c r="C214" s="30" t="str">
        <x:v>A031</x:v>
      </x:c>
      <x:c r="D214" s="30" t="str">
        <x:v>具备对应设备的专业/外部执行主体</x:v>
      </x:c>
      <x:c r="E214" s="30" t="str">
        <x:v>依前序真实结果执行</x:v>
      </x:c>
      <x:c r="F214" s="30" t="str">
        <x:v>等待操作反馈后再由Agent决定是否继续</x:v>
      </x:c>
    </x:row>
    <x:row r="215" ht="65" customHeight="1">
      <x:c r="A215" s="30" t="str">
        <x:v>Q046</x:v>
      </x:c>
      <x:c r="B215" s="30" t="n">
        <x:v>3</x:v>
      </x:c>
      <x:c r="C215" s="30" t="str">
        <x:v>A054</x:v>
      </x:c>
      <x:c r="D215" s="30" t="str">
        <x:v>当前承担Agent/其本地工具；跨节点操作需实际接收方执行</x:v>
      </x:c>
      <x:c r="E215" s="30" t="str">
        <x:v>依前序真实结果执行</x:v>
      </x:c>
      <x:c r="F215" s="30" t="str">
        <x:v>等待操作反馈后再由Agent决定是否继续</x:v>
      </x:c>
    </x:row>
    <x:row r="216" ht="65" customHeight="1">
      <x:c r="A216" s="30" t="str">
        <x:v>Q046</x:v>
      </x:c>
      <x:c r="B216" s="30" t="n">
        <x:v>4</x:v>
      </x:c>
      <x:c r="C216" s="30" t="str">
        <x:v>A036</x:v>
      </x:c>
      <x:c r="D216" s="30" t="str">
        <x:v>当前承担Agent/其本地工具；跨节点操作需实际接收方执行</x:v>
      </x:c>
      <x:c r="E216" s="30" t="str">
        <x:v>依前序真实结果执行</x:v>
      </x:c>
      <x:c r="F216" s="30" t="str">
        <x:v>回收主体完成牵引/运送，而非原平台自行瞬移</x:v>
      </x:c>
    </x:row>
    <x:row r="217" ht="65" customHeight="1">
      <x:c r="A217" s="30" t="str">
        <x:v>Q047</x:v>
      </x:c>
      <x:c r="B217" s="30" t="n">
        <x:v>1</x:v>
      </x:c>
      <x:c r="C217" s="30" t="str">
        <x:v>A032</x:v>
      </x:c>
      <x:c r="D217" s="30" t="str">
        <x:v>当前承担Agent/其本地工具；跨节点操作需实际接收方执行</x:v>
      </x:c>
      <x:c r="E217" s="30" t="str">
        <x:v>依前序真实结果执行</x:v>
      </x:c>
      <x:c r="F217" s="30" t="str">
        <x:v>等待操作反馈后再由Agent决定是否继续</x:v>
      </x:c>
    </x:row>
    <x:row r="218" ht="65" customHeight="1">
      <x:c r="A218" s="30" t="str">
        <x:v>Q047</x:v>
      </x:c>
      <x:c r="B218" s="30" t="n">
        <x:v>2</x:v>
      </x:c>
      <x:c r="C218" s="30" t="str">
        <x:v>A041</x:v>
      </x:c>
      <x:c r="D218" s="30" t="str">
        <x:v>当前承担Agent/其本地工具；跨节点操作需实际接收方执行</x:v>
      </x:c>
      <x:c r="E218" s="30" t="str">
        <x:v>依前序真实结果执行</x:v>
      </x:c>
      <x:c r="F218" s="30" t="str">
        <x:v>根据实际探测更新链路估计与样本窗口</x:v>
      </x:c>
    </x:row>
    <x:row r="219" ht="65" customHeight="1">
      <x:c r="A219" s="30" t="str">
        <x:v>Q048</x:v>
      </x:c>
      <x:c r="B219" s="30" t="n">
        <x:v>1</x:v>
      </x:c>
      <x:c r="C219" s="30" t="str">
        <x:v>A032</x:v>
      </x:c>
      <x:c r="D219" s="30" t="str">
        <x:v>当前承担Agent/其本地工具；跨节点操作需实际接收方执行</x:v>
      </x:c>
      <x:c r="E219" s="30" t="str">
        <x:v>依前序真实结果执行</x:v>
      </x:c>
      <x:c r="F219" s="30" t="str">
        <x:v>等待操作反馈后再由Agent决定是否继续</x:v>
      </x:c>
    </x:row>
    <x:row r="220" ht="65" customHeight="1">
      <x:c r="A220" s="30" t="str">
        <x:v>Q048</x:v>
      </x:c>
      <x:c r="B220" s="30" t="n">
        <x:v>2</x:v>
      </x:c>
      <x:c r="C220" s="30" t="str">
        <x:v>A001 OR A002</x:v>
      </x:c>
      <x:c r="D220" s="30" t="str">
        <x:v>当前承担Agent/其本地工具；跨节点操作需实际接收方执行</x:v>
      </x:c>
      <x:c r="E220" s="30" t="str">
        <x:v>按条件选择其中一项；不是全部执行</x:v>
      </x:c>
      <x:c r="F220" s="30" t="str">
        <x:v>等待操作反馈后再由Agent决定是否继续</x:v>
      </x:c>
    </x:row>
    <x:row r="221" ht="65" customHeight="1">
      <x:c r="A221" s="30" t="str">
        <x:v>Q048</x:v>
      </x:c>
      <x:c r="B221" s="30" t="n">
        <x:v>3</x:v>
      </x:c>
      <x:c r="C221" s="30" t="str">
        <x:v>A032</x:v>
      </x:c>
      <x:c r="D221" s="30" t="str">
        <x:v>当前承担Agent/其本地工具；跨节点操作需实际接收方执行</x:v>
      </x:c>
      <x:c r="E221" s="30" t="str">
        <x:v>依前序真实结果执行</x:v>
      </x:c>
      <x:c r="F221" s="30" t="str">
        <x:v>等待操作反馈后再由Agent决定是否继续</x:v>
      </x:c>
    </x:row>
    <x:row r="222" ht="65" customHeight="1">
      <x:c r="A222" s="30" t="str">
        <x:v>Q048</x:v>
      </x:c>
      <x:c r="B222" s="30" t="n">
        <x:v>4</x:v>
      </x:c>
      <x:c r="C222" s="30" t="str">
        <x:v>A036</x:v>
      </x:c>
      <x:c r="D222" s="30" t="str">
        <x:v>当前承担Agent/其本地工具；跨节点操作需实际接收方执行</x:v>
      </x:c>
      <x:c r="E222" s="30" t="str">
        <x:v>依前序真实结果执行</x:v>
      </x:c>
      <x:c r="F222" s="30" t="str">
        <x:v>重定位后实际恢复业务传输</x:v>
      </x:c>
    </x:row>
    <x:row r="223" ht="65" customHeight="1">
      <x:c r="A223" s="30" t="str">
        <x:v>Q049</x:v>
      </x:c>
      <x:c r="B223" s="30" t="n">
        <x:v>1</x:v>
      </x:c>
      <x:c r="C223" s="30" t="str">
        <x:v>A001</x:v>
      </x:c>
      <x:c r="D223" s="30" t="str">
        <x:v>当前承担Agent/其本地工具；跨节点操作需实际接收方执行</x:v>
      </x:c>
      <x:c r="E223" s="30" t="str">
        <x:v>依前序真实结果执行</x:v>
      </x:c>
      <x:c r="F223" s="30" t="str">
        <x:v>等待操作反馈后再由Agent决定是否继续</x:v>
      </x:c>
    </x:row>
    <x:row r="224" ht="65" customHeight="1">
      <x:c r="A224" s="30" t="str">
        <x:v>Q049</x:v>
      </x:c>
      <x:c r="B224" s="30" t="n">
        <x:v>2</x:v>
      </x:c>
      <x:c r="C224" s="30" t="str">
        <x:v>A033</x:v>
      </x:c>
      <x:c r="D224" s="30" t="str">
        <x:v>当前承担Agent/其本地工具；跨节点操作需实际接收方执行</x:v>
      </x:c>
      <x:c r="E224" s="30" t="str">
        <x:v>依前序真实结果执行</x:v>
      </x:c>
      <x:c r="F224" s="30" t="str">
        <x:v>等待操作反馈后再由Agent决定是否继续</x:v>
      </x:c>
    </x:row>
    <x:row r="225" ht="65" customHeight="1">
      <x:c r="A225" s="30" t="str">
        <x:v>Q049</x:v>
      </x:c>
      <x:c r="B225" s="30" t="n">
        <x:v>3</x:v>
      </x:c>
      <x:c r="C225" s="30" t="str">
        <x:v>A004</x:v>
      </x:c>
      <x:c r="D225" s="30" t="str">
        <x:v>当前承担Agent/其本地工具；跨节点操作需实际接收方执行</x:v>
      </x:c>
      <x:c r="E225" s="30" t="str">
        <x:v>依前序真实结果执行</x:v>
      </x:c>
      <x:c r="F225" s="30" t="str">
        <x:v>等待操作反馈后再由Agent决定是否继续</x:v>
      </x:c>
    </x:row>
    <x:row r="226" ht="65" customHeight="1">
      <x:c r="A226" s="30" t="str">
        <x:v>Q049</x:v>
      </x:c>
      <x:c r="B226" s="30" t="n">
        <x:v>4</x:v>
      </x:c>
      <x:c r="C226" s="30" t="str">
        <x:v>A035</x:v>
      </x:c>
      <x:c r="D226" s="30" t="str">
        <x:v>当前承担Agent/其本地工具；跨节点操作需实际接收方执行</x:v>
      </x:c>
      <x:c r="E226" s="30" t="str">
        <x:v>依前序真实结果执行</x:v>
      </x:c>
      <x:c r="F226" s="30" t="str">
        <x:v>等待操作反馈后再由Agent决定是否继续</x:v>
      </x:c>
    </x:row>
    <x:row r="227" ht="65" customHeight="1">
      <x:c r="A227" s="30" t="str">
        <x:v>Q049</x:v>
      </x:c>
      <x:c r="B227" s="30" t="n">
        <x:v>5</x:v>
      </x:c>
      <x:c r="C227" s="30" t="str">
        <x:v>A037</x:v>
      </x:c>
      <x:c r="D227" s="30" t="str">
        <x:v>当前承担Agent/其本地工具；跨节点操作需实际接收方执行</x:v>
      </x:c>
      <x:c r="E227" s="30" t="str">
        <x:v>依前序真实结果执行</x:v>
      </x:c>
      <x:c r="F227" s="30" t="str">
        <x:v>所需时间内转发业务并保留逐跳证据</x:v>
      </x:c>
    </x:row>
    <x:row r="228" ht="65" customHeight="1">
      <x:c r="A228" s="30" t="str">
        <x:v>Q050</x:v>
      </x:c>
      <x:c r="B228" s="30" t="n">
        <x:v>1</x:v>
      </x:c>
      <x:c r="C228" s="30" t="str">
        <x:v>A024</x:v>
      </x:c>
      <x:c r="D228" s="30" t="str">
        <x:v>当前承担Agent/其本地工具；跨节点操作需实际接收方执行</x:v>
      </x:c>
      <x:c r="E228" s="30" t="str">
        <x:v>依前序真实结果执行</x:v>
      </x:c>
      <x:c r="F228" s="30" t="str">
        <x:v>等待操作反馈后再由Agent决定是否继续</x:v>
      </x:c>
    </x:row>
    <x:row r="229" ht="65" customHeight="1">
      <x:c r="A229" s="30" t="str">
        <x:v>Q050</x:v>
      </x:c>
      <x:c r="B229" s="30" t="n">
        <x:v>2</x:v>
      </x:c>
      <x:c r="C229" s="30" t="str">
        <x:v>A001 OR A002</x:v>
      </x:c>
      <x:c r="D229" s="30" t="str">
        <x:v>当前承担Agent/其本地工具；跨节点操作需实际接收方执行</x:v>
      </x:c>
      <x:c r="E229" s="30" t="str">
        <x:v>按条件选择其中一项；不是全部执行</x:v>
      </x:c>
      <x:c r="F229" s="30" t="str">
        <x:v>等待操作反馈后再由Agent决定是否继续</x:v>
      </x:c>
    </x:row>
    <x:row r="230" ht="65" customHeight="1">
      <x:c r="A230" s="30" t="str">
        <x:v>Q050</x:v>
      </x:c>
      <x:c r="B230" s="30" t="n">
        <x:v>3</x:v>
      </x:c>
      <x:c r="C230" s="30" t="str">
        <x:v>A034</x:v>
      </x:c>
      <x:c r="D230" s="30" t="str">
        <x:v>当前承担Agent/其本地工具；跨节点操作需实际接收方执行</x:v>
      </x:c>
      <x:c r="E230" s="30" t="str">
        <x:v>依前序真实结果执行</x:v>
      </x:c>
      <x:c r="F230" s="30" t="str">
        <x:v>等待操作反馈后再由Agent决定是否继续</x:v>
      </x:c>
    </x:row>
    <x:row r="231" ht="65" customHeight="1">
      <x:c r="A231" s="30" t="str">
        <x:v>Q050</x:v>
      </x:c>
      <x:c r="B231" s="30" t="n">
        <x:v>4</x:v>
      </x:c>
      <x:c r="C231" s="30" t="str">
        <x:v>A032</x:v>
      </x:c>
      <x:c r="D231" s="30" t="str">
        <x:v>当前承担Agent/其本地工具；跨节点操作需实际接收方执行</x:v>
      </x:c>
      <x:c r="E231" s="30" t="str">
        <x:v>依前序真实结果执行</x:v>
      </x:c>
      <x:c r="F231" s="30" t="str">
        <x:v>等待操作反馈后再由Agent决定是否继续</x:v>
      </x:c>
    </x:row>
    <x:row r="232" ht="65" customHeight="1">
      <x:c r="A232" s="30" t="str">
        <x:v>Q050</x:v>
      </x:c>
      <x:c r="B232" s="30" t="n">
        <x:v>5</x:v>
      </x:c>
      <x:c r="C232" s="30" t="str">
        <x:v>A036</x:v>
      </x:c>
      <x:c r="D232" s="30" t="str">
        <x:v>当前承担Agent/其本地工具；跨节点操作需实际接收方执行</x:v>
      </x:c>
      <x:c r="E232" s="30" t="str">
        <x:v>依前序真实结果执行</x:v>
      </x:c>
      <x:c r="F232" s="30" t="str">
        <x:v>节点实体、电源和链路均实际生效</x:v>
      </x:c>
    </x:row>
    <x:row r="233" ht="65" customHeight="1">
      <x:c r="A233" s="30" t="str">
        <x:v>Q051</x:v>
      </x:c>
      <x:c r="B233" s="30" t="n">
        <x:v>1</x:v>
      </x:c>
      <x:c r="C233" s="30" t="str">
        <x:v>A036</x:v>
      </x:c>
      <x:c r="D233" s="30" t="str">
        <x:v>源Agent</x:v>
      </x:c>
      <x:c r="E233" s="30" t="str">
        <x:v>依前序真实结果执行</x:v>
      </x:c>
      <x:c r="F233" s="30" t="str">
        <x:v>等待操作反馈后再由Agent决定是否继续</x:v>
      </x:c>
    </x:row>
    <x:row r="234" ht="65" customHeight="1">
      <x:c r="A234" s="30" t="str">
        <x:v>Q051</x:v>
      </x:c>
      <x:c r="B234" s="30" t="n">
        <x:v>2</x:v>
      </x:c>
      <x:c r="C234" s="30" t="str">
        <x:v>A065</x:v>
      </x:c>
      <x:c r="D234" s="30" t="str">
        <x:v>中继收件器</x:v>
      </x:c>
      <x:c r="E234" s="30" t="str">
        <x:v>依前序真实结果执行</x:v>
      </x:c>
      <x:c r="F234" s="30" t="str">
        <x:v>等待操作反馈后再由Agent决定是否继续</x:v>
      </x:c>
    </x:row>
    <x:row r="235" ht="65" customHeight="1">
      <x:c r="A235" s="30" t="str">
        <x:v>Q051</x:v>
      </x:c>
      <x:c r="B235" s="30" t="n">
        <x:v>3</x:v>
      </x:c>
      <x:c r="C235" s="30" t="str">
        <x:v>A035</x:v>
      </x:c>
      <x:c r="D235" s="30" t="str">
        <x:v>中继Agent</x:v>
      </x:c>
      <x:c r="E235" s="30" t="str">
        <x:v>依前序真实结果执行</x:v>
      </x:c>
      <x:c r="F235" s="30" t="str">
        <x:v>等待操作反馈后再由Agent决定是否继续</x:v>
      </x:c>
    </x:row>
    <x:row r="236" ht="65" customHeight="1">
      <x:c r="A236" s="30" t="str">
        <x:v>Q051</x:v>
      </x:c>
      <x:c r="B236" s="30" t="n">
        <x:v>4</x:v>
      </x:c>
      <x:c r="C236" s="30" t="str">
        <x:v>A065</x:v>
      </x:c>
      <x:c r="D236" s="30" t="str">
        <x:v>最终接收方</x:v>
      </x:c>
      <x:c r="E236" s="30" t="str">
        <x:v>依前序真实结果执行</x:v>
      </x:c>
      <x:c r="F236" s="30" t="str">
        <x:v>等待操作反馈后再由Agent决定是否继续</x:v>
      </x:c>
    </x:row>
    <x:row r="237" ht="65" customHeight="1">
      <x:c r="A237" s="30" t="str">
        <x:v>Q051</x:v>
      </x:c>
      <x:c r="B237" s="30" t="n">
        <x:v>5</x:v>
      </x:c>
      <x:c r="C237" s="30" t="str">
        <x:v>A037</x:v>
      </x:c>
      <x:c r="D237" s="30" t="str">
        <x:v>原请求者按回执更新</x:v>
      </x:c>
      <x:c r="E237" s="30" t="str">
        <x:v>依前序真实结果执行</x:v>
      </x:c>
      <x:c r="F237" s="30" t="str">
        <x:v>上一跳到达后下一跳发送，终端完整接收</x:v>
      </x:c>
    </x:row>
    <x:row r="238" ht="65" customHeight="1">
      <x:c r="A238" s="30" t="str">
        <x:v>Q052</x:v>
      </x:c>
      <x:c r="B238" s="30" t="n">
        <x:v>1</x:v>
      </x:c>
      <x:c r="C238" s="30" t="str">
        <x:v>A039</x:v>
      </x:c>
      <x:c r="D238" s="30" t="str">
        <x:v>当前承担Agent/其本地工具；跨节点操作需实际接收方执行</x:v>
      </x:c>
      <x:c r="E238" s="30" t="str">
        <x:v>依前序真实结果执行</x:v>
      </x:c>
      <x:c r="F238" s="30" t="str">
        <x:v>等待操作反馈后再由Agent决定是否继续</x:v>
      </x:c>
    </x:row>
    <x:row r="239" ht="65" customHeight="1">
      <x:c r="A239" s="30" t="str">
        <x:v>Q052</x:v>
      </x:c>
      <x:c r="B239" s="30" t="n">
        <x:v>2</x:v>
      </x:c>
      <x:c r="C239" s="30" t="str">
        <x:v>A036</x:v>
      </x:c>
      <x:c r="D239" s="30" t="str">
        <x:v>当前承担Agent/其本地工具；跨节点操作需实际接收方执行</x:v>
      </x:c>
      <x:c r="E239" s="30" t="str">
        <x:v>依前序真实结果执行</x:v>
      </x:c>
      <x:c r="F239" s="30" t="str">
        <x:v>等待操作反馈后再由Agent决定是否继续</x:v>
      </x:c>
    </x:row>
    <x:row r="240" ht="65" customHeight="1">
      <x:c r="A240" s="30" t="str">
        <x:v>Q052</x:v>
      </x:c>
      <x:c r="B240" s="30" t="n">
        <x:v>3</x:v>
      </x:c>
      <x:c r="C240" s="30" t="str">
        <x:v>A037</x:v>
      </x:c>
      <x:c r="D240" s="30" t="str">
        <x:v>当前承担Agent/其本地工具；跨节点操作需实际接收方执行</x:v>
      </x:c>
      <x:c r="E240" s="30" t="str">
        <x:v>依前序真实结果执行</x:v>
      </x:c>
      <x:c r="F240" s="30" t="str">
        <x:v>编码后的真实数据分块送达并校验</x:v>
      </x:c>
    </x:row>
    <x:row r="241" ht="65" customHeight="1">
      <x:c r="A241" s="30" t="str">
        <x:v>Q053</x:v>
      </x:c>
      <x:c r="B241" s="30" t="n">
        <x:v>1</x:v>
      </x:c>
      <x:c r="C241" s="30" t="str">
        <x:v>A036</x:v>
      </x:c>
      <x:c r="D241" s="30" t="str">
        <x:v>当前承担Agent/其本地工具；跨节点操作需实际接收方执行</x:v>
      </x:c>
      <x:c r="E241" s="30" t="str">
        <x:v>依前序真实结果执行</x:v>
      </x:c>
      <x:c r="F241" s="30" t="str">
        <x:v>等待操作反馈后再由Agent决定是否继续</x:v>
      </x:c>
    </x:row>
    <x:row r="242" ht="65" customHeight="1">
      <x:c r="A242" s="30" t="str">
        <x:v>Q053</x:v>
      </x:c>
      <x:c r="B242" s="30" t="n">
        <x:v>2</x:v>
      </x:c>
      <x:c r="C242" s="30" t="str">
        <x:v>A037</x:v>
      </x:c>
      <x:c r="D242" s="30" t="str">
        <x:v>当前承担Agent/其本地工具；跨节点操作需实际接收方执行</x:v>
      </x:c>
      <x:c r="E242" s="30" t="str">
        <x:v>依前序真实结果执行</x:v>
      </x:c>
      <x:c r="F242" s="30" t="str">
        <x:v>等待操作反馈后再由Agent决定是否继续</x:v>
      </x:c>
    </x:row>
    <x:row r="243" ht="65" customHeight="1">
      <x:c r="A243" s="30" t="str">
        <x:v>Q053</x:v>
      </x:c>
      <x:c r="B243" s="30" t="n">
        <x:v>3</x:v>
      </x:c>
      <x:c r="C243" s="30" t="str">
        <x:v>A036</x:v>
      </x:c>
      <x:c r="D243" s="30" t="str">
        <x:v>当前承担Agent/其本地工具；跨节点操作需实际接收方执行</x:v>
      </x:c>
      <x:c r="E243" s="30" t="str">
        <x:v>依前序真实结果执行</x:v>
      </x:c>
      <x:c r="F243" s="30" t="str">
        <x:v>等待操作反馈后再由Agent决定是否继续</x:v>
      </x:c>
    </x:row>
    <x:row r="244" ht="65" customHeight="1">
      <x:c r="A244" s="30" t="str">
        <x:v>Q053</x:v>
      </x:c>
      <x:c r="B244" s="30" t="n">
        <x:v>4</x:v>
      </x:c>
      <x:c r="C244" s="30" t="str">
        <x:v>A037</x:v>
      </x:c>
      <x:c r="D244" s="30" t="str">
        <x:v>当前承担Agent/其本地工具；跨节点操作需实际接收方执行</x:v>
      </x:c>
      <x:c r="E244" s="30" t="str">
        <x:v>依前序真实结果执行</x:v>
      </x:c>
      <x:c r="F244" s="30" t="str">
        <x:v>明确重试条件和次数，失败不生成成功回执</x:v>
      </x:c>
    </x:row>
    <x:row r="245" ht="65" customHeight="1">
      <x:c r="A245" s="30" t="str">
        <x:v>Q054</x:v>
      </x:c>
      <x:c r="B245" s="30" t="n">
        <x:v>1</x:v>
      </x:c>
      <x:c r="C245" s="30" t="str">
        <x:v>A046</x:v>
      </x:c>
      <x:c r="D245" s="30" t="str">
        <x:v>当前承担Agent/其本地工具；跨节点操作需实际接收方执行</x:v>
      </x:c>
      <x:c r="E245" s="30" t="str">
        <x:v>依前序真实结果执行</x:v>
      </x:c>
      <x:c r="F245" s="30" t="str">
        <x:v>等待操作反馈后再由Agent决定是否继续</x:v>
      </x:c>
    </x:row>
    <x:row r="246" ht="65" customHeight="1">
      <x:c r="A246" s="30" t="str">
        <x:v>Q054</x:v>
      </x:c>
      <x:c r="B246" s="30" t="n">
        <x:v>2</x:v>
      </x:c>
      <x:c r="C246" s="30" t="str">
        <x:v>A001 OR A002</x:v>
      </x:c>
      <x:c r="D246" s="30" t="str">
        <x:v>当前承担Agent/其本地工具；跨节点操作需实际接收方执行</x:v>
      </x:c>
      <x:c r="E246" s="30" t="str">
        <x:v>按条件选择其中一项；不是全部执行</x:v>
      </x:c>
      <x:c r="F246" s="30" t="str">
        <x:v>等待操作反馈后再由Agent决定是否继续</x:v>
      </x:c>
    </x:row>
    <x:row r="247" ht="65" customHeight="1">
      <x:c r="A247" s="30" t="str">
        <x:v>Q054</x:v>
      </x:c>
      <x:c r="B247" s="30" t="n">
        <x:v>3</x:v>
      </x:c>
      <x:c r="C247" s="30" t="str">
        <x:v>A032</x:v>
      </x:c>
      <x:c r="D247" s="30" t="str">
        <x:v>当前承担Agent/其本地工具；跨节点操作需实际接收方执行</x:v>
      </x:c>
      <x:c r="E247" s="30" t="str">
        <x:v>依前序真实结果执行</x:v>
      </x:c>
      <x:c r="F247" s="30" t="str">
        <x:v>等待操作反馈后再由Agent决定是否继续</x:v>
      </x:c>
    </x:row>
    <x:row r="248" ht="65" customHeight="1">
      <x:c r="A248" s="30" t="str">
        <x:v>Q054</x:v>
      </x:c>
      <x:c r="B248" s="30" t="n">
        <x:v>4</x:v>
      </x:c>
      <x:c r="C248" s="30" t="str">
        <x:v>A036</x:v>
      </x:c>
      <x:c r="D248" s="30" t="str">
        <x:v>当前承担Agent/其本地工具；跨节点操作需实际接收方执行</x:v>
      </x:c>
      <x:c r="E248" s="30" t="str">
        <x:v>依前序真实结果执行</x:v>
      </x:c>
      <x:c r="F248" s="30" t="str">
        <x:v>等待操作反馈后再由Agent决定是否继续</x:v>
      </x:c>
    </x:row>
    <x:row r="249" ht="65" customHeight="1">
      <x:c r="A249" s="30" t="str">
        <x:v>Q054</x:v>
      </x:c>
      <x:c r="B249" s="30" t="n">
        <x:v>5</x:v>
      </x:c>
      <x:c r="C249" s="30" t="str">
        <x:v>A037</x:v>
      </x:c>
      <x:c r="D249" s="30" t="str">
        <x:v>当前承担Agent/其本地工具；跨节点操作需实际接收方执行</x:v>
      </x:c>
      <x:c r="E249" s="30" t="str">
        <x:v>依前序真实结果执行</x:v>
      </x:c>
      <x:c r="F249" s="30" t="str">
        <x:v>过期前完成缓存消息实际投递</x:v>
      </x:c>
    </x:row>
    <x:row r="250" ht="65" customHeight="1">
      <x:c r="A250" s="30" t="str">
        <x:v>Q055</x:v>
      </x:c>
      <x:c r="B250" s="30" t="n">
        <x:v>1</x:v>
      </x:c>
      <x:c r="C250" s="30" t="str">
        <x:v>A032</x:v>
      </x:c>
      <x:c r="D250" s="30" t="str">
        <x:v>当前承担Agent/其本地工具；跨节点操作需实际接收方执行</x:v>
      </x:c>
      <x:c r="E250" s="30" t="str">
        <x:v>依前序真实结果执行</x:v>
      </x:c>
      <x:c r="F250" s="30" t="str">
        <x:v>等待操作反馈后再由Agent决定是否继续</x:v>
      </x:c>
    </x:row>
    <x:row r="251" ht="65" customHeight="1">
      <x:c r="A251" s="30" t="str">
        <x:v>Q055</x:v>
      </x:c>
      <x:c r="B251" s="30" t="n">
        <x:v>2</x:v>
      </x:c>
      <x:c r="C251" s="30" t="str">
        <x:v>A033</x:v>
      </x:c>
      <x:c r="D251" s="30" t="str">
        <x:v>当前承担Agent/其本地工具；跨节点操作需实际接收方执行</x:v>
      </x:c>
      <x:c r="E251" s="30" t="str">
        <x:v>依前序真实结果执行</x:v>
      </x:c>
      <x:c r="F251" s="30" t="str">
        <x:v>等待操作反馈后再由Agent决定是否继续</x:v>
      </x:c>
    </x:row>
    <x:row r="252" ht="65" customHeight="1">
      <x:c r="A252" s="30" t="str">
        <x:v>Q055</x:v>
      </x:c>
      <x:c r="B252" s="30" t="n">
        <x:v>3</x:v>
      </x:c>
      <x:c r="C252" s="30" t="str">
        <x:v>A036</x:v>
      </x:c>
      <x:c r="D252" s="30" t="str">
        <x:v>当前承担Agent/其本地工具；跨节点操作需实际接收方执行</x:v>
      </x:c>
      <x:c r="E252" s="30" t="str">
        <x:v>依前序真实结果执行</x:v>
      </x:c>
      <x:c r="F252" s="30" t="str">
        <x:v>等待操作反馈后再由Agent决定是否继续</x:v>
      </x:c>
    </x:row>
    <x:row r="253" ht="65" customHeight="1">
      <x:c r="A253" s="30" t="str">
        <x:v>Q055</x:v>
      </x:c>
      <x:c r="B253" s="30" t="n">
        <x:v>4</x:v>
      </x:c>
      <x:c r="C253" s="30" t="str">
        <x:v>A037</x:v>
      </x:c>
      <x:c r="D253" s="30" t="str">
        <x:v>当前承担Agent/其本地工具；跨节点操作需实际接收方执行</x:v>
      </x:c>
      <x:c r="E253" s="30" t="str">
        <x:v>依前序真实结果执行</x:v>
      </x:c>
      <x:c r="F253" s="30" t="str">
        <x:v>设备支持且调整效果由实际网络反馈验证</x:v>
      </x:c>
    </x:row>
    <x:row r="254" ht="65" customHeight="1">
      <x:c r="A254" s="30" t="str">
        <x:v>Q056</x:v>
      </x:c>
      <x:c r="B254" s="30" t="n">
        <x:v>1</x:v>
      </x:c>
      <x:c r="C254" s="30" t="str">
        <x:v>A032</x:v>
      </x:c>
      <x:c r="D254" s="30" t="str">
        <x:v>当前承担Agent/其本地工具；跨节点操作需实际接收方执行</x:v>
      </x:c>
      <x:c r="E254" s="30" t="str">
        <x:v>依前序真实结果执行</x:v>
      </x:c>
      <x:c r="F254" s="30" t="str">
        <x:v>等待操作反馈后再由Agent决定是否继续</x:v>
      </x:c>
    </x:row>
    <x:row r="255" ht="65" customHeight="1">
      <x:c r="A255" s="30" t="str">
        <x:v>Q056</x:v>
      </x:c>
      <x:c r="B255" s="30" t="n">
        <x:v>2</x:v>
      </x:c>
      <x:c r="C255" s="30" t="str">
        <x:v>A033</x:v>
      </x:c>
      <x:c r="D255" s="30" t="str">
        <x:v>当前承担Agent/其本地工具；跨节点操作需实际接收方执行</x:v>
      </x:c>
      <x:c r="E255" s="30" t="str">
        <x:v>依前序真实结果执行</x:v>
      </x:c>
      <x:c r="F255" s="30" t="str">
        <x:v>等待操作反馈后再由Agent决定是否继续</x:v>
      </x:c>
    </x:row>
    <x:row r="256" ht="65" customHeight="1">
      <x:c r="A256" s="30" t="str">
        <x:v>Q056</x:v>
      </x:c>
      <x:c r="B256" s="30" t="n">
        <x:v>3</x:v>
      </x:c>
      <x:c r="C256" s="30" t="str">
        <x:v>A001 OR A002</x:v>
      </x:c>
      <x:c r="D256" s="30" t="str">
        <x:v>当前承担Agent/其本地工具；跨节点操作需实际接收方执行</x:v>
      </x:c>
      <x:c r="E256" s="30" t="str">
        <x:v>按条件选择其中一项；不是全部执行</x:v>
      </x:c>
      <x:c r="F256" s="30" t="str">
        <x:v>等待操作反馈后再由Agent决定是否继续</x:v>
      </x:c>
    </x:row>
    <x:row r="257" ht="65" customHeight="1">
      <x:c r="A257" s="30" t="str">
        <x:v>Q056</x:v>
      </x:c>
      <x:c r="B257" s="30" t="n">
        <x:v>4</x:v>
      </x:c>
      <x:c r="C257" s="30" t="str">
        <x:v>A032</x:v>
      </x:c>
      <x:c r="D257" s="30" t="str">
        <x:v>当前承担Agent/其本地工具；跨节点操作需实际接收方执行</x:v>
      </x:c>
      <x:c r="E257" s="30" t="str">
        <x:v>依前序真实结果执行</x:v>
      </x:c>
      <x:c r="F257" s="30" t="str">
        <x:v>等待操作反馈后再由Agent决定是否继续</x:v>
      </x:c>
    </x:row>
    <x:row r="258" ht="65" customHeight="1">
      <x:c r="A258" s="30" t="str">
        <x:v>Q056</x:v>
      </x:c>
      <x:c r="B258" s="30" t="n">
        <x:v>5</x:v>
      </x:c>
      <x:c r="C258" s="30" t="str">
        <x:v>A036</x:v>
      </x:c>
      <x:c r="D258" s="30" t="str">
        <x:v>当前承担Agent/其本地工具；跨节点操作需实际接收方执行</x:v>
      </x:c>
      <x:c r="E258" s="30" t="str">
        <x:v>依前序真实结果执行</x:v>
      </x:c>
      <x:c r="F258" s="30" t="str">
        <x:v>等待操作反馈后再由Agent决定是否继续</x:v>
      </x:c>
    </x:row>
    <x:row r="259" ht="65" customHeight="1">
      <x:c r="A259" s="30" t="str">
        <x:v>Q056</x:v>
      </x:c>
      <x:c r="B259" s="30" t="n">
        <x:v>6</x:v>
      </x:c>
      <x:c r="C259" s="30" t="str">
        <x:v>A037</x:v>
      </x:c>
      <x:c r="D259" s="30" t="str">
        <x:v>当前承担Agent/其本地工具；跨节点操作需实际接收方执行</x:v>
      </x:c>
      <x:c r="E259" s="30" t="str">
        <x:v>依前序真实结果执行</x:v>
      </x:c>
      <x:c r="F259" s="30" t="str">
        <x:v>恢复可用业务链，刷新过时队友信息</x:v>
      </x:c>
    </x:row>
    <x:row r="260" ht="65" customHeight="1">
      <x:c r="A260" s="30" t="str">
        <x:v>Q057</x:v>
      </x:c>
      <x:c r="B260" s="30" t="n">
        <x:v>1</x:v>
      </x:c>
      <x:c r="C260" s="30" t="str">
        <x:v>A042</x:v>
      </x:c>
      <x:c r="D260" s="30" t="str">
        <x:v>当前承担Agent/其本地工具；跨节点操作需实际接收方执行</x:v>
      </x:c>
      <x:c r="E260" s="30" t="str">
        <x:v>依前序真实结果执行</x:v>
      </x:c>
      <x:c r="F260" s="30" t="str">
        <x:v>等待操作反馈后再由Agent决定是否继续</x:v>
      </x:c>
    </x:row>
    <x:row r="261" ht="65" customHeight="1">
      <x:c r="A261" s="30" t="str">
        <x:v>Q057</x:v>
      </x:c>
      <x:c r="B261" s="30" t="n">
        <x:v>2</x:v>
      </x:c>
      <x:c r="C261" s="30" t="str">
        <x:v>A036</x:v>
      </x:c>
      <x:c r="D261" s="30" t="str">
        <x:v>当前承担Agent/其本地工具；跨节点操作需实际接收方执行</x:v>
      </x:c>
      <x:c r="E261" s="30" t="str">
        <x:v>依前序真实结果执行</x:v>
      </x:c>
      <x:c r="F261" s="30" t="str">
        <x:v>等待操作反馈后再由Agent决定是否继续</x:v>
      </x:c>
    </x:row>
    <x:row r="262" ht="65" customHeight="1">
      <x:c r="A262" s="30" t="str">
        <x:v>Q057</x:v>
      </x:c>
      <x:c r="B262" s="30" t="n">
        <x:v>3</x:v>
      </x:c>
      <x:c r="C262" s="30" t="str">
        <x:v>A037</x:v>
      </x:c>
      <x:c r="D262" s="30" t="str">
        <x:v>当前承担Agent/其本地工具；跨节点操作需实际接收方执行</x:v>
      </x:c>
      <x:c r="E262" s="30" t="str">
        <x:v>依前序真实结果执行</x:v>
      </x:c>
      <x:c r="F262" s="30" t="str">
        <x:v>等待操作反馈后再由Agent决定是否继续</x:v>
      </x:c>
    </x:row>
    <x:row r="263" ht="65" customHeight="1">
      <x:c r="A263" s="30" t="str">
        <x:v>Q057</x:v>
      </x:c>
      <x:c r="B263" s="30" t="n">
        <x:v>4</x:v>
      </x:c>
      <x:c r="C263" s="30" t="str">
        <x:v>A041</x:v>
      </x:c>
      <x:c r="D263" s="30" t="str">
        <x:v>当前承担Agent/其本地工具；跨节点操作需实际接收方执行</x:v>
      </x:c>
      <x:c r="E263" s="30" t="str">
        <x:v>依前序真实结果执行</x:v>
      </x:c>
      <x:c r="F263" s="30" t="str">
        <x:v>获得带时效的可用服务信息</x:v>
      </x:c>
    </x:row>
    <x:row r="264" ht="65" customHeight="1">
      <x:c r="A264" s="30" t="str">
        <x:v>Q058</x:v>
      </x:c>
      <x:c r="B264" s="30" t="n">
        <x:v>1</x:v>
      </x:c>
      <x:c r="C264" s="30" t="str">
        <x:v>A005</x:v>
      </x:c>
      <x:c r="D264" s="30" t="str">
        <x:v>当前承担Agent/其本地工具；跨节点操作需实际接收方执行</x:v>
      </x:c>
      <x:c r="E264" s="30" t="str">
        <x:v>依前序真实结果执行</x:v>
      </x:c>
      <x:c r="F264" s="30" t="str">
        <x:v>等待操作反馈后再由Agent决定是否继续</x:v>
      </x:c>
    </x:row>
    <x:row r="265" ht="65" customHeight="1">
      <x:c r="A265" s="30" t="str">
        <x:v>Q058</x:v>
      </x:c>
      <x:c r="B265" s="30" t="n">
        <x:v>2</x:v>
      </x:c>
      <x:c r="C265" s="30" t="str">
        <x:v>A044</x:v>
      </x:c>
      <x:c r="D265" s="30" t="str">
        <x:v>当前承担Agent/其本地工具；跨节点操作需实际接收方执行</x:v>
      </x:c>
      <x:c r="E265" s="30" t="str">
        <x:v>依前序真实结果执行</x:v>
      </x:c>
      <x:c r="F265" s="30" t="str">
        <x:v>等待操作反馈后再由Agent决定是否继续</x:v>
      </x:c>
    </x:row>
    <x:row r="266" ht="65" customHeight="1">
      <x:c r="A266" s="30" t="str">
        <x:v>Q058</x:v>
      </x:c>
      <x:c r="B266" s="30" t="n">
        <x:v>3</x:v>
      </x:c>
      <x:c r="C266" s="30" t="str">
        <x:v>A006</x:v>
      </x:c>
      <x:c r="D266" s="30" t="str">
        <x:v>当前承担Agent/其本地工具；跨节点操作需实际接收方执行</x:v>
      </x:c>
      <x:c r="E266" s="30" t="str">
        <x:v>依前序真实结果执行</x:v>
      </x:c>
      <x:c r="F266" s="30" t="str">
        <x:v>等待操作反馈后再由Agent决定是否继续</x:v>
      </x:c>
    </x:row>
    <x:row r="267" ht="65" customHeight="1">
      <x:c r="A267" s="30" t="str">
        <x:v>Q058</x:v>
      </x:c>
      <x:c r="B267" s="30" t="n">
        <x:v>4</x:v>
      </x:c>
      <x:c r="C267" s="30" t="str">
        <x:v>A041</x:v>
      </x:c>
      <x:c r="D267" s="30" t="str">
        <x:v>当前承担Agent/其本地工具；跨节点操作需实际接收方执行</x:v>
      </x:c>
      <x:c r="E267" s="30" t="str">
        <x:v>依前序真实结果执行</x:v>
      </x:c>
      <x:c r="F267" s="30" t="str">
        <x:v>本机真实/建模计算完成产生检测证据</x:v>
      </x:c>
    </x:row>
    <x:row r="268" ht="65" customHeight="1">
      <x:c r="A268" s="30" t="str">
        <x:v>Q059</x:v>
      </x:c>
      <x:c r="B268" s="30" t="n">
        <x:v>1</x:v>
      </x:c>
      <x:c r="C268" s="30" t="str">
        <x:v>A038</x:v>
      </x:c>
      <x:c r="D268" s="30" t="str">
        <x:v>当前承担Agent/其本地工具；跨节点操作需实际接收方执行</x:v>
      </x:c>
      <x:c r="E268" s="30" t="str">
        <x:v>依前序真实结果执行</x:v>
      </x:c>
      <x:c r="F268" s="30" t="str">
        <x:v>等待操作反馈后再由Agent决定是否继续</x:v>
      </x:c>
    </x:row>
    <x:row r="269" ht="65" customHeight="1">
      <x:c r="A269" s="30" t="str">
        <x:v>Q059</x:v>
      </x:c>
      <x:c r="B269" s="30" t="n">
        <x:v>2</x:v>
      </x:c>
      <x:c r="C269" s="30" t="str">
        <x:v>A044</x:v>
      </x:c>
      <x:c r="D269" s="30" t="str">
        <x:v>当前承担Agent/其本地工具；跨节点操作需实际接收方执行</x:v>
      </x:c>
      <x:c r="E269" s="30" t="str">
        <x:v>依前序真实结果执行</x:v>
      </x:c>
      <x:c r="F269" s="30" t="str">
        <x:v>等待操作反馈后再由Agent决定是否继续</x:v>
      </x:c>
    </x:row>
    <x:row r="270" ht="65" customHeight="1">
      <x:c r="A270" s="30" t="str">
        <x:v>Q059</x:v>
      </x:c>
      <x:c r="B270" s="30" t="n">
        <x:v>3</x:v>
      </x:c>
      <x:c r="C270" s="30" t="str">
        <x:v>A006</x:v>
      </x:c>
      <x:c r="D270" s="30" t="str">
        <x:v>当前承担Agent/其本地工具；跨节点操作需实际接收方执行</x:v>
      </x:c>
      <x:c r="E270" s="30" t="str">
        <x:v>依前序真实结果执行</x:v>
      </x:c>
      <x:c r="F270" s="30" t="str">
        <x:v>等待操作反馈后再由Agent决定是否继续</x:v>
      </x:c>
    </x:row>
    <x:row r="271" ht="65" customHeight="1">
      <x:c r="A271" s="30" t="str">
        <x:v>Q059</x:v>
      </x:c>
      <x:c r="B271" s="30" t="n">
        <x:v>4</x:v>
      </x:c>
      <x:c r="C271" s="30" t="str">
        <x:v>A041</x:v>
      </x:c>
      <x:c r="D271" s="30" t="str">
        <x:v>当前承担Agent/其本地工具；跨节点操作需实际接收方执行</x:v>
      </x:c>
      <x:c r="E271" s="30" t="str">
        <x:v>依前序真实结果执行</x:v>
      </x:c>
      <x:c r="F271" s="30" t="str">
        <x:v>使用当前任务与证据产生推断，计上下文与推理成本</x:v>
      </x:c>
    </x:row>
    <x:row r="272" ht="65" customHeight="1">
      <x:c r="A272" s="30" t="str">
        <x:v>Q060</x:v>
      </x:c>
      <x:c r="B272" s="30" t="n">
        <x:v>1</x:v>
      </x:c>
      <x:c r="C272" s="30" t="str">
        <x:v>A042</x:v>
      </x:c>
      <x:c r="D272" s="30" t="str">
        <x:v>请求Agent</x:v>
      </x:c>
      <x:c r="E272" s="30" t="str">
        <x:v>依前序真实结果执行</x:v>
      </x:c>
      <x:c r="F272" s="30" t="str">
        <x:v>等待操作反馈后再由Agent决定是否继续</x:v>
      </x:c>
    </x:row>
    <x:row r="273" ht="65" customHeight="1">
      <x:c r="A273" s="30" t="str">
        <x:v>Q060</x:v>
      </x:c>
      <x:c r="B273" s="30" t="n">
        <x:v>2</x:v>
      </x:c>
      <x:c r="C273" s="30" t="str">
        <x:v>A043</x:v>
      </x:c>
      <x:c r="D273" s="30" t="str">
        <x:v>请求Agent</x:v>
      </x:c>
      <x:c r="E273" s="30" t="str">
        <x:v>依前序真实结果执行</x:v>
      </x:c>
      <x:c r="F273" s="30" t="str">
        <x:v>等待操作反馈后再由Agent决定是否继续</x:v>
      </x:c>
    </x:row>
    <x:row r="274" ht="65" customHeight="1">
      <x:c r="A274" s="30" t="str">
        <x:v>Q060</x:v>
      </x:c>
      <x:c r="B274" s="30" t="n">
        <x:v>3</x:v>
      </x:c>
      <x:c r="C274" s="30" t="str">
        <x:v>A036</x:v>
      </x:c>
      <x:c r="D274" s="30" t="str">
        <x:v>请求Agent</x:v>
      </x:c>
      <x:c r="E274" s="30" t="str">
        <x:v>依前序真实结果执行</x:v>
      </x:c>
      <x:c r="F274" s="30" t="str">
        <x:v>等待操作反馈后再由Agent决定是否继续</x:v>
      </x:c>
    </x:row>
    <x:row r="275" ht="65" customHeight="1">
      <x:c r="A275" s="30" t="str">
        <x:v>Q060</x:v>
      </x:c>
      <x:c r="B275" s="30" t="n">
        <x:v>4</x:v>
      </x:c>
      <x:c r="C275" s="30" t="str">
        <x:v>A065</x:v>
      </x:c>
      <x:c r="D275" s="30" t="str">
        <x:v>远端收件器</x:v>
      </x:c>
      <x:c r="E275" s="30" t="str">
        <x:v>依前序真实结果执行</x:v>
      </x:c>
      <x:c r="F275" s="30" t="str">
        <x:v>等待操作反馈后再由Agent决定是否继续</x:v>
      </x:c>
    </x:row>
    <x:row r="276" ht="65" customHeight="1">
      <x:c r="A276" s="30" t="str">
        <x:v>Q060</x:v>
      </x:c>
      <x:c r="B276" s="30" t="n">
        <x:v>5</x:v>
      </x:c>
      <x:c r="C276" s="30" t="str">
        <x:v>A044</x:v>
      </x:c>
      <x:c r="D276" s="30" t="str">
        <x:v>远端计算节点</x:v>
      </x:c>
      <x:c r="E276" s="30" t="str">
        <x:v>依前序真实结果执行</x:v>
      </x:c>
      <x:c r="F276" s="30" t="str">
        <x:v>等待操作反馈后再由Agent决定是否继续</x:v>
      </x:c>
    </x:row>
    <x:row r="277" ht="65" customHeight="1">
      <x:c r="A277" s="30" t="str">
        <x:v>Q060</x:v>
      </x:c>
      <x:c r="B277" s="30" t="n">
        <x:v>6</x:v>
      </x:c>
      <x:c r="C277" s="30" t="str">
        <x:v>A006</x:v>
      </x:c>
      <x:c r="D277" s="30" t="str">
        <x:v>远端模型服务</x:v>
      </x:c>
      <x:c r="E277" s="30" t="str">
        <x:v>依前序真实结果执行</x:v>
      </x:c>
      <x:c r="F277" s="30" t="str">
        <x:v>等待操作反馈后再由Agent决定是否继续</x:v>
      </x:c>
    </x:row>
    <x:row r="278" ht="65" customHeight="1">
      <x:c r="A278" s="30" t="str">
        <x:v>Q060</x:v>
      </x:c>
      <x:c r="B278" s="30" t="n">
        <x:v>7</x:v>
      </x:c>
      <x:c r="C278" s="30" t="str">
        <x:v>A036</x:v>
      </x:c>
      <x:c r="D278" s="30" t="str">
        <x:v>远端发送器</x:v>
      </x:c>
      <x:c r="E278" s="30" t="str">
        <x:v>依前序真实结果执行</x:v>
      </x:c>
      <x:c r="F278" s="30" t="str">
        <x:v>等待操作反馈后再由Agent决定是否继续</x:v>
      </x:c>
    </x:row>
    <x:row r="279" ht="65" customHeight="1">
      <x:c r="A279" s="30" t="str">
        <x:v>Q060</x:v>
      </x:c>
      <x:c r="B279" s="30" t="n">
        <x:v>8</x:v>
      </x:c>
      <x:c r="C279" s="30" t="str">
        <x:v>A065</x:v>
      </x:c>
      <x:c r="D279" s="30" t="str">
        <x:v>请求Agent收件器</x:v>
      </x:c>
      <x:c r="E279" s="30" t="str">
        <x:v>依前序真实结果执行</x:v>
      </x:c>
      <x:c r="F279" s="30" t="str">
        <x:v>等待操作反馈后再由Agent决定是否继续</x:v>
      </x:c>
    </x:row>
    <x:row r="280" ht="65" customHeight="1">
      <x:c r="A280" s="30" t="str">
        <x:v>Q060</x:v>
      </x:c>
      <x:c r="B280" s="30" t="n">
        <x:v>9</x:v>
      </x:c>
      <x:c r="C280" s="30" t="str">
        <x:v>A041</x:v>
      </x:c>
      <x:c r="D280" s="30" t="str">
        <x:v>请求Agent</x:v>
      </x:c>
      <x:c r="E280" s="30" t="str">
        <x:v>依前序真实结果执行</x:v>
      </x:c>
      <x:c r="F280" s="30" t="str">
        <x:v>输入送达→远端完成→结果回传后才可用于决策</x:v>
      </x:c>
    </x:row>
    <x:row r="281" ht="65" customHeight="1">
      <x:c r="A281" s="30" t="str">
        <x:v>Q061</x:v>
      </x:c>
      <x:c r="B281" s="30" t="n">
        <x:v>1</x:v>
      </x:c>
      <x:c r="C281" s="30" t="str">
        <x:v>A042</x:v>
      </x:c>
      <x:c r="D281" s="30" t="str">
        <x:v>当前承担Agent/其本地工具；跨节点操作需实际接收方执行</x:v>
      </x:c>
      <x:c r="E281" s="30" t="str">
        <x:v>依前序真实结果执行</x:v>
      </x:c>
      <x:c r="F281" s="30" t="str">
        <x:v>等待操作反馈后再由Agent决定是否继续</x:v>
      </x:c>
    </x:row>
    <x:row r="282" ht="65" customHeight="1">
      <x:c r="A282" s="30" t="str">
        <x:v>Q061</x:v>
      </x:c>
      <x:c r="B282" s="30" t="n">
        <x:v>2</x:v>
      </x:c>
      <x:c r="C282" s="30" t="str">
        <x:v>A043</x:v>
      </x:c>
      <x:c r="D282" s="30" t="str">
        <x:v>当前承担Agent/其本地工具；跨节点操作需实际接收方执行</x:v>
      </x:c>
      <x:c r="E282" s="30" t="str">
        <x:v>依前序真实结果执行</x:v>
      </x:c>
      <x:c r="F282" s="30" t="str">
        <x:v>等待操作反馈后再由Agent决定是否继续</x:v>
      </x:c>
    </x:row>
    <x:row r="283" ht="65" customHeight="1">
      <x:c r="A283" s="30" t="str">
        <x:v>Q061</x:v>
      </x:c>
      <x:c r="B283" s="30" t="n">
        <x:v>3</x:v>
      </x:c>
      <x:c r="C283" s="30" t="str">
        <x:v>A054</x:v>
      </x:c>
      <x:c r="D283" s="30" t="str">
        <x:v>当前承担Agent/其本地工具；跨节点操作需实际接收方执行</x:v>
      </x:c>
      <x:c r="E283" s="30" t="str">
        <x:v>依前序真实结果执行</x:v>
      </x:c>
      <x:c r="F283" s="30" t="str">
        <x:v>基于已知质量/时延/预算产生可执行选项</x:v>
      </x:c>
    </x:row>
    <x:row r="284" ht="65" customHeight="1">
      <x:c r="A284" s="30" t="str">
        <x:v>Q062</x:v>
      </x:c>
      <x:c r="B284" s="30" t="n">
        <x:v>1</x:v>
      </x:c>
      <x:c r="C284" s="30" t="str">
        <x:v>A044</x:v>
      </x:c>
      <x:c r="D284" s="30" t="str">
        <x:v>当前承担Agent/其本地工具；跨节点操作需实际接收方执行</x:v>
      </x:c>
      <x:c r="E284" s="30" t="str">
        <x:v>依前序真实结果执行</x:v>
      </x:c>
      <x:c r="F284" s="30" t="str">
        <x:v>等待操作反馈后再由Agent决定是否继续</x:v>
      </x:c>
    </x:row>
    <x:row r="285" ht="65" customHeight="1">
      <x:c r="A285" s="30" t="str">
        <x:v>Q062</x:v>
      </x:c>
      <x:c r="B285" s="30" t="n">
        <x:v>2</x:v>
      </x:c>
      <x:c r="C285" s="30" t="str">
        <x:v>A006</x:v>
      </x:c>
      <x:c r="D285" s="30" t="str">
        <x:v>当前承担Agent/其本地工具；跨节点操作需实际接收方执行</x:v>
      </x:c>
      <x:c r="E285" s="30" t="str">
        <x:v>依前序真实结果执行</x:v>
      </x:c>
      <x:c r="F285" s="30" t="str">
        <x:v>等待操作反馈后再由Agent决定是否继续</x:v>
      </x:c>
    </x:row>
    <x:row r="286" ht="65" customHeight="1">
      <x:c r="A286" s="30" t="str">
        <x:v>Q062</x:v>
      </x:c>
      <x:c r="B286" s="30" t="n">
        <x:v>3</x:v>
      </x:c>
      <x:c r="C286" s="30" t="str">
        <x:v>A049</x:v>
      </x:c>
      <x:c r="D286" s="30" t="str">
        <x:v>当前承担Agent/其本地工具；跨节点操作需实际接收方执行</x:v>
      </x:c>
      <x:c r="E286" s="30" t="str">
        <x:v>依前序真实结果执行</x:v>
      </x:c>
      <x:c r="F286" s="30" t="str">
        <x:v>实际预留、排队、执行、释放，入队不是完成</x:v>
      </x:c>
    </x:row>
    <x:row r="287" ht="65" customHeight="1">
      <x:c r="A287" s="30" t="str">
        <x:v>Q063</x:v>
      </x:c>
      <x:c r="B287" s="30" t="n">
        <x:v>1</x:v>
      </x:c>
      <x:c r="C287" s="30" t="str">
        <x:v>A045</x:v>
      </x:c>
      <x:c r="D287" s="30" t="str">
        <x:v>当前承担Agent/其本地工具；跨节点操作需实际接收方执行</x:v>
      </x:c>
      <x:c r="E287" s="30" t="str">
        <x:v>依前序真实结果执行</x:v>
      </x:c>
      <x:c r="F287" s="30" t="str">
        <x:v>等待操作反馈后再由Agent决定是否继续</x:v>
      </x:c>
    </x:row>
    <x:row r="288" ht="65" customHeight="1">
      <x:c r="A288" s="30" t="str">
        <x:v>Q063</x:v>
      </x:c>
      <x:c r="B288" s="30" t="n">
        <x:v>2</x:v>
      </x:c>
      <x:c r="C288" s="30" t="str">
        <x:v>A054</x:v>
      </x:c>
      <x:c r="D288" s="30" t="str">
        <x:v>当前承担Agent/其本地工具；跨节点操作需实际接收方执行</x:v>
      </x:c>
      <x:c r="E288" s="30" t="str">
        <x:v>依前序真实结果执行</x:v>
      </x:c>
      <x:c r="F288" s="30" t="str">
        <x:v>锁定版本在目标设备ready或卸载并更新资源</x:v>
      </x:c>
    </x:row>
    <x:row r="289" ht="65" customHeight="1">
      <x:c r="A289" s="30" t="str">
        <x:v>Q064</x:v>
      </x:c>
      <x:c r="B289" s="30" t="n">
        <x:v>1</x:v>
      </x:c>
      <x:c r="C289" s="30" t="str">
        <x:v>A038</x:v>
      </x:c>
      <x:c r="D289" s="30" t="str">
        <x:v>当前承担Agent/其本地工具；跨节点操作需实际接收方执行</x:v>
      </x:c>
      <x:c r="E289" s="30" t="str">
        <x:v>依前序真实结果执行</x:v>
      </x:c>
      <x:c r="F289" s="30" t="str">
        <x:v>等待操作反馈后再由Agent决定是否继续</x:v>
      </x:c>
    </x:row>
    <x:row r="290" ht="65" customHeight="1">
      <x:c r="A290" s="30" t="str">
        <x:v>Q064</x:v>
      </x:c>
      <x:c r="B290" s="30" t="n">
        <x:v>2</x:v>
      </x:c>
      <x:c r="C290" s="30" t="str">
        <x:v>A046</x:v>
      </x:c>
      <x:c r="D290" s="30" t="str">
        <x:v>当前承担Agent/其本地工具；跨节点操作需实际接收方执行</x:v>
      </x:c>
      <x:c r="E290" s="30" t="str">
        <x:v>依前序真实结果执行</x:v>
      </x:c>
      <x:c r="F290" s="30" t="str">
        <x:v>等待操作反馈后再由Agent决定是否继续</x:v>
      </x:c>
    </x:row>
    <x:row r="291" ht="65" customHeight="1">
      <x:c r="A291" s="30" t="str">
        <x:v>Q064</x:v>
      </x:c>
      <x:c r="B291" s="30" t="n">
        <x:v>3</x:v>
      </x:c>
      <x:c r="C291" s="30" t="str">
        <x:v>A044</x:v>
      </x:c>
      <x:c r="D291" s="30" t="str">
        <x:v>当前承担Agent/其本地工具；跨节点操作需实际接收方执行</x:v>
      </x:c>
      <x:c r="E291" s="30" t="str">
        <x:v>依前序真实结果执行</x:v>
      </x:c>
      <x:c r="F291" s="30" t="str">
        <x:v>等待操作反馈后再由Agent决定是否继续</x:v>
      </x:c>
    </x:row>
    <x:row r="292" ht="65" customHeight="1">
      <x:c r="A292" s="30" t="str">
        <x:v>Q064</x:v>
      </x:c>
      <x:c r="B292" s="30" t="n">
        <x:v>4</x:v>
      </x:c>
      <x:c r="C292" s="30" t="str">
        <x:v>A006</x:v>
      </x:c>
      <x:c r="D292" s="30" t="str">
        <x:v>当前承担Agent/其本地工具；跨节点操作需实际接收方执行</x:v>
      </x:c>
      <x:c r="E292" s="30" t="str">
        <x:v>依前序真实结果执行</x:v>
      </x:c>
      <x:c r="F292" s="30" t="str">
        <x:v>兼容时复用并记录节省；不兼容不得强行共享KV</x:v>
      </x:c>
    </x:row>
    <x:row r="293" ht="65" customHeight="1">
      <x:c r="A293" s="30" t="str">
        <x:v>Q065</x:v>
      </x:c>
      <x:c r="B293" s="30" t="n">
        <x:v>1</x:v>
      </x:c>
      <x:c r="C293" s="30" t="str">
        <x:v>A047</x:v>
      </x:c>
      <x:c r="D293" s="30" t="str">
        <x:v>当前承担Agent/其本地工具；跨节点操作需实际接收方执行</x:v>
      </x:c>
      <x:c r="E293" s="30" t="str">
        <x:v>依前序真实结果执行</x:v>
      </x:c>
      <x:c r="F293" s="30" t="str">
        <x:v>等待操作反馈后再由Agent决定是否继续</x:v>
      </x:c>
    </x:row>
    <x:row r="294" ht="65" customHeight="1">
      <x:c r="A294" s="30" t="str">
        <x:v>Q065</x:v>
      </x:c>
      <x:c r="B294" s="30" t="n">
        <x:v>2</x:v>
      </x:c>
      <x:c r="C294" s="30" t="str">
        <x:v>A036</x:v>
      </x:c>
      <x:c r="D294" s="30" t="str">
        <x:v>当前承担Agent/其本地工具；跨节点操作需实际接收方执行</x:v>
      </x:c>
      <x:c r="E294" s="30" t="str">
        <x:v>依前序真实结果执行</x:v>
      </x:c>
      <x:c r="F294" s="30" t="str">
        <x:v>等待操作反馈后再由Agent决定是否继续</x:v>
      </x:c>
    </x:row>
    <x:row r="295" ht="65" customHeight="1">
      <x:c r="A295" s="30" t="str">
        <x:v>Q065</x:v>
      </x:c>
      <x:c r="B295" s="30" t="n">
        <x:v>3</x:v>
      </x:c>
      <x:c r="C295" s="30" t="str">
        <x:v>A037</x:v>
      </x:c>
      <x:c r="D295" s="30" t="str">
        <x:v>当前承担Agent/其本地工具；跨节点操作需实际接收方执行</x:v>
      </x:c>
      <x:c r="E295" s="30" t="str">
        <x:v>依前序真实结果执行</x:v>
      </x:c>
      <x:c r="F295" s="30" t="str">
        <x:v>等待操作反馈后再由Agent决定是否继续</x:v>
      </x:c>
    </x:row>
    <x:row r="296" ht="65" customHeight="1">
      <x:c r="A296" s="30" t="str">
        <x:v>Q065</x:v>
      </x:c>
      <x:c r="B296" s="30" t="n">
        <x:v>4</x:v>
      </x:c>
      <x:c r="C296" s="30" t="str">
        <x:v>A045</x:v>
      </x:c>
      <x:c r="D296" s="30" t="str">
        <x:v>当前承担Agent/其本地工具；跨节点操作需实际接收方执行</x:v>
      </x:c>
      <x:c r="E296" s="30" t="str">
        <x:v>依前序真实结果执行</x:v>
      </x:c>
      <x:c r="F296" s="30" t="str">
        <x:v>等待操作反馈后再由Agent决定是否继续</x:v>
      </x:c>
    </x:row>
    <x:row r="297" ht="65" customHeight="1">
      <x:c r="A297" s="30" t="str">
        <x:v>Q065</x:v>
      </x:c>
      <x:c r="B297" s="30" t="n">
        <x:v>5</x:v>
      </x:c>
      <x:c r="C297" s="30" t="str">
        <x:v>A044</x:v>
      </x:c>
      <x:c r="D297" s="30" t="str">
        <x:v>当前承担Agent/其本地工具；跨节点操作需实际接收方执行</x:v>
      </x:c>
      <x:c r="E297" s="30" t="str">
        <x:v>依前序真实结果执行</x:v>
      </x:c>
      <x:c r="F297" s="30" t="str">
        <x:v>等待操作反馈后再由Agent决定是否继续</x:v>
      </x:c>
    </x:row>
    <x:row r="298" ht="65" customHeight="1">
      <x:c r="A298" s="30" t="str">
        <x:v>Q065</x:v>
      </x:c>
      <x:c r="B298" s="30" t="n">
        <x:v>6</x:v>
      </x:c>
      <x:c r="C298" s="30" t="str">
        <x:v>A006</x:v>
      </x:c>
      <x:c r="D298" s="30" t="str">
        <x:v>当前承担Agent/其本地工具；跨节点操作需实际接收方执行</x:v>
      </x:c>
      <x:c r="E298" s="30" t="str">
        <x:v>依前序真实结果执行</x:v>
      </x:c>
      <x:c r="F298" s="30" t="str">
        <x:v>检查点与模型兼容，迁移后恢复且计传输成本</x:v>
      </x:c>
    </x:row>
    <x:row r="299" ht="65" customHeight="1">
      <x:c r="A299" s="30" t="str">
        <x:v>Q066</x:v>
      </x:c>
      <x:c r="B299" s="30" t="n">
        <x:v>1</x:v>
      </x:c>
      <x:c r="C299" s="30" t="str">
        <x:v>A048</x:v>
      </x:c>
      <x:c r="D299" s="30" t="str">
        <x:v>当前承担Agent/其本地工具；跨节点操作需实际接收方执行</x:v>
      </x:c>
      <x:c r="E299" s="30" t="str">
        <x:v>依前序真实结果执行</x:v>
      </x:c>
      <x:c r="F299" s="30" t="str">
        <x:v>等待操作反馈后再由Agent决定是否继续</x:v>
      </x:c>
    </x:row>
    <x:row r="300" ht="65" customHeight="1">
      <x:c r="A300" s="30" t="str">
        <x:v>Q066</x:v>
      </x:c>
      <x:c r="B300" s="30" t="n">
        <x:v>2</x:v>
      </x:c>
      <x:c r="C300" s="30" t="str">
        <x:v>A043</x:v>
      </x:c>
      <x:c r="D300" s="30" t="str">
        <x:v>当前承担Agent/其本地工具；跨节点操作需实际接收方执行</x:v>
      </x:c>
      <x:c r="E300" s="30" t="str">
        <x:v>依前序真实结果执行</x:v>
      </x:c>
      <x:c r="F300" s="30" t="str">
        <x:v>等待操作反馈后再由Agent决定是否继续</x:v>
      </x:c>
    </x:row>
    <x:row r="301" ht="65" customHeight="1">
      <x:c r="A301" s="30" t="str">
        <x:v>Q066</x:v>
      </x:c>
      <x:c r="B301" s="30" t="n">
        <x:v>3</x:v>
      </x:c>
      <x:c r="C301" s="30" t="str">
        <x:v>A044</x:v>
      </x:c>
      <x:c r="D301" s="30" t="str">
        <x:v>当前承担Agent/其本地工具；跨节点操作需实际接收方执行</x:v>
      </x:c>
      <x:c r="E301" s="30" t="str">
        <x:v>依前序真实结果执行</x:v>
      </x:c>
      <x:c r="F301" s="30" t="str">
        <x:v>等待操作反馈后再由Agent决定是否继续</x:v>
      </x:c>
    </x:row>
    <x:row r="302" ht="65" customHeight="1">
      <x:c r="A302" s="30" t="str">
        <x:v>Q066</x:v>
      </x:c>
      <x:c r="B302" s="30" t="n">
        <x:v>4</x:v>
      </x:c>
      <x:c r="C302" s="30" t="str">
        <x:v>A006</x:v>
      </x:c>
      <x:c r="D302" s="30" t="str">
        <x:v>当前承担Agent/其本地工具；跨节点操作需实际接收方执行</x:v>
      </x:c>
      <x:c r="E302" s="30" t="str">
        <x:v>依前序真实结果执行</x:v>
      </x:c>
      <x:c r="F302" s="30" t="str">
        <x:v>等待操作反馈后再由Agent决定是否继续</x:v>
      </x:c>
    </x:row>
    <x:row r="303" ht="65" customHeight="1">
      <x:c r="A303" s="30" t="str">
        <x:v>Q066</x:v>
      </x:c>
      <x:c r="B303" s="30" t="n">
        <x:v>5</x:v>
      </x:c>
      <x:c r="C303" s="30" t="str">
        <x:v>A049</x:v>
      </x:c>
      <x:c r="D303" s="30" t="str">
        <x:v>当前承担Agent/其本地工具；跨节点操作需实际接收方执行</x:v>
      </x:c>
      <x:c r="E303" s="30" t="str">
        <x:v>依前序真实结果执行</x:v>
      </x:c>
      <x:c r="F303" s="30" t="str">
        <x:v>遵守版本和预算，旧结果不覆盖新任务</x:v>
      </x:c>
    </x:row>
    <x:row r="304" ht="65" customHeight="1">
      <x:c r="A304" s="30" t="str">
        <x:v>Q067</x:v>
      </x:c>
      <x:c r="B304" s="30" t="n">
        <x:v>1</x:v>
      </x:c>
      <x:c r="C304" s="30" t="str">
        <x:v>A040</x:v>
      </x:c>
      <x:c r="D304" s="30" t="str">
        <x:v>当前承担Agent/其本地工具；跨节点操作需实际接收方执行</x:v>
      </x:c>
      <x:c r="E304" s="30" t="str">
        <x:v>依前序真实结果执行</x:v>
      </x:c>
      <x:c r="F304" s="30" t="str">
        <x:v>等待操作反馈后再由Agent决定是否继续</x:v>
      </x:c>
    </x:row>
    <x:row r="305" ht="65" customHeight="1">
      <x:c r="A305" s="30" t="str">
        <x:v>Q067</x:v>
      </x:c>
      <x:c r="B305" s="30" t="n">
        <x:v>2</x:v>
      </x:c>
      <x:c r="C305" s="30" t="str">
        <x:v>A044</x:v>
      </x:c>
      <x:c r="D305" s="30" t="str">
        <x:v>当前承担Agent/其本地工具；跨节点操作需实际接收方执行</x:v>
      </x:c>
      <x:c r="E305" s="30" t="str">
        <x:v>依前序真实结果执行</x:v>
      </x:c>
      <x:c r="F305" s="30" t="str">
        <x:v>等待操作反馈后再由Agent决定是否继续</x:v>
      </x:c>
    </x:row>
    <x:row r="306" ht="65" customHeight="1">
      <x:c r="A306" s="30" t="str">
        <x:v>Q067</x:v>
      </x:c>
      <x:c r="B306" s="30" t="n">
        <x:v>3</x:v>
      </x:c>
      <x:c r="C306" s="30" t="str">
        <x:v>A006</x:v>
      </x:c>
      <x:c r="D306" s="30" t="str">
        <x:v>当前承担Agent/其本地工具；跨节点操作需实际接收方执行</x:v>
      </x:c>
      <x:c r="E306" s="30" t="str">
        <x:v>依前序真实结果执行</x:v>
      </x:c>
      <x:c r="F306" s="30" t="str">
        <x:v>等待操作反馈后再由Agent决定是否继续</x:v>
      </x:c>
    </x:row>
    <x:row r="307" ht="65" customHeight="1">
      <x:c r="A307" s="30" t="str">
        <x:v>Q067</x:v>
      </x:c>
      <x:c r="B307" s="30" t="n">
        <x:v>4</x:v>
      </x:c>
      <x:c r="C307" s="30" t="str">
        <x:v>A041</x:v>
      </x:c>
      <x:c r="D307" s="30" t="str">
        <x:v>当前承担Agent/其本地工具；跨节点操作需实际接收方执行</x:v>
      </x:c>
      <x:c r="E307" s="30" t="str">
        <x:v>依前序真实结果执行</x:v>
      </x:c>
      <x:c r="F307" s="30" t="str">
        <x:v>符合批处理/融合输入约束，结果保留每项来源</x:v>
      </x:c>
    </x:row>
    <x:row r="308" ht="65" customHeight="1">
      <x:c r="A308" s="30" t="str">
        <x:v>Q068</x:v>
      </x:c>
      <x:c r="B308" s="30" t="n">
        <x:v>1</x:v>
      </x:c>
      <x:c r="C308" s="30" t="str">
        <x:v>A049</x:v>
      </x:c>
      <x:c r="D308" s="30" t="str">
        <x:v>当前承担Agent/其本地工具；跨节点操作需实际接收方执行</x:v>
      </x:c>
      <x:c r="E308" s="30" t="str">
        <x:v>依前序真实结果执行</x:v>
      </x:c>
      <x:c r="F308" s="30" t="str">
        <x:v>等待操作反馈后再由Agent决定是否继续</x:v>
      </x:c>
    </x:row>
    <x:row r="309" ht="65" customHeight="1">
      <x:c r="A309" s="30" t="str">
        <x:v>Q068</x:v>
      </x:c>
      <x:c r="B309" s="30" t="n">
        <x:v>2</x:v>
      </x:c>
      <x:c r="C309" s="30" t="str">
        <x:v>A046</x:v>
      </x:c>
      <x:c r="D309" s="30" t="str">
        <x:v>当前承担Agent/其本地工具；跨节点操作需实际接收方执行</x:v>
      </x:c>
      <x:c r="E309" s="30" t="str">
        <x:v>依前序真实结果执行</x:v>
      </x:c>
      <x:c r="F309" s="30" t="str">
        <x:v>等待操作反馈后再由Agent决定是否继续</x:v>
      </x:c>
    </x:row>
    <x:row r="310" ht="65" customHeight="1">
      <x:c r="A310" s="30" t="str">
        <x:v>Q068</x:v>
      </x:c>
      <x:c r="B310" s="30" t="n">
        <x:v>3</x:v>
      </x:c>
      <x:c r="C310" s="30" t="str">
        <x:v>A054</x:v>
      </x:c>
      <x:c r="D310" s="30" t="str">
        <x:v>当前承担Agent/其本地工具；跨节点操作需实际接收方执行</x:v>
      </x:c>
      <x:c r="E310" s="30" t="str">
        <x:v>依前序真实结果执行</x:v>
      </x:c>
      <x:c r="F310" s="30" t="str">
        <x:v>资源实际释放，不删除其他活动作业依赖</x:v>
      </x:c>
    </x:row>
    <x:row r="311" ht="65" customHeight="1">
      <x:c r="A311" s="30" t="str">
        <x:v>Q069</x:v>
      </x:c>
      <x:c r="B311" s="30" t="n">
        <x:v>1</x:v>
      </x:c>
      <x:c r="C311" s="30" t="str">
        <x:v>A007</x:v>
      </x:c>
      <x:c r="D311" s="30" t="str">
        <x:v>当前承担Agent/其本地工具；跨节点操作需实际接收方执行</x:v>
      </x:c>
      <x:c r="E311" s="30" t="str">
        <x:v>依前序真实结果执行</x:v>
      </x:c>
      <x:c r="F311" s="30" t="str">
        <x:v>等待操作反馈后再由Agent决定是否继续</x:v>
      </x:c>
    </x:row>
    <x:row r="312" ht="65" customHeight="1">
      <x:c r="A312" s="30" t="str">
        <x:v>Q069</x:v>
      </x:c>
      <x:c r="B312" s="30" t="n">
        <x:v>2</x:v>
      </x:c>
      <x:c r="C312" s="30" t="str">
        <x:v>A040</x:v>
      </x:c>
      <x:c r="D312" s="30" t="str">
        <x:v>当前承担Agent/其本地工具；跨节点操作需实际接收方执行</x:v>
      </x:c>
      <x:c r="E312" s="30" t="str">
        <x:v>依前序真实结果执行</x:v>
      </x:c>
      <x:c r="F312" s="30" t="str">
        <x:v>等待操作反馈后再由Agent决定是否继续</x:v>
      </x:c>
    </x:row>
    <x:row r="313" ht="65" customHeight="1">
      <x:c r="A313" s="30" t="str">
        <x:v>Q069</x:v>
      </x:c>
      <x:c r="B313" s="30" t="n">
        <x:v>3</x:v>
      </x:c>
      <x:c r="C313" s="30" t="str">
        <x:v>A041</x:v>
      </x:c>
      <x:c r="D313" s="30" t="str">
        <x:v>当前承担Agent/其本地工具；跨节点操作需实际接收方执行</x:v>
      </x:c>
      <x:c r="E313" s="30" t="str">
        <x:v>依前序真实结果执行</x:v>
      </x:c>
      <x:c r="F313" s="30" t="str">
        <x:v>观测时间/坐标可比较且误差保留</x:v>
      </x:c>
    </x:row>
    <x:row r="314" ht="65" customHeight="1">
      <x:c r="A314" s="30" t="str">
        <x:v>Q070</x:v>
      </x:c>
      <x:c r="B314" s="30" t="n">
        <x:v>1</x:v>
      </x:c>
      <x:c r="C314" s="30" t="str">
        <x:v>A038</x:v>
      </x:c>
      <x:c r="D314" s="30" t="str">
        <x:v>当前承担Agent/其本地工具；跨节点操作需实际接收方执行</x:v>
      </x:c>
      <x:c r="E314" s="30" t="str">
        <x:v>依前序真实结果执行</x:v>
      </x:c>
      <x:c r="F314" s="30" t="str">
        <x:v>等待操作反馈后再由Agent决定是否继续</x:v>
      </x:c>
    </x:row>
    <x:row r="315" ht="65" customHeight="1">
      <x:c r="A315" s="30" t="str">
        <x:v>Q070</x:v>
      </x:c>
      <x:c r="B315" s="30" t="n">
        <x:v>2</x:v>
      </x:c>
      <x:c r="C315" s="30" t="str">
        <x:v>A041</x:v>
      </x:c>
      <x:c r="D315" s="30" t="str">
        <x:v>当前承担Agent/其本地工具；跨节点操作需实际接收方执行</x:v>
      </x:c>
      <x:c r="E315" s="30" t="str">
        <x:v>依前序真实结果执行</x:v>
      </x:c>
      <x:c r="F315" s="30" t="str">
        <x:v>返回本机有权访问的相关历史，不能读取队友私库</x:v>
      </x:c>
    </x:row>
    <x:row r="316" ht="65" customHeight="1">
      <x:c r="A316" s="30" t="str">
        <x:v>Q071</x:v>
      </x:c>
      <x:c r="B316" s="30" t="n">
        <x:v>1</x:v>
      </x:c>
      <x:c r="C316" s="30" t="str">
        <x:v>A039</x:v>
      </x:c>
      <x:c r="D316" s="30" t="str">
        <x:v>当前承担Agent/其本地工具；跨节点操作需实际接收方执行</x:v>
      </x:c>
      <x:c r="E316" s="30" t="str">
        <x:v>依前序真实结果执行</x:v>
      </x:c>
      <x:c r="F316" s="30" t="str">
        <x:v>等待操作反馈后再由Agent决定是否继续</x:v>
      </x:c>
    </x:row>
    <x:row r="317" ht="65" customHeight="1">
      <x:c r="A317" s="30" t="str">
        <x:v>Q071</x:v>
      </x:c>
      <x:c r="B317" s="30" t="n">
        <x:v>2</x:v>
      </x:c>
      <x:c r="C317" s="30" t="str">
        <x:v>A046</x:v>
      </x:c>
      <x:c r="D317" s="30" t="str">
        <x:v>当前承担Agent/其本地工具；跨节点操作需实际接收方执行</x:v>
      </x:c>
      <x:c r="E317" s="30" t="str">
        <x:v>依前序真实结果执行</x:v>
      </x:c>
      <x:c r="F317" s="30" t="str">
        <x:v>产生可追溯内容、hash、字节及变换成本</x:v>
      </x:c>
    </x:row>
    <x:row r="318" ht="65" customHeight="1">
      <x:c r="A318" s="30" t="str">
        <x:v>Q072</x:v>
      </x:c>
      <x:c r="B318" s="30" t="n">
        <x:v>1</x:v>
      </x:c>
      <x:c r="C318" s="30" t="str">
        <x:v>A044</x:v>
      </x:c>
      <x:c r="D318" s="30" t="str">
        <x:v>当前承担Agent/其本地工具；跨节点操作需实际接收方执行</x:v>
      </x:c>
      <x:c r="E318" s="30" t="str">
        <x:v>依前序真实结果执行</x:v>
      </x:c>
      <x:c r="F318" s="30" t="str">
        <x:v>等待操作反馈后再由Agent决定是否继续</x:v>
      </x:c>
    </x:row>
    <x:row r="319" ht="65" customHeight="1">
      <x:c r="A319" s="30" t="str">
        <x:v>Q072</x:v>
      </x:c>
      <x:c r="B319" s="30" t="n">
        <x:v>2</x:v>
      </x:c>
      <x:c r="C319" s="30" t="str">
        <x:v>A006</x:v>
      </x:c>
      <x:c r="D319" s="30" t="str">
        <x:v>当前承担Agent/其本地工具；跨节点操作需实际接收方执行</x:v>
      </x:c>
      <x:c r="E319" s="30" t="str">
        <x:v>依前序真实结果执行</x:v>
      </x:c>
      <x:c r="F319" s="30" t="str">
        <x:v>等待操作反馈后再由Agent决定是否继续</x:v>
      </x:c>
    </x:row>
    <x:row r="320" ht="65" customHeight="1">
      <x:c r="A320" s="30" t="str">
        <x:v>Q072</x:v>
      </x:c>
      <x:c r="B320" s="30" t="n">
        <x:v>3</x:v>
      </x:c>
      <x:c r="C320" s="30" t="str">
        <x:v>A040</x:v>
      </x:c>
      <x:c r="D320" s="30" t="str">
        <x:v>当前承担Agent/其本地工具；跨节点操作需实际接收方执行</x:v>
      </x:c>
      <x:c r="E320" s="30" t="str">
        <x:v>依前序真实结果执行</x:v>
      </x:c>
      <x:c r="F320" s="30" t="str">
        <x:v>等待操作反馈后再由Agent决定是否继续</x:v>
      </x:c>
    </x:row>
    <x:row r="321" ht="65" customHeight="1">
      <x:c r="A321" s="30" t="str">
        <x:v>Q072</x:v>
      </x:c>
      <x:c r="B321" s="30" t="n">
        <x:v>4</x:v>
      </x:c>
      <x:c r="C321" s="30" t="str">
        <x:v>A041</x:v>
      </x:c>
      <x:c r="D321" s="30" t="str">
        <x:v>当前承担Agent/其本地工具；跨节点操作需实际接收方执行</x:v>
      </x:c>
      <x:c r="E321" s="30" t="str">
        <x:v>依前序真实结果执行</x:v>
      </x:c>
      <x:c r="F321" s="30" t="str">
        <x:v>输出不确定性/需复核判断，不将未检测当不存在</x:v>
      </x:c>
    </x:row>
    <x:row r="322" ht="65" customHeight="1">
      <x:c r="A322" s="30" t="str">
        <x:v>Q073</x:v>
      </x:c>
      <x:c r="B322" s="30" t="n">
        <x:v>1</x:v>
      </x:c>
      <x:c r="C322" s="30" t="str">
        <x:v>A038</x:v>
      </x:c>
      <x:c r="D322" s="30" t="str">
        <x:v>当前承担Agent/其本地工具；跨节点操作需实际接收方执行</x:v>
      </x:c>
      <x:c r="E322" s="30" t="str">
        <x:v>依前序真实结果执行</x:v>
      </x:c>
      <x:c r="F322" s="30" t="str">
        <x:v>等待操作反馈后再由Agent决定是否继续</x:v>
      </x:c>
    </x:row>
    <x:row r="323" ht="65" customHeight="1">
      <x:c r="A323" s="30" t="str">
        <x:v>Q073</x:v>
      </x:c>
      <x:c r="B323" s="30" t="n">
        <x:v>2</x:v>
      </x:c>
      <x:c r="C323" s="30" t="str">
        <x:v>A040</x:v>
      </x:c>
      <x:c r="D323" s="30" t="str">
        <x:v>当前承担Agent/其本地工具；跨节点操作需实际接收方执行</x:v>
      </x:c>
      <x:c r="E323" s="30" t="str">
        <x:v>依前序真实结果执行</x:v>
      </x:c>
      <x:c r="F323" s="30" t="str">
        <x:v>等待操作反馈后再由Agent决定是否继续</x:v>
      </x:c>
    </x:row>
    <x:row r="324" ht="65" customHeight="1">
      <x:c r="A324" s="30" t="str">
        <x:v>Q073</x:v>
      </x:c>
      <x:c r="B324" s="30" t="n">
        <x:v>3</x:v>
      </x:c>
      <x:c r="C324" s="30" t="str">
        <x:v>A041</x:v>
      </x:c>
      <x:c r="D324" s="30" t="str">
        <x:v>当前承担Agent/其本地工具；跨节点操作需实际接收方执行</x:v>
      </x:c>
      <x:c r="E324" s="30" t="str">
        <x:v>依前序真实结果执行</x:v>
      </x:c>
      <x:c r="F324" s="30" t="str">
        <x:v>等待操作反馈后再由Agent决定是否继续</x:v>
      </x:c>
    </x:row>
    <x:row r="325" ht="65" customHeight="1">
      <x:c r="A325" s="30" t="str">
        <x:v>Q073</x:v>
      </x:c>
      <x:c r="B325" s="30" t="n">
        <x:v>4</x:v>
      </x:c>
      <x:c r="C325" s="30" t="str">
        <x:v>A036</x:v>
      </x:c>
      <x:c r="D325" s="30" t="str">
        <x:v>当前承担Agent/其本地工具；跨节点操作需实际接收方执行</x:v>
      </x:c>
      <x:c r="E325" s="30" t="str">
        <x:v>依前序真实结果执行</x:v>
      </x:c>
      <x:c r="F325" s="30" t="str">
        <x:v>保留冲突与更正传播；接收者仅收件后更新</x:v>
      </x:c>
    </x:row>
    <x:row r="326" ht="65" customHeight="1">
      <x:c r="A326" s="30" t="str">
        <x:v>Q074</x:v>
      </x:c>
      <x:c r="B326" s="30" t="n">
        <x:v>1</x:v>
      </x:c>
      <x:c r="C326" s="30" t="str">
        <x:v>A038</x:v>
      </x:c>
      <x:c r="D326" s="30" t="str">
        <x:v>当前承担Agent/其本地工具；跨节点操作需实际接收方执行</x:v>
      </x:c>
      <x:c r="E326" s="30" t="str">
        <x:v>依前序真实结果执行</x:v>
      </x:c>
      <x:c r="F326" s="30" t="str">
        <x:v>等待操作反馈后再由Agent决定是否继续</x:v>
      </x:c>
    </x:row>
    <x:row r="327" ht="65" customHeight="1">
      <x:c r="A327" s="30" t="str">
        <x:v>Q074</x:v>
      </x:c>
      <x:c r="B327" s="30" t="n">
        <x:v>2</x:v>
      </x:c>
      <x:c r="C327" s="30" t="str">
        <x:v>A043</x:v>
      </x:c>
      <x:c r="D327" s="30" t="str">
        <x:v>当前承担Agent/其本地工具；跨节点操作需实际接收方执行</x:v>
      </x:c>
      <x:c r="E327" s="30" t="str">
        <x:v>依前序真实结果执行</x:v>
      </x:c>
      <x:c r="F327" s="30" t="str">
        <x:v>等待操作反馈后再由Agent决定是否继续</x:v>
      </x:c>
    </x:row>
    <x:row r="328" ht="65" customHeight="1">
      <x:c r="A328" s="30" t="str">
        <x:v>Q074</x:v>
      </x:c>
      <x:c r="B328" s="30" t="n">
        <x:v>3</x:v>
      </x:c>
      <x:c r="C328" s="30" t="str">
        <x:v>A039</x:v>
      </x:c>
      <x:c r="D328" s="30" t="str">
        <x:v>当前承担Agent/其本地工具；跨节点操作需实际接收方执行</x:v>
      </x:c>
      <x:c r="E328" s="30" t="str">
        <x:v>依前序真实结果执行</x:v>
      </x:c>
      <x:c r="F328" s="30" t="str">
        <x:v>等待操作反馈后再由Agent决定是否继续</x:v>
      </x:c>
    </x:row>
    <x:row r="329" ht="65" customHeight="1">
      <x:c r="A329" s="30" t="str">
        <x:v>Q074</x:v>
      </x:c>
      <x:c r="B329" s="30" t="n">
        <x:v>4</x:v>
      </x:c>
      <x:c r="C329" s="30" t="str">
        <x:v>A036</x:v>
      </x:c>
      <x:c r="D329" s="30" t="str">
        <x:v>当前承担Agent/其本地工具；跨节点操作需实际接收方执行</x:v>
      </x:c>
      <x:c r="E329" s="30" t="str">
        <x:v>依前序真实结果执行</x:v>
      </x:c>
      <x:c r="F329" s="30" t="str">
        <x:v>等待操作反馈后再由Agent决定是否继续</x:v>
      </x:c>
    </x:row>
    <x:row r="330" ht="65" customHeight="1">
      <x:c r="A330" s="30" t="str">
        <x:v>Q074</x:v>
      </x:c>
      <x:c r="B330" s="30" t="n">
        <x:v>5</x:v>
      </x:c>
      <x:c r="C330" s="30" t="str">
        <x:v>A037</x:v>
      </x:c>
      <x:c r="D330" s="30" t="str">
        <x:v>当前承担Agent/其本地工具；跨节点操作需实际接收方执行</x:v>
      </x:c>
      <x:c r="E330" s="30" t="str">
        <x:v>依前序真实结果执行</x:v>
      </x:c>
      <x:c r="F330" s="30" t="str">
        <x:v>选取原图/裁剪/文本/表示，计通信与推理质量代价</x:v>
      </x:c>
    </x:row>
    <x:row r="331" ht="65" customHeight="1">
      <x:c r="A331" s="30" t="str">
        <x:v>Q075</x:v>
      </x:c>
      <x:c r="B331" s="30" t="n">
        <x:v>1</x:v>
      </x:c>
      <x:c r="C331" s="30" t="str">
        <x:v>A038</x:v>
      </x:c>
      <x:c r="D331" s="30" t="str">
        <x:v>当前承担Agent/其本地工具；跨节点操作需实际接收方执行</x:v>
      </x:c>
      <x:c r="E331" s="30" t="str">
        <x:v>依前序真实结果执行</x:v>
      </x:c>
      <x:c r="F331" s="30" t="str">
        <x:v>等待操作反馈后再由Agent决定是否继续</x:v>
      </x:c>
    </x:row>
    <x:row r="332" ht="65" customHeight="1">
      <x:c r="A332" s="30" t="str">
        <x:v>Q075</x:v>
      </x:c>
      <x:c r="B332" s="30" t="n">
        <x:v>2</x:v>
      </x:c>
      <x:c r="C332" s="30" t="str">
        <x:v>A041</x:v>
      </x:c>
      <x:c r="D332" s="30" t="str">
        <x:v>当前承担Agent/其本地工具；跨节点操作需实际接收方执行</x:v>
      </x:c>
      <x:c r="E332" s="30" t="str">
        <x:v>依前序真实结果执行</x:v>
      </x:c>
      <x:c r="F332" s="30" t="str">
        <x:v>等待操作反馈后再由Agent决定是否继续</x:v>
      </x:c>
    </x:row>
    <x:row r="333" ht="65" customHeight="1">
      <x:c r="A333" s="30" t="str">
        <x:v>Q075</x:v>
      </x:c>
      <x:c r="B333" s="30" t="n">
        <x:v>3</x:v>
      </x:c>
      <x:c r="C333" s="30" t="str">
        <x:v>A046</x:v>
      </x:c>
      <x:c r="D333" s="30" t="str">
        <x:v>当前承担Agent/其本地工具；跨节点操作需实际接收方执行</x:v>
      </x:c>
      <x:c r="E333" s="30" t="str">
        <x:v>依前序真实结果执行</x:v>
      </x:c>
      <x:c r="F333" s="30" t="str">
        <x:v>按来源/时间更新本地世界、任务与队友估计</x:v>
      </x:c>
    </x:row>
    <x:row r="334" ht="65" customHeight="1">
      <x:c r="A334" s="30" t="str">
        <x:v>Q076</x:v>
      </x:c>
      <x:c r="B334" s="30" t="n">
        <x:v>1</x:v>
      </x:c>
      <x:c r="C334" s="30" t="str">
        <x:v>A060</x:v>
      </x:c>
      <x:c r="D334" s="30" t="str">
        <x:v>当前承担Agent/其本地工具；跨节点操作需实际接收方执行</x:v>
      </x:c>
      <x:c r="E334" s="30" t="str">
        <x:v>依前序真实结果执行</x:v>
      </x:c>
      <x:c r="F334" s="30" t="str">
        <x:v>完整记录观察-任务-动作-反馈-费用；评估真值不进策略输入</x:v>
      </x:c>
    </x:row>
    <x:row r="335" ht="65" customHeight="1">
      <x:c r="A335" s="30" t="str">
        <x:v>Q077</x:v>
      </x:c>
      <x:c r="B335" s="30" t="n">
        <x:v>1</x:v>
      </x:c>
      <x:c r="C335" s="30" t="str">
        <x:v>A065</x:v>
      </x:c>
      <x:c r="D335" s="30" t="str">
        <x:v>当前承担Agent/其本地工具；跨节点操作需实际接收方执行</x:v>
      </x:c>
      <x:c r="E335" s="30" t="str">
        <x:v>依前序真实结果执行</x:v>
      </x:c>
      <x:c r="F335" s="30" t="str">
        <x:v>等待操作反馈后再由Agent决定是否继续</x:v>
      </x:c>
    </x:row>
    <x:row r="336" ht="65" customHeight="1">
      <x:c r="A336" s="30" t="str">
        <x:v>Q077</x:v>
      </x:c>
      <x:c r="B336" s="30" t="n">
        <x:v>2</x:v>
      </x:c>
      <x:c r="C336" s="30" t="str">
        <x:v>A044</x:v>
      </x:c>
      <x:c r="D336" s="30" t="str">
        <x:v>当前承担Agent/其本地工具；跨节点操作需实际接收方执行</x:v>
      </x:c>
      <x:c r="E336" s="30" t="str">
        <x:v>依前序真实结果执行</x:v>
      </x:c>
      <x:c r="F336" s="30" t="str">
        <x:v>等待操作反馈后再由Agent决定是否继续</x:v>
      </x:c>
    </x:row>
    <x:row r="337" ht="65" customHeight="1">
      <x:c r="A337" s="30" t="str">
        <x:v>Q077</x:v>
      </x:c>
      <x:c r="B337" s="30" t="n">
        <x:v>3</x:v>
      </x:c>
      <x:c r="C337" s="30" t="str">
        <x:v>A006</x:v>
      </x:c>
      <x:c r="D337" s="30" t="str">
        <x:v>当前承担Agent/其本地工具；跨节点操作需实际接收方执行</x:v>
      </x:c>
      <x:c r="E337" s="30" t="str">
        <x:v>依前序真实结果执行</x:v>
      </x:c>
      <x:c r="F337" s="30" t="str">
        <x:v>等待操作反馈后再由Agent决定是否继续</x:v>
      </x:c>
    </x:row>
    <x:row r="338" ht="65" customHeight="1">
      <x:c r="A338" s="30" t="str">
        <x:v>Q077</x:v>
      </x:c>
      <x:c r="B338" s="30" t="n">
        <x:v>4</x:v>
      </x:c>
      <x:c r="C338" s="30" t="str">
        <x:v>A041</x:v>
      </x:c>
      <x:c r="D338" s="30" t="str">
        <x:v>当前承担Agent/其本地工具；跨节点操作需实际接收方执行</x:v>
      </x:c>
      <x:c r="E338" s="30" t="str">
        <x:v>依前序真实结果执行</x:v>
      </x:c>
      <x:c r="F338" s="30" t="str">
        <x:v>等待操作反馈后再由Agent决定是否继续</x:v>
      </x:c>
    </x:row>
    <x:row r="339" ht="65" customHeight="1">
      <x:c r="A339" s="30" t="str">
        <x:v>Q077</x:v>
      </x:c>
      <x:c r="B339" s="30" t="n">
        <x:v>5</x:v>
      </x:c>
      <x:c r="C339" s="30" t="str">
        <x:v>A053</x:v>
      </x:c>
      <x:c r="D339" s="30" t="str">
        <x:v>当前承担Agent/其本地工具；跨节点操作需实际接收方执行</x:v>
      </x:c>
      <x:c r="E339" s="30" t="str">
        <x:v>依前序真实结果执行</x:v>
      </x:c>
      <x:c r="F339" s="30" t="str">
        <x:v>任务实际到达后解析目标/约束并决定接受</x:v>
      </x:c>
    </x:row>
    <x:row r="340" ht="65" customHeight="1">
      <x:c r="A340" s="30" t="str">
        <x:v>Q078</x:v>
      </x:c>
      <x:c r="B340" s="30" t="n">
        <x:v>1</x:v>
      </x:c>
      <x:c r="C340" s="30" t="str">
        <x:v>A038</x:v>
      </x:c>
      <x:c r="D340" s="30" t="str">
        <x:v>当前承担Agent/其本地工具；跨节点操作需实际接收方执行</x:v>
      </x:c>
      <x:c r="E340" s="30" t="str">
        <x:v>依前序真实结果执行</x:v>
      </x:c>
      <x:c r="F340" s="30" t="str">
        <x:v>等待操作反馈后再由Agent决定是否继续</x:v>
      </x:c>
    </x:row>
    <x:row r="341" ht="65" customHeight="1">
      <x:c r="A341" s="30" t="str">
        <x:v>Q078</x:v>
      </x:c>
      <x:c r="B341" s="30" t="n">
        <x:v>2</x:v>
      </x:c>
      <x:c r="C341" s="30" t="str">
        <x:v>A044</x:v>
      </x:c>
      <x:c r="D341" s="30" t="str">
        <x:v>当前承担Agent/其本地工具；跨节点操作需实际接收方执行</x:v>
      </x:c>
      <x:c r="E341" s="30" t="str">
        <x:v>依前序真实结果执行</x:v>
      </x:c>
      <x:c r="F341" s="30" t="str">
        <x:v>等待操作反馈后再由Agent决定是否继续</x:v>
      </x:c>
    </x:row>
    <x:row r="342" ht="65" customHeight="1">
      <x:c r="A342" s="30" t="str">
        <x:v>Q078</x:v>
      </x:c>
      <x:c r="B342" s="30" t="n">
        <x:v>3</x:v>
      </x:c>
      <x:c r="C342" s="30" t="str">
        <x:v>A006</x:v>
      </x:c>
      <x:c r="D342" s="30" t="str">
        <x:v>当前承担Agent/其本地工具；跨节点操作需实际接收方执行</x:v>
      </x:c>
      <x:c r="E342" s="30" t="str">
        <x:v>依前序真实结果执行</x:v>
      </x:c>
      <x:c r="F342" s="30" t="str">
        <x:v>等待操作反馈后再由Agent决定是否继续</x:v>
      </x:c>
    </x:row>
    <x:row r="343" ht="65" customHeight="1">
      <x:c r="A343" s="30" t="str">
        <x:v>Q078</x:v>
      </x:c>
      <x:c r="B343" s="30" t="n">
        <x:v>4</x:v>
      </x:c>
      <x:c r="C343" s="30" t="str">
        <x:v>A050</x:v>
      </x:c>
      <x:c r="D343" s="30" t="str">
        <x:v>当前承担Agent/其本地工具；跨节点操作需实际接收方执行</x:v>
      </x:c>
      <x:c r="E343" s="30" t="str">
        <x:v>依前序真实结果执行</x:v>
      </x:c>
      <x:c r="F343" s="30" t="str">
        <x:v>形成可执行子目标/依赖，不由环境预写派生树</x:v>
      </x:c>
    </x:row>
    <x:row r="344" ht="65" customHeight="1">
      <x:c r="A344" s="30" t="str">
        <x:v>Q079</x:v>
      </x:c>
      <x:c r="B344" s="30" t="n">
        <x:v>1</x:v>
      </x:c>
      <x:c r="C344" s="30" t="str">
        <x:v>A051</x:v>
      </x:c>
      <x:c r="D344" s="30" t="str">
        <x:v>当前承担Agent/其本地工具；跨节点操作需实际接收方执行</x:v>
      </x:c>
      <x:c r="E344" s="30" t="str">
        <x:v>依前序真实结果执行</x:v>
      </x:c>
      <x:c r="F344" s="30" t="str">
        <x:v>等待操作反馈后再由Agent决定是否继续</x:v>
      </x:c>
    </x:row>
    <x:row r="345" ht="65" customHeight="1">
      <x:c r="A345" s="30" t="str">
        <x:v>Q079</x:v>
      </x:c>
      <x:c r="B345" s="30" t="n">
        <x:v>2</x:v>
      </x:c>
      <x:c r="C345" s="30" t="str">
        <x:v>A036</x:v>
      </x:c>
      <x:c r="D345" s="30" t="str">
        <x:v>当前承担Agent/其本地工具；跨节点操作需实际接收方执行</x:v>
      </x:c>
      <x:c r="E345" s="30" t="str">
        <x:v>依前序真实结果执行</x:v>
      </x:c>
      <x:c r="F345" s="30" t="str">
        <x:v>等待操作反馈后再由Agent决定是否继续</x:v>
      </x:c>
    </x:row>
    <x:row r="346" ht="65" customHeight="1">
      <x:c r="A346" s="30" t="str">
        <x:v>Q079</x:v>
      </x:c>
      <x:c r="B346" s="30" t="n">
        <x:v>3</x:v>
      </x:c>
      <x:c r="C346" s="30" t="str">
        <x:v>A037</x:v>
      </x:c>
      <x:c r="D346" s="30" t="str">
        <x:v>当前承担Agent/其本地工具；跨节点操作需实际接收方执行</x:v>
      </x:c>
      <x:c r="E346" s="30" t="str">
        <x:v>依前序真实结果执行</x:v>
      </x:c>
      <x:c r="F346" s="30" t="str">
        <x:v>根据实际设备、资源、当前承诺提出参与建议</x:v>
      </x:c>
    </x:row>
    <x:row r="347" ht="65" customHeight="1">
      <x:c r="A347" s="30" t="str">
        <x:v>Q080</x:v>
      </x:c>
      <x:c r="B347" s="30" t="n">
        <x:v>1</x:v>
      </x:c>
      <x:c r="C347" s="30" t="str">
        <x:v>A038</x:v>
      </x:c>
      <x:c r="D347" s="30" t="str">
        <x:v>当前承担Agent/其本地工具；跨节点操作需实际接收方执行</x:v>
      </x:c>
      <x:c r="E347" s="30" t="str">
        <x:v>依前序真实结果执行</x:v>
      </x:c>
      <x:c r="F347" s="30" t="str">
        <x:v>等待操作反馈后再由Agent决定是否继续</x:v>
      </x:c>
    </x:row>
    <x:row r="348" ht="65" customHeight="1">
      <x:c r="A348" s="30" t="str">
        <x:v>Q080</x:v>
      </x:c>
      <x:c r="B348" s="30" t="n">
        <x:v>2</x:v>
      </x:c>
      <x:c r="C348" s="30" t="str">
        <x:v>A044</x:v>
      </x:c>
      <x:c r="D348" s="30" t="str">
        <x:v>当前承担Agent/其本地工具；跨节点操作需实际接收方执行</x:v>
      </x:c>
      <x:c r="E348" s="30" t="str">
        <x:v>依前序真实结果执行</x:v>
      </x:c>
      <x:c r="F348" s="30" t="str">
        <x:v>等待操作反馈后再由Agent决定是否继续</x:v>
      </x:c>
    </x:row>
    <x:row r="349" ht="65" customHeight="1">
      <x:c r="A349" s="30" t="str">
        <x:v>Q080</x:v>
      </x:c>
      <x:c r="B349" s="30" t="n">
        <x:v>3</x:v>
      </x:c>
      <x:c r="C349" s="30" t="str">
        <x:v>A006</x:v>
      </x:c>
      <x:c r="D349" s="30" t="str">
        <x:v>当前承担Agent/其本地工具；跨节点操作需实际接收方执行</x:v>
      </x:c>
      <x:c r="E349" s="30" t="str">
        <x:v>依前序真实结果执行</x:v>
      </x:c>
      <x:c r="F349" s="30" t="str">
        <x:v>等待操作反馈后再由Agent决定是否继续</x:v>
      </x:c>
    </x:row>
    <x:row r="350" ht="65" customHeight="1">
      <x:c r="A350" s="30" t="str">
        <x:v>Q080</x:v>
      </x:c>
      <x:c r="B350" s="30" t="n">
        <x:v>4</x:v>
      </x:c>
      <x:c r="C350" s="30" t="str">
        <x:v>A052</x:v>
      </x:c>
      <x:c r="D350" s="30" t="str">
        <x:v>当前承担Agent/其本地工具；跨节点操作需实际接收方执行</x:v>
      </x:c>
      <x:c r="E350" s="30" t="str">
        <x:v>依前序真实结果执行</x:v>
      </x:c>
      <x:c r="F350" s="30" t="str">
        <x:v>等待操作反馈后再由Agent决定是否继续</x:v>
      </x:c>
    </x:row>
    <x:row r="351" ht="65" customHeight="1">
      <x:c r="A351" s="30" t="str">
        <x:v>Q080</x:v>
      </x:c>
      <x:c r="B351" s="30" t="n">
        <x:v>5</x:v>
      </x:c>
      <x:c r="C351" s="30" t="str">
        <x:v>A036</x:v>
      </x:c>
      <x:c r="D351" s="30" t="str">
        <x:v>当前承担Agent/其本地工具；跨节点操作需实际接收方执行</x:v>
      </x:c>
      <x:c r="E351" s="30" t="str">
        <x:v>依前序真实结果执行</x:v>
      </x:c>
      <x:c r="F351" s="30" t="str">
        <x:v>计划只基于已收信息，分配后还需执行者接受</x:v>
      </x:c>
    </x:row>
    <x:row r="352" ht="65" customHeight="1">
      <x:c r="A352" s="30" t="str">
        <x:v>Q081</x:v>
      </x:c>
      <x:c r="B352" s="30" t="n">
        <x:v>1</x:v>
      </x:c>
      <x:c r="C352" s="30" t="str">
        <x:v>A065</x:v>
      </x:c>
      <x:c r="D352" s="30" t="str">
        <x:v>当前承担Agent/其本地工具；跨节点操作需实际接收方执行</x:v>
      </x:c>
      <x:c r="E352" s="30" t="str">
        <x:v>依前序真实结果执行</x:v>
      </x:c>
      <x:c r="F352" s="30" t="str">
        <x:v>等待操作反馈后再由Agent决定是否继续</x:v>
      </x:c>
    </x:row>
    <x:row r="353" ht="65" customHeight="1">
      <x:c r="A353" s="30" t="str">
        <x:v>Q081</x:v>
      </x:c>
      <x:c r="B353" s="30" t="n">
        <x:v>2</x:v>
      </x:c>
      <x:c r="C353" s="30" t="str">
        <x:v>A053</x:v>
      </x:c>
      <x:c r="D353" s="30" t="str">
        <x:v>当前承担Agent/其本地工具；跨节点操作需实际接收方执行</x:v>
      </x:c>
      <x:c r="E353" s="30" t="str">
        <x:v>依前序真实结果执行</x:v>
      </x:c>
      <x:c r="F353" s="30" t="str">
        <x:v>等待操作反馈后再由Agent决定是否继续</x:v>
      </x:c>
    </x:row>
    <x:row r="354" ht="65" customHeight="1">
      <x:c r="A354" s="30" t="str">
        <x:v>Q081</x:v>
      </x:c>
      <x:c r="B354" s="30" t="n">
        <x:v>3</x:v>
      </x:c>
      <x:c r="C354" s="30" t="str">
        <x:v>A036</x:v>
      </x:c>
      <x:c r="D354" s="30" t="str">
        <x:v>当前承担Agent/其本地工具；跨节点操作需实际接收方执行</x:v>
      </x:c>
      <x:c r="E354" s="30" t="str">
        <x:v>依前序真实结果执行</x:v>
      </x:c>
      <x:c r="F354" s="30" t="str">
        <x:v>等待操作反馈后再由Agent决定是否继续</x:v>
      </x:c>
    </x:row>
    <x:row r="355" ht="65" customHeight="1">
      <x:c r="A355" s="30" t="str">
        <x:v>Q081</x:v>
      </x:c>
      <x:c r="B355" s="30" t="n">
        <x:v>4</x:v>
      </x:c>
      <x:c r="C355" s="30" t="str">
        <x:v>A037</x:v>
      </x:c>
      <x:c r="D355" s="30" t="str">
        <x:v>当前承担Agent/其本地工具；跨节点操作需实际接收方执行</x:v>
      </x:c>
      <x:c r="E355" s="30" t="str">
        <x:v>依前序真实结果执行</x:v>
      </x:c>
      <x:c r="F355" s="30" t="str">
        <x:v>本机接受后承诺生效，拒绝说明设备/资源原因</x:v>
      </x:c>
    </x:row>
    <x:row r="356" ht="65" customHeight="1">
      <x:c r="A356" s="30" t="str">
        <x:v>Q082</x:v>
      </x:c>
      <x:c r="B356" s="30" t="n">
        <x:v>1</x:v>
      </x:c>
      <x:c r="C356" s="30" t="str">
        <x:v>A054</x:v>
      </x:c>
      <x:c r="D356" s="30" t="str">
        <x:v>当前承担Agent/其本地工具；跨节点操作需实际接收方执行</x:v>
      </x:c>
      <x:c r="E356" s="30" t="str">
        <x:v>依前序真实结果执行</x:v>
      </x:c>
      <x:c r="F356" s="30" t="str">
        <x:v>等待操作反馈后再由Agent决定是否继续</x:v>
      </x:c>
    </x:row>
    <x:row r="357" ht="65" customHeight="1">
      <x:c r="A357" s="30" t="str">
        <x:v>Q082</x:v>
      </x:c>
      <x:c r="B357" s="30" t="n">
        <x:v>2</x:v>
      </x:c>
      <x:c r="C357" s="30" t="str">
        <x:v>A036</x:v>
      </x:c>
      <x:c r="D357" s="30" t="str">
        <x:v>当前承担Agent/其本地工具；跨节点操作需实际接收方执行</x:v>
      </x:c>
      <x:c r="E357" s="30" t="str">
        <x:v>依前序真实结果执行</x:v>
      </x:c>
      <x:c r="F357" s="30" t="str">
        <x:v>等待操作反馈后再由Agent决定是否继续</x:v>
      </x:c>
    </x:row>
    <x:row r="358" ht="65" customHeight="1">
      <x:c r="A358" s="30" t="str">
        <x:v>Q082</x:v>
      </x:c>
      <x:c r="B358" s="30" t="n">
        <x:v>3</x:v>
      </x:c>
      <x:c r="C358" s="30" t="str">
        <x:v>A037</x:v>
      </x:c>
      <x:c r="D358" s="30" t="str">
        <x:v>当前承担Agent/其本地工具；跨节点操作需实际接收方执行</x:v>
      </x:c>
      <x:c r="E358" s="30" t="str">
        <x:v>依前序真实结果执行</x:v>
      </x:c>
      <x:c r="F358" s="30" t="str">
        <x:v>实际动作/结果证据支撑进度；缺回执不完成</x:v>
      </x:c>
    </x:row>
    <x:row r="359" ht="65" customHeight="1">
      <x:c r="A359" s="30" t="str">
        <x:v>Q083</x:v>
      </x:c>
      <x:c r="B359" s="30" t="n">
        <x:v>1</x:v>
      </x:c>
      <x:c r="C359" s="30" t="str">
        <x:v>A055</x:v>
      </x:c>
      <x:c r="D359" s="30" t="str">
        <x:v>当前承担Agent/其本地工具；跨节点操作需实际接收方执行</x:v>
      </x:c>
      <x:c r="E359" s="30" t="str">
        <x:v>依前序真实结果执行</x:v>
      </x:c>
      <x:c r="F359" s="30" t="str">
        <x:v>等待操作反馈后再由Agent决定是否继续</x:v>
      </x:c>
    </x:row>
    <x:row r="360" ht="65" customHeight="1">
      <x:c r="A360" s="30" t="str">
        <x:v>Q083</x:v>
      </x:c>
      <x:c r="B360" s="30" t="n">
        <x:v>2</x:v>
      </x:c>
      <x:c r="C360" s="30" t="str">
        <x:v>A056</x:v>
      </x:c>
      <x:c r="D360" s="30" t="str">
        <x:v>当前承担Agent/其本地工具；跨节点操作需实际接收方执行</x:v>
      </x:c>
      <x:c r="E360" s="30" t="str">
        <x:v>依前序真实结果执行</x:v>
      </x:c>
      <x:c r="F360" s="30" t="str">
        <x:v>等待操作反馈后再由Agent决定是否继续</x:v>
      </x:c>
    </x:row>
    <x:row r="361" ht="65" customHeight="1">
      <x:c r="A361" s="30" t="str">
        <x:v>Q083</x:v>
      </x:c>
      <x:c r="B361" s="30" t="n">
        <x:v>3</x:v>
      </x:c>
      <x:c r="C361" s="30" t="str">
        <x:v>A054</x:v>
      </x:c>
      <x:c r="D361" s="30" t="str">
        <x:v>当前承担Agent/其本地工具；跨节点操作需实际接收方执行</x:v>
      </x:c>
      <x:c r="E361" s="30" t="str">
        <x:v>依前序真实结果执行</x:v>
      </x:c>
      <x:c r="F361" s="30" t="str">
        <x:v>等待操作反馈后再由Agent决定是否继续</x:v>
      </x:c>
    </x:row>
    <x:row r="362" ht="65" customHeight="1">
      <x:c r="A362" s="30" t="str">
        <x:v>Q083</x:v>
      </x:c>
      <x:c r="B362" s="30" t="n">
        <x:v>4</x:v>
      </x:c>
      <x:c r="C362" s="30" t="str">
        <x:v>A036</x:v>
      </x:c>
      <x:c r="D362" s="30" t="str">
        <x:v>当前承担Agent/其本地工具；跨节点操作需实际接收方执行</x:v>
      </x:c>
      <x:c r="E362" s="30" t="str">
        <x:v>依前序真实结果执行</x:v>
      </x:c>
      <x:c r="F362" s="30" t="str">
        <x:v>安全停止或拒绝后修改任务，已耗成本保留</x:v>
      </x:c>
    </x:row>
    <x:row r="363" ht="65" customHeight="1">
      <x:c r="A363" s="30" t="str">
        <x:v>Q084</x:v>
      </x:c>
      <x:c r="B363" s="30" t="n">
        <x:v>1</x:v>
      </x:c>
      <x:c r="C363" s="30" t="str">
        <x:v>A038</x:v>
      </x:c>
      <x:c r="D363" s="30" t="str">
        <x:v>当前承担Agent/其本地工具；跨节点操作需实际接收方执行</x:v>
      </x:c>
      <x:c r="E363" s="30" t="str">
        <x:v>依前序真实结果执行</x:v>
      </x:c>
      <x:c r="F363" s="30" t="str">
        <x:v>等待操作反馈后再由Agent决定是否继续</x:v>
      </x:c>
    </x:row>
    <x:row r="364" ht="65" customHeight="1">
      <x:c r="A364" s="30" t="str">
        <x:v>Q084</x:v>
      </x:c>
      <x:c r="B364" s="30" t="n">
        <x:v>2</x:v>
      </x:c>
      <x:c r="C364" s="30" t="str">
        <x:v>A057</x:v>
      </x:c>
      <x:c r="D364" s="30" t="str">
        <x:v>当前承担Agent/其本地工具；跨节点操作需实际接收方执行</x:v>
      </x:c>
      <x:c r="E364" s="30" t="str">
        <x:v>依前序真实结果执行</x:v>
      </x:c>
      <x:c r="F364" s="30" t="str">
        <x:v>等待操作反馈后再由Agent决定是否继续</x:v>
      </x:c>
    </x:row>
    <x:row r="365" ht="65" customHeight="1">
      <x:c r="A365" s="30" t="str">
        <x:v>Q084</x:v>
      </x:c>
      <x:c r="B365" s="30" t="n">
        <x:v>3</x:v>
      </x:c>
      <x:c r="C365" s="30" t="str">
        <x:v>A001 OR A002</x:v>
      </x:c>
      <x:c r="D365" s="30" t="str">
        <x:v>当前承担Agent/其本地工具；跨节点操作需实际接收方执行</x:v>
      </x:c>
      <x:c r="E365" s="30" t="str">
        <x:v>按条件选择其中一项；不是全部执行</x:v>
      </x:c>
      <x:c r="F365" s="30" t="str">
        <x:v>等待操作反馈后再由Agent决定是否继续</x:v>
      </x:c>
    </x:row>
    <x:row r="366" ht="65" customHeight="1">
      <x:c r="A366" s="30" t="str">
        <x:v>Q084</x:v>
      </x:c>
      <x:c r="B366" s="30" t="n">
        <x:v>4</x:v>
      </x:c>
      <x:c r="C366" s="30" t="str">
        <x:v>A054</x:v>
      </x:c>
      <x:c r="D366" s="30" t="str">
        <x:v>当前承担Agent/其本地工具；跨节点操作需实际接收方执行</x:v>
      </x:c>
      <x:c r="E366" s="30" t="str">
        <x:v>依前序真实结果执行</x:v>
      </x:c>
      <x:c r="F366" s="30" t="str">
        <x:v>校验当前资源/地图后从检查点继续原承诺</x:v>
      </x:c>
    </x:row>
    <x:row r="367" ht="65" customHeight="1">
      <x:c r="A367" s="30" t="str">
        <x:v>Q085</x:v>
      </x:c>
      <x:c r="B367" s="30" t="n">
        <x:v>1</x:v>
      </x:c>
      <x:c r="C367" s="30" t="str">
        <x:v>A058</x:v>
      </x:c>
      <x:c r="D367" s="30" t="str">
        <x:v>当前承担Agent/其本地工具；跨节点操作需实际接收方执行</x:v>
      </x:c>
      <x:c r="E367" s="30" t="str">
        <x:v>依前序真实结果执行</x:v>
      </x:c>
      <x:c r="F367" s="30" t="str">
        <x:v>等待操作反馈后再由Agent决定是否继续</x:v>
      </x:c>
    </x:row>
    <x:row r="368" ht="65" customHeight="1">
      <x:c r="A368" s="30" t="str">
        <x:v>Q085</x:v>
      </x:c>
      <x:c r="B368" s="30" t="n">
        <x:v>2</x:v>
      </x:c>
      <x:c r="C368" s="30" t="str">
        <x:v>A036</x:v>
      </x:c>
      <x:c r="D368" s="30" t="str">
        <x:v>当前承担Agent/其本地工具；跨节点操作需实际接收方执行</x:v>
      </x:c>
      <x:c r="E368" s="30" t="str">
        <x:v>依前序真实结果执行</x:v>
      </x:c>
      <x:c r="F368" s="30" t="str">
        <x:v>等待操作反馈后再由Agent决定是否继续</x:v>
      </x:c>
    </x:row>
    <x:row r="369" ht="65" customHeight="1">
      <x:c r="A369" s="30" t="str">
        <x:v>Q085</x:v>
      </x:c>
      <x:c r="B369" s="30" t="n">
        <x:v>3</x:v>
      </x:c>
      <x:c r="C369" s="30" t="str">
        <x:v>A065</x:v>
      </x:c>
      <x:c r="D369" s="30" t="str">
        <x:v>当前承担Agent/其本地工具；跨节点操作需实际接收方执行</x:v>
      </x:c>
      <x:c r="E369" s="30" t="str">
        <x:v>依前序真实结果执行</x:v>
      </x:c>
      <x:c r="F369" s="30" t="str">
        <x:v>等待操作反馈后再由Agent决定是否继续</x:v>
      </x:c>
    </x:row>
    <x:row r="370" ht="65" customHeight="1">
      <x:c r="A370" s="30" t="str">
        <x:v>Q085</x:v>
      </x:c>
      <x:c r="B370" s="30" t="n">
        <x:v>4</x:v>
      </x:c>
      <x:c r="C370" s="30" t="str">
        <x:v>A053</x:v>
      </x:c>
      <x:c r="D370" s="30" t="str">
        <x:v>当前承担Agent/其本地工具；跨节点操作需实际接收方执行</x:v>
      </x:c>
      <x:c r="E370" s="30" t="str">
        <x:v>依前序真实结果执行</x:v>
      </x:c>
      <x:c r="F370" s="30" t="str">
        <x:v>等待操作反馈后再由Agent决定是否继续</x:v>
      </x:c>
    </x:row>
    <x:row r="371" ht="65" customHeight="1">
      <x:c r="A371" s="30" t="str">
        <x:v>Q085</x:v>
      </x:c>
      <x:c r="B371" s="30" t="n">
        <x:v>5</x:v>
      </x:c>
      <x:c r="C371" s="30" t="str">
        <x:v>A036</x:v>
      </x:c>
      <x:c r="D371" s="30" t="str">
        <x:v>当前承担Agent/其本地工具；跨节点操作需实际接收方执行</x:v>
      </x:c>
      <x:c r="E371" s="30" t="str">
        <x:v>依前序真实结果执行</x:v>
      </x:c>
      <x:c r="F371" s="30" t="str">
        <x:v>等待操作反馈后再由Agent决定是否继续</x:v>
      </x:c>
    </x:row>
    <x:row r="372" ht="65" customHeight="1">
      <x:c r="A372" s="30" t="str">
        <x:v>Q085</x:v>
      </x:c>
      <x:c r="B372" s="30" t="n">
        <x:v>6</x:v>
      </x:c>
      <x:c r="C372" s="30" t="str">
        <x:v>A037</x:v>
      </x:c>
      <x:c r="D372" s="30" t="str">
        <x:v>当前承担Agent/其本地工具；跨节点操作需实际接收方执行</x:v>
      </x:c>
      <x:c r="E372" s="30" t="str">
        <x:v>依前序真实结果执行</x:v>
      </x:c>
      <x:c r="F372" s="30" t="str">
        <x:v>等待操作反馈后再由Agent决定是否继续</x:v>
      </x:c>
    </x:row>
    <x:row r="373" ht="65" customHeight="1">
      <x:c r="A373" s="30" t="str">
        <x:v>Q085</x:v>
      </x:c>
      <x:c r="B373" s="30" t="n">
        <x:v>7</x:v>
      </x:c>
      <x:c r="C373" s="30" t="str">
        <x:v>A054</x:v>
      </x:c>
      <x:c r="D373" s="30" t="str">
        <x:v>当前承担Agent/其本地工具；跨节点操作需实际接收方执行</x:v>
      </x:c>
      <x:c r="E373" s="30" t="str">
        <x:v>依前序真实结果执行</x:v>
      </x:c>
      <x:c r="F373" s="30" t="str">
        <x:v>新方确认、旧方释放，避免双执行和免费共享历史</x:v>
      </x:c>
    </x:row>
    <x:row r="374" ht="65" customHeight="1">
      <x:c r="A374" s="30" t="str">
        <x:v>Q086</x:v>
      </x:c>
      <x:c r="B374" s="30" t="n">
        <x:v>1</x:v>
      </x:c>
      <x:c r="C374" s="30" t="str">
        <x:v>A041</x:v>
      </x:c>
      <x:c r="D374" s="30" t="str">
        <x:v>当前承担Agent/其本地工具；跨节点操作需实际接收方执行</x:v>
      </x:c>
      <x:c r="E374" s="30" t="str">
        <x:v>依前序真实结果执行</x:v>
      </x:c>
      <x:c r="F374" s="30" t="str">
        <x:v>等待操作反馈后再由Agent决定是否继续</x:v>
      </x:c>
    </x:row>
    <x:row r="375" ht="65" customHeight="1">
      <x:c r="A375" s="30" t="str">
        <x:v>Q086</x:v>
      </x:c>
      <x:c r="B375" s="30" t="n">
        <x:v>2</x:v>
      </x:c>
      <x:c r="C375" s="30" t="str">
        <x:v>A044</x:v>
      </x:c>
      <x:c r="D375" s="30" t="str">
        <x:v>当前承担Agent/其本地工具；跨节点操作需实际接收方执行</x:v>
      </x:c>
      <x:c r="E375" s="30" t="str">
        <x:v>依前序真实结果执行</x:v>
      </x:c>
      <x:c r="F375" s="30" t="str">
        <x:v>等待操作反馈后再由Agent决定是否继续</x:v>
      </x:c>
    </x:row>
    <x:row r="376" ht="65" customHeight="1">
      <x:c r="A376" s="30" t="str">
        <x:v>Q086</x:v>
      </x:c>
      <x:c r="B376" s="30" t="n">
        <x:v>3</x:v>
      </x:c>
      <x:c r="C376" s="30" t="str">
        <x:v>A006</x:v>
      </x:c>
      <x:c r="D376" s="30" t="str">
        <x:v>当前承担Agent/其本地工具；跨节点操作需实际接收方执行</x:v>
      </x:c>
      <x:c r="E376" s="30" t="str">
        <x:v>依前序真实结果执行</x:v>
      </x:c>
      <x:c r="F376" s="30" t="str">
        <x:v>等待操作反馈后再由Agent决定是否继续</x:v>
      </x:c>
    </x:row>
    <x:row r="377" ht="65" customHeight="1">
      <x:c r="A377" s="30" t="str">
        <x:v>Q086</x:v>
      </x:c>
      <x:c r="B377" s="30" t="n">
        <x:v>4</x:v>
      </x:c>
      <x:c r="C377" s="30" t="str">
        <x:v>A050</x:v>
      </x:c>
      <x:c r="D377" s="30" t="str">
        <x:v>当前承担Agent/其本地工具；跨节点操作需实际接收方执行</x:v>
      </x:c>
      <x:c r="E377" s="30" t="str">
        <x:v>依前序真实结果执行</x:v>
      </x:c>
      <x:c r="F377" s="30" t="str">
        <x:v>等待操作反馈后再由Agent决定是否继续</x:v>
      </x:c>
    </x:row>
    <x:row r="378" ht="65" customHeight="1">
      <x:c r="A378" s="30" t="str">
        <x:v>Q086</x:v>
      </x:c>
      <x:c r="B378" s="30" t="n">
        <x:v>5</x:v>
      </x:c>
      <x:c r="C378" s="30" t="str">
        <x:v>A052</x:v>
      </x:c>
      <x:c r="D378" s="30" t="str">
        <x:v>当前承担Agent/其本地工具；跨节点操作需实际接收方执行</x:v>
      </x:c>
      <x:c r="E378" s="30" t="str">
        <x:v>依前序真实结果执行</x:v>
      </x:c>
      <x:c r="F378" s="30" t="str">
        <x:v>等待操作反馈后再由Agent决定是否继续</x:v>
      </x:c>
    </x:row>
    <x:row r="379" ht="65" customHeight="1">
      <x:c r="A379" s="30" t="str">
        <x:v>Q086</x:v>
      </x:c>
      <x:c r="B379" s="30" t="n">
        <x:v>6</x:v>
      </x:c>
      <x:c r="C379" s="30" t="str">
        <x:v>A036</x:v>
      </x:c>
      <x:c r="D379" s="30" t="str">
        <x:v>当前承担Agent/其本地工具；跨节点操作需实际接收方执行</x:v>
      </x:c>
      <x:c r="E379" s="30" t="str">
        <x:v>依前序真实结果执行</x:v>
      </x:c>
      <x:c r="F379" s="30" t="str">
        <x:v>新的证据/限制引起新版本计划，并正确撤销旧承诺</x:v>
      </x:c>
    </x:row>
    <x:row r="380" ht="65" customHeight="1">
      <x:c r="A380" s="30" t="str">
        <x:v>Q087</x:v>
      </x:c>
      <x:c r="B380" s="30" t="n">
        <x:v>1</x:v>
      </x:c>
      <x:c r="C380" s="30" t="str">
        <x:v>A059</x:v>
      </x:c>
      <x:c r="D380" s="30" t="str">
        <x:v>当前承担Agent/其本地工具；跨节点操作需实际接收方执行</x:v>
      </x:c>
      <x:c r="E380" s="30" t="str">
        <x:v>依前序真实结果执行</x:v>
      </x:c>
      <x:c r="F380" s="30" t="str">
        <x:v>等待操作反馈后再由Agent决定是否继续</x:v>
      </x:c>
    </x:row>
    <x:row r="381" ht="65" customHeight="1">
      <x:c r="A381" s="30" t="str">
        <x:v>Q087</x:v>
      </x:c>
      <x:c r="B381" s="30" t="n">
        <x:v>2</x:v>
      </x:c>
      <x:c r="C381" s="30" t="str">
        <x:v>A036</x:v>
      </x:c>
      <x:c r="D381" s="30" t="str">
        <x:v>当前承担Agent/其本地工具；跨节点操作需实际接收方执行</x:v>
      </x:c>
      <x:c r="E381" s="30" t="str">
        <x:v>依前序真实结果执行</x:v>
      </x:c>
      <x:c r="F381" s="30" t="str">
        <x:v>等待操作反馈后再由Agent决定是否继续</x:v>
      </x:c>
    </x:row>
    <x:row r="382" ht="65" customHeight="1">
      <x:c r="A382" s="30" t="str">
        <x:v>Q087</x:v>
      </x:c>
      <x:c r="B382" s="30" t="n">
        <x:v>3</x:v>
      </x:c>
      <x:c r="C382" s="30" t="str">
        <x:v>A037</x:v>
      </x:c>
      <x:c r="D382" s="30" t="str">
        <x:v>当前承担Agent/其本地工具；跨节点操作需实际接收方执行</x:v>
      </x:c>
      <x:c r="E382" s="30" t="str">
        <x:v>依前序真实结果执行</x:v>
      </x:c>
      <x:c r="F382" s="30" t="str">
        <x:v>等待操作反馈后再由Agent决定是否继续</x:v>
      </x:c>
    </x:row>
    <x:row r="383" ht="65" customHeight="1">
      <x:c r="A383" s="30" t="str">
        <x:v>Q087</x:v>
      </x:c>
      <x:c r="B383" s="30" t="n">
        <x:v>4</x:v>
      </x:c>
      <x:c r="C383" s="30" t="str">
        <x:v>A054</x:v>
      </x:c>
      <x:c r="D383" s="30" t="str">
        <x:v>当前承担Agent/其本地工具；跨节点操作需实际接收方执行</x:v>
      </x:c>
      <x:c r="E383" s="30" t="str">
        <x:v>依前序真实结果执行</x:v>
      </x:c>
      <x:c r="F383" s="30" t="str">
        <x:v>明确外部响应、到场、作业结果；请求不等于成功</x:v>
      </x:c>
    </x:row>
    <x:row r="384" ht="65" customHeight="1">
      <x:c r="A384" s="30" t="str">
        <x:v>Q088</x:v>
      </x:c>
      <x:c r="B384" s="30" t="n">
        <x:v>1</x:v>
      </x:c>
      <x:c r="C384" s="30" t="str">
        <x:v>A010</x:v>
      </x:c>
      <x:c r="D384" s="30" t="str">
        <x:v>当前承担Agent/其本地工具；跨节点操作需实际接收方执行</x:v>
      </x:c>
      <x:c r="E384" s="30" t="str">
        <x:v>依前序真实结果执行</x:v>
      </x:c>
      <x:c r="F384" s="30" t="str">
        <x:v>等待操作反馈后再由Agent决定是否继续</x:v>
      </x:c>
    </x:row>
    <x:row r="385" ht="65" customHeight="1">
      <x:c r="A385" s="30" t="str">
        <x:v>Q088</x:v>
      </x:c>
      <x:c r="B385" s="30" t="n">
        <x:v>2</x:v>
      </x:c>
      <x:c r="C385" s="30" t="str">
        <x:v>A054</x:v>
      </x:c>
      <x:c r="D385" s="30" t="str">
        <x:v>当前承担Agent/其本地工具；跨节点操作需实际接收方执行</x:v>
      </x:c>
      <x:c r="E385" s="30" t="str">
        <x:v>依前序真实结果执行</x:v>
      </x:c>
      <x:c r="F385" s="30" t="str">
        <x:v>等待操作反馈后再由Agent决定是否继续</x:v>
      </x:c>
    </x:row>
    <x:row r="386" ht="65" customHeight="1">
      <x:c r="A386" s="30" t="str">
        <x:v>Q088</x:v>
      </x:c>
      <x:c r="B386" s="30" t="n">
        <x:v>3</x:v>
      </x:c>
      <x:c r="C386" s="30" t="str">
        <x:v>A036</x:v>
      </x:c>
      <x:c r="D386" s="30" t="str">
        <x:v>当前承担Agent/其本地工具；跨节点操作需实际接收方执行</x:v>
      </x:c>
      <x:c r="E386" s="30" t="str">
        <x:v>依前序真实结果执行</x:v>
      </x:c>
      <x:c r="F386" s="30" t="str">
        <x:v>等待操作反馈后再由Agent决定是否继续</x:v>
      </x:c>
    </x:row>
    <x:row r="387" ht="65" customHeight="1">
      <x:c r="A387" s="30" t="str">
        <x:v>Q088</x:v>
      </x:c>
      <x:c r="B387" s="30" t="n">
        <x:v>4</x:v>
      </x:c>
      <x:c r="C387" s="30" t="str">
        <x:v>A037</x:v>
      </x:c>
      <x:c r="D387" s="30" t="str">
        <x:v>当前承担Agent/其本地工具；跨节点操作需实际接收方执行</x:v>
      </x:c>
      <x:c r="E387" s="30" t="str">
        <x:v>依前序真实结果执行</x:v>
      </x:c>
      <x:c r="F387" s="30" t="str">
        <x:v>汇报完成/未覆盖/残余危险及后续承担者</x:v>
      </x:c>
    </x:row>
    <x:row r="388" ht="65" customHeight="1">
      <x:c r="A388" s="30" t="str">
        <x:v>Q089</x:v>
      </x:c>
      <x:c r="B388" s="30" t="n">
        <x:v>1</x:v>
      </x:c>
      <x:c r="C388" s="30" t="str">
        <x:v>A005</x:v>
      </x:c>
      <x:c r="D388" s="30" t="str">
        <x:v>当前承担Agent/其本地工具；跨节点操作需实际接收方执行</x:v>
      </x:c>
      <x:c r="E388" s="30" t="str">
        <x:v>依前序真实结果执行</x:v>
      </x:c>
      <x:c r="F388" s="30" t="str">
        <x:v>等待操作反馈后再由Agent决定是否继续</x:v>
      </x:c>
    </x:row>
    <x:row r="389" ht="65" customHeight="1">
      <x:c r="A389" s="30" t="str">
        <x:v>Q089</x:v>
      </x:c>
      <x:c r="B389" s="30" t="n">
        <x:v>2</x:v>
      </x:c>
      <x:c r="C389" s="30" t="str">
        <x:v>A006</x:v>
      </x:c>
      <x:c r="D389" s="30" t="str">
        <x:v>当前承担Agent/其本地工具；跨节点操作需实际接收方执行</x:v>
      </x:c>
      <x:c r="E389" s="30" t="str">
        <x:v>依前序真实结果执行</x:v>
      </x:c>
      <x:c r="F389" s="30" t="str">
        <x:v>等待操作反馈后再由Agent决定是否继续</x:v>
      </x:c>
    </x:row>
    <x:row r="390" ht="65" customHeight="1">
      <x:c r="A390" s="30" t="str">
        <x:v>Q089</x:v>
      </x:c>
      <x:c r="B390" s="30" t="n">
        <x:v>3</x:v>
      </x:c>
      <x:c r="C390" s="30" t="str">
        <x:v>A041</x:v>
      </x:c>
      <x:c r="D390" s="30" t="str">
        <x:v>当前承担Agent/其本地工具；跨节点操作需实际接收方执行</x:v>
      </x:c>
      <x:c r="E390" s="30" t="str">
        <x:v>依前序真实结果执行</x:v>
      </x:c>
      <x:c r="F390" s="30" t="str">
        <x:v>等待操作反馈后再由Agent决定是否继续</x:v>
      </x:c>
    </x:row>
    <x:row r="391" ht="65" customHeight="1">
      <x:c r="A391" s="30" t="str">
        <x:v>Q089</x:v>
      </x:c>
      <x:c r="B391" s="30" t="n">
        <x:v>4</x:v>
      </x:c>
      <x:c r="C391" s="30" t="str">
        <x:v>A036</x:v>
      </x:c>
      <x:c r="D391" s="30" t="str">
        <x:v>当前承担Agent/其本地工具；跨节点操作需实际接收方执行</x:v>
      </x:c>
      <x:c r="E391" s="30" t="str">
        <x:v>依前序真实结果执行</x:v>
      </x:c>
      <x:c r="F391" s="30" t="str">
        <x:v>观测新危险后报告并触发Agent重规划，而非无代价全局告知</x:v>
      </x:c>
    </x:row>
    <x:row r="392" ht="65" customHeight="1">
      <x:c r="A392" s="30" t="str">
        <x:v>Q090</x:v>
      </x:c>
      <x:c r="B392" s="30" t="n">
        <x:v>1</x:v>
      </x:c>
      <x:c r="C392" s="30" t="str">
        <x:v>A061</x:v>
      </x:c>
      <x:c r="D392" s="30" t="str">
        <x:v>当前承担Agent/其本地工具；跨节点操作需实际接收方执行</x:v>
      </x:c>
      <x:c r="E392" s="30" t="str">
        <x:v>依前序真实结果执行</x:v>
      </x:c>
      <x:c r="F392" s="30" t="str">
        <x:v>等待操作反馈后再由Agent决定是否继续</x:v>
      </x:c>
    </x:row>
    <x:row r="393" ht="65" customHeight="1">
      <x:c r="A393" s="30" t="str">
        <x:v>Q090</x:v>
      </x:c>
      <x:c r="B393" s="30" t="n">
        <x:v>2</x:v>
      </x:c>
      <x:c r="C393" s="30" t="str">
        <x:v>A041</x:v>
      </x:c>
      <x:c r="D393" s="30" t="str">
        <x:v>当前承担Agent/其本地工具；跨节点操作需实际接收方执行</x:v>
      </x:c>
      <x:c r="E393" s="30" t="str">
        <x:v>依前序真实结果执行</x:v>
      </x:c>
      <x:c r="F393" s="30" t="str">
        <x:v>等待操作反馈后再由Agent决定是否继续</x:v>
      </x:c>
    </x:row>
    <x:row r="394" ht="65" customHeight="1">
      <x:c r="A394" s="30" t="str">
        <x:v>Q090</x:v>
      </x:c>
      <x:c r="B394" s="30" t="n">
        <x:v>3</x:v>
      </x:c>
      <x:c r="C394" s="30" t="str">
        <x:v>A036</x:v>
      </x:c>
      <x:c r="D394" s="30" t="str">
        <x:v>当前承担Agent/其本地工具；跨节点操作需实际接收方执行</x:v>
      </x:c>
      <x:c r="E394" s="30" t="str">
        <x:v>依前序真实结果执行</x:v>
      </x:c>
      <x:c r="F394" s="30" t="str">
        <x:v>实际遥测与服务结果更新本机/队友资源估计</x:v>
      </x:c>
    </x:row>
    <x:row r="395" ht="65" customHeight="1">
      <x:c r="A395" s="30" t="str">
        <x:v>Q091</x:v>
      </x:c>
      <x:c r="B395" s="30" t="n">
        <x:v>1</x:v>
      </x:c>
      <x:c r="C395" s="30" t="str">
        <x:v>A004</x:v>
      </x:c>
      <x:c r="D395" s="30" t="str">
        <x:v>当前承担Agent/其本地工具；跨节点操作需实际接收方执行</x:v>
      </x:c>
      <x:c r="E395" s="30" t="str">
        <x:v>依前序真实结果执行</x:v>
      </x:c>
      <x:c r="F395" s="30" t="str">
        <x:v>等待操作反馈后再由Agent决定是否继续</x:v>
      </x:c>
    </x:row>
    <x:row r="396" ht="65" customHeight="1">
      <x:c r="A396" s="30" t="str">
        <x:v>Q091</x:v>
      </x:c>
      <x:c r="B396" s="30" t="n">
        <x:v>2</x:v>
      </x:c>
      <x:c r="C396" s="30" t="str">
        <x:v>A005</x:v>
      </x:c>
      <x:c r="D396" s="30" t="str">
        <x:v>当前承担Agent/其本地工具；跨节点操作需实际接收方执行</x:v>
      </x:c>
      <x:c r="E396" s="30" t="str">
        <x:v>依前序真实结果执行</x:v>
      </x:c>
      <x:c r="F396" s="30" t="str">
        <x:v>等待操作反馈后再由Agent决定是否继续</x:v>
      </x:c>
    </x:row>
    <x:row r="397" ht="65" customHeight="1">
      <x:c r="A397" s="30" t="str">
        <x:v>Q091</x:v>
      </x:c>
      <x:c r="B397" s="30" t="n">
        <x:v>3</x:v>
      </x:c>
      <x:c r="C397" s="30" t="str">
        <x:v>A041</x:v>
      </x:c>
      <x:c r="D397" s="30" t="str">
        <x:v>当前承担Agent/其本地工具；跨节点操作需实际接收方执行</x:v>
      </x:c>
      <x:c r="E397" s="30" t="str">
        <x:v>依前序真实结果执行</x:v>
      </x:c>
      <x:c r="F397" s="30" t="str">
        <x:v>等待操作反馈后再由Agent决定是否继续</x:v>
      </x:c>
    </x:row>
    <x:row r="398" ht="65" customHeight="1">
      <x:c r="A398" s="30" t="str">
        <x:v>Q091</x:v>
      </x:c>
      <x:c r="B398" s="30" t="n">
        <x:v>4</x:v>
      </x:c>
      <x:c r="C398" s="30" t="str">
        <x:v>A054</x:v>
      </x:c>
      <x:c r="D398" s="30" t="str">
        <x:v>当前承担Agent/其本地工具；跨节点操作需实际接收方执行</x:v>
      </x:c>
      <x:c r="E398" s="30" t="str">
        <x:v>依前序真实结果执行</x:v>
      </x:c>
      <x:c r="F398" s="30" t="str">
        <x:v>驻留/观察持续消耗资源，满足终止条件</x:v>
      </x:c>
    </x:row>
    <x:row r="399" ht="65" customHeight="1">
      <x:c r="A399" s="30" t="str">
        <x:v>Q092</x:v>
      </x:c>
      <x:c r="B399" s="30" t="n">
        <x:v>1</x:v>
      </x:c>
      <x:c r="C399" s="30" t="str">
        <x:v>A061</x:v>
      </x:c>
      <x:c r="D399" s="30" t="str">
        <x:v>当前承担Agent/其本地工具；跨节点操作需实际接收方执行</x:v>
      </x:c>
      <x:c r="E399" s="30" t="str">
        <x:v>依前序真实结果执行</x:v>
      </x:c>
      <x:c r="F399" s="30" t="str">
        <x:v>等待操作反馈后再由Agent决定是否继续</x:v>
      </x:c>
    </x:row>
    <x:row r="400" ht="65" customHeight="1">
      <x:c r="A400" s="30" t="str">
        <x:v>Q092</x:v>
      </x:c>
      <x:c r="B400" s="30" t="n">
        <x:v>2</x:v>
      </x:c>
      <x:c r="C400" s="30" t="str">
        <x:v>A048</x:v>
      </x:c>
      <x:c r="D400" s="30" t="str">
        <x:v>当前承担Agent/其本地工具；跨节点操作需实际接收方执行</x:v>
      </x:c>
      <x:c r="E400" s="30" t="str">
        <x:v>依前序真实结果执行</x:v>
      </x:c>
      <x:c r="F400" s="30" t="str">
        <x:v>等待操作反馈后再由Agent决定是否继续</x:v>
      </x:c>
    </x:row>
    <x:row r="401" ht="65" customHeight="1">
      <x:c r="A401" s="30" t="str">
        <x:v>Q092</x:v>
      </x:c>
      <x:c r="B401" s="30" t="n">
        <x:v>3</x:v>
      </x:c>
      <x:c r="C401" s="30" t="str">
        <x:v>A059</x:v>
      </x:c>
      <x:c r="D401" s="30" t="str">
        <x:v>当前承担Agent/其本地工具；跨节点操作需实际接收方执行</x:v>
      </x:c>
      <x:c r="E401" s="30" t="str">
        <x:v>依前序真实结果执行</x:v>
      </x:c>
      <x:c r="F401" s="30" t="str">
        <x:v>等待操作反馈后再由Agent决定是否继续</x:v>
      </x:c>
    </x:row>
    <x:row r="402" ht="65" customHeight="1">
      <x:c r="A402" s="30" t="str">
        <x:v>Q092</x:v>
      </x:c>
      <x:c r="B402" s="30" t="n">
        <x:v>4</x:v>
      </x:c>
      <x:c r="C402" s="30" t="str">
        <x:v>A054</x:v>
      </x:c>
      <x:c r="D402" s="30" t="str">
        <x:v>当前承担Agent/其本地工具；跨节点操作需实际接收方执行</x:v>
      </x:c>
      <x:c r="E402" s="30" t="str">
        <x:v>依前序真实结果执行</x:v>
      </x:c>
      <x:c r="F402" s="30" t="str">
        <x:v>报告恢复/隔离/无法恢复，必要时请求替代主体</x:v>
      </x:c>
    </x:row>
    <x:row r="403" ht="65" customHeight="1">
      <x:c r="A403" s="30" t="str">
        <x:v>Q093</x:v>
      </x:c>
      <x:c r="B403" s="30" t="n">
        <x:v>1</x:v>
      </x:c>
      <x:c r="C403" s="30" t="str">
        <x:v>A059</x:v>
      </x:c>
      <x:c r="D403" s="30" t="str">
        <x:v>当前承担Agent/其本地工具；跨节点操作需实际接收方执行</x:v>
      </x:c>
      <x:c r="E403" s="30" t="str">
        <x:v>依前序真实结果执行</x:v>
      </x:c>
      <x:c r="F403" s="30" t="str">
        <x:v>等待操作反馈后再由Agent决定是否继续</x:v>
      </x:c>
    </x:row>
    <x:row r="404" ht="65" customHeight="1">
      <x:c r="A404" s="30" t="str">
        <x:v>Q093</x:v>
      </x:c>
      <x:c r="B404" s="30" t="n">
        <x:v>2</x:v>
      </x:c>
      <x:c r="C404" s="30" t="str">
        <x:v>A062</x:v>
      </x:c>
      <x:c r="D404" s="30" t="str">
        <x:v>具备对应设备的专业/外部执行主体</x:v>
      </x:c>
      <x:c r="E404" s="30" t="str">
        <x:v>依前序真实结果执行</x:v>
      </x:c>
      <x:c r="F404" s="30" t="str">
        <x:v>等待操作反馈后再由Agent决定是否继续</x:v>
      </x:c>
    </x:row>
    <x:row r="405" ht="65" customHeight="1">
      <x:c r="A405" s="30" t="str">
        <x:v>Q093</x:v>
      </x:c>
      <x:c r="B405" s="30" t="n">
        <x:v>3</x:v>
      </x:c>
      <x:c r="C405" s="30" t="str">
        <x:v>A005</x:v>
      </x:c>
      <x:c r="D405" s="30" t="str">
        <x:v>当前承担Agent/其本地工具；跨节点操作需实际接收方执行</x:v>
      </x:c>
      <x:c r="E405" s="30" t="str">
        <x:v>依前序真实结果执行</x:v>
      </x:c>
      <x:c r="F405" s="30" t="str">
        <x:v>等待操作反馈后再由Agent决定是否继续</x:v>
      </x:c>
    </x:row>
    <x:row r="406" ht="65" customHeight="1">
      <x:c r="A406" s="30" t="str">
        <x:v>Q093</x:v>
      </x:c>
      <x:c r="B406" s="30" t="n">
        <x:v>4</x:v>
      </x:c>
      <x:c r="C406" s="30" t="str">
        <x:v>A054</x:v>
      </x:c>
      <x:c r="D406" s="30" t="str">
        <x:v>当前承担Agent/其本地工具；跨节点操作需实际接收方执行</x:v>
      </x:c>
      <x:c r="E406" s="30" t="str">
        <x:v>依前序真实结果执行</x:v>
      </x:c>
      <x:c r="F406" s="30" t="str">
        <x:v>具备消防能力者按模型实际降低火势并核验</x:v>
      </x:c>
    </x:row>
    <x:row r="407" ht="65" customHeight="1">
      <x:c r="A407" s="30" t="str">
        <x:v>Q094</x:v>
      </x:c>
      <x:c r="B407" s="30" t="n">
        <x:v>1</x:v>
      </x:c>
      <x:c r="C407" s="30" t="str">
        <x:v>A002</x:v>
      </x:c>
      <x:c r="D407" s="30" t="str">
        <x:v>当前承担Agent/其本地工具；跨节点操作需实际接收方执行</x:v>
      </x:c>
      <x:c r="E407" s="30" t="str">
        <x:v>依前序真实结果执行</x:v>
      </x:c>
      <x:c r="F407" s="30" t="str">
        <x:v>等待操作反馈后再由Agent决定是否继续</x:v>
      </x:c>
    </x:row>
    <x:row r="408" ht="65" customHeight="1">
      <x:c r="A408" s="30" t="str">
        <x:v>Q094</x:v>
      </x:c>
      <x:c r="B408" s="30" t="n">
        <x:v>2</x:v>
      </x:c>
      <x:c r="C408" s="30" t="str">
        <x:v>A028</x:v>
      </x:c>
      <x:c r="D408" s="30" t="str">
        <x:v>当前承担Agent/其本地工具；跨节点操作需实际接收方执行</x:v>
      </x:c>
      <x:c r="E408" s="30" t="str">
        <x:v>依前序真实结果执行</x:v>
      </x:c>
      <x:c r="F408" s="30" t="str">
        <x:v>等待操作反馈后再由Agent决定是否继续</x:v>
      </x:c>
    </x:row>
    <x:row r="409" ht="65" customHeight="1">
      <x:c r="A409" s="30" t="str">
        <x:v>Q094</x:v>
      </x:c>
      <x:c r="B409" s="30" t="n">
        <x:v>3</x:v>
      </x:c>
      <x:c r="C409" s="30" t="str">
        <x:v>A054</x:v>
      </x:c>
      <x:c r="D409" s="30" t="str">
        <x:v>当前承担Agent/其本地工具；跨节点操作需实际接收方执行</x:v>
      </x:c>
      <x:c r="E409" s="30" t="str">
        <x:v>依前序真实结果执行</x:v>
      </x:c>
      <x:c r="F409" s="30" t="str">
        <x:v>从实际水源/库存补充介质，不免费无限喷水</x:v>
      </x:c>
    </x:row>
    <x:row r="410" ht="65" customHeight="1">
      <x:c r="A410" s="30" t="str">
        <x:v>Q095</x:v>
      </x:c>
      <x:c r="B410" s="30" t="n">
        <x:v>1</x:v>
      </x:c>
      <x:c r="C410" s="30" t="str">
        <x:v>A059</x:v>
      </x:c>
      <x:c r="D410" s="30" t="str">
        <x:v>当前承担Agent/其本地工具；跨节点操作需实际接收方执行</x:v>
      </x:c>
      <x:c r="E410" s="30" t="str">
        <x:v>依前序真实结果执行</x:v>
      </x:c>
      <x:c r="F410" s="30" t="str">
        <x:v>等待操作反馈后再由Agent决定是否继续</x:v>
      </x:c>
    </x:row>
    <x:row r="411" ht="65" customHeight="1">
      <x:c r="A411" s="30" t="str">
        <x:v>Q095</x:v>
      </x:c>
      <x:c r="B411" s="30" t="n">
        <x:v>2</x:v>
      </x:c>
      <x:c r="C411" s="30" t="str">
        <x:v>A063</x:v>
      </x:c>
      <x:c r="D411" s="30" t="str">
        <x:v>具备对应设备的专业/外部执行主体</x:v>
      </x:c>
      <x:c r="E411" s="30" t="str">
        <x:v>依前序真实结果执行</x:v>
      </x:c>
      <x:c r="F411" s="30" t="str">
        <x:v>等待操作反馈后再由Agent决定是否继续</x:v>
      </x:c>
    </x:row>
    <x:row r="412" ht="65" customHeight="1">
      <x:c r="A412" s="30" t="str">
        <x:v>Q095</x:v>
      </x:c>
      <x:c r="B412" s="30" t="n">
        <x:v>3</x:v>
      </x:c>
      <x:c r="C412" s="30" t="str">
        <x:v>A010</x:v>
      </x:c>
      <x:c r="D412" s="30" t="str">
        <x:v>当前承担Agent/其本地工具；跨节点操作需实际接收方执行</x:v>
      </x:c>
      <x:c r="E412" s="30" t="str">
        <x:v>依前序真实结果执行</x:v>
      </x:c>
      <x:c r="F412" s="30" t="str">
        <x:v>等待操作反馈后再由Agent决定是否继续</x:v>
      </x:c>
    </x:row>
    <x:row r="413" ht="65" customHeight="1">
      <x:c r="A413" s="30" t="str">
        <x:v>Q095</x:v>
      </x:c>
      <x:c r="B413" s="30" t="n">
        <x:v>4</x:v>
      </x:c>
      <x:c r="C413" s="30" t="str">
        <x:v>A036</x:v>
      </x:c>
      <x:c r="D413" s="30" t="str">
        <x:v>当前承担Agent/其本地工具；跨节点操作需实际接收方执行</x:v>
      </x:c>
      <x:c r="E413" s="30" t="str">
        <x:v>依前序真实结果执行</x:v>
      </x:c>
      <x:c r="F413" s="30" t="str">
        <x:v>授权主体隔离或标记危险区，风险与通行状态同步</x:v>
      </x:c>
    </x:row>
    <x:row r="414" ht="65" customHeight="1">
      <x:c r="A414" s="30" t="str">
        <x:v>Q096</x:v>
      </x:c>
      <x:c r="B414" s="30" t="n">
        <x:v>1</x:v>
      </x:c>
      <x:c r="C414" s="30" t="str">
        <x:v>A038</x:v>
      </x:c>
      <x:c r="D414" s="30" t="str">
        <x:v>当前承担Agent/其本地工具；跨节点操作需实际接收方执行</x:v>
      </x:c>
      <x:c r="E414" s="30" t="str">
        <x:v>依前序真实结果执行</x:v>
      </x:c>
      <x:c r="F414" s="30" t="str">
        <x:v>等待操作反馈后再由Agent决定是否继续</x:v>
      </x:c>
    </x:row>
    <x:row r="415" ht="65" customHeight="1">
      <x:c r="A415" s="30" t="str">
        <x:v>Q096</x:v>
      </x:c>
      <x:c r="B415" s="30" t="n">
        <x:v>2</x:v>
      </x:c>
      <x:c r="C415" s="30" t="str">
        <x:v>A064</x:v>
      </x:c>
      <x:c r="D415" s="30" t="str">
        <x:v>当前承担Agent/其本地工具；跨节点操作需实际接收方执行</x:v>
      </x:c>
      <x:c r="E415" s="30" t="str">
        <x:v>依前序真实结果执行</x:v>
      </x:c>
      <x:c r="F415" s="30" t="str">
        <x:v>等待操作反馈后再由Agent决定是否继续</x:v>
      </x:c>
    </x:row>
    <x:row r="416" ht="65" customHeight="1">
      <x:c r="A416" s="30" t="str">
        <x:v>Q096</x:v>
      </x:c>
      <x:c r="B416" s="30" t="n">
        <x:v>3</x:v>
      </x:c>
      <x:c r="C416" s="30" t="str">
        <x:v>A046</x:v>
      </x:c>
      <x:c r="D416" s="30" t="str">
        <x:v>当前承担Agent/其本地工具；跨节点操作需实际接收方执行</x:v>
      </x:c>
      <x:c r="E416" s="30" t="str">
        <x:v>依前序真实结果执行</x:v>
      </x:c>
      <x:c r="F416" s="30" t="str">
        <x:v>等待操作反馈后再由Agent决定是否继续</x:v>
      </x:c>
    </x:row>
    <x:row r="417" ht="65" customHeight="1">
      <x:c r="A417" s="30" t="str">
        <x:v>Q096</x:v>
      </x:c>
      <x:c r="B417" s="30" t="n">
        <x:v>4</x:v>
      </x:c>
      <x:c r="C417" s="30" t="str">
        <x:v>A036</x:v>
      </x:c>
      <x:c r="D417" s="30" t="str">
        <x:v>当前承担Agent/其本地工具；跨节点操作需实际接收方执行</x:v>
      </x:c>
      <x:c r="E417" s="30" t="str">
        <x:v>依前序真实结果执行</x:v>
      </x:c>
      <x:c r="F417" s="30" t="str">
        <x:v>等待操作反馈后再由Agent决定是否继续</x:v>
      </x:c>
    </x:row>
    <x:row r="418" ht="65" customHeight="1">
      <x:c r="A418" s="30" t="str">
        <x:v>Q096</x:v>
      </x:c>
      <x:c r="B418" s="30" t="n">
        <x:v>5</x:v>
      </x:c>
      <x:c r="C418" s="30" t="str">
        <x:v>A037</x:v>
      </x:c>
      <x:c r="D418" s="30" t="str">
        <x:v>当前承担Agent/其本地工具；跨节点操作需实际接收方执行</x:v>
      </x:c>
      <x:c r="E418" s="30" t="str">
        <x:v>依前序真实结果执行</x:v>
      </x:c>
      <x:c r="F418" s="30" t="str">
        <x:v>只有适配兼容证据充分时才输出目标表示，计成本与质量损失</x:v>
      </x:c>
    </x:row>
    <x:row r="419" ht="65" customHeight="1">
      <x:c r="A419" s="30" t="str">
        <x:v>Q097</x:v>
      </x:c>
      <x:c r="B419" s="30" t="n">
        <x:v>1</x:v>
      </x:c>
      <x:c r="C419" s="30" t="str">
        <x:v>A005</x:v>
      </x:c>
      <x:c r="D419" s="30" t="str">
        <x:v>当前承担Agent/其本地工具；跨节点操作需实际接收方执行</x:v>
      </x:c>
      <x:c r="E419" s="30" t="str">
        <x:v>依前序真实结果执行</x:v>
      </x:c>
      <x:c r="F419" s="30" t="str">
        <x:v>等待操作反馈后再由Agent决定是否继续</x:v>
      </x:c>
    </x:row>
    <x:row r="420" ht="65" customHeight="1">
      <x:c r="A420" s="30" t="str">
        <x:v>Q097</x:v>
      </x:c>
      <x:c r="B420" s="30" t="n">
        <x:v>2</x:v>
      </x:c>
      <x:c r="C420" s="30" t="str">
        <x:v>A006</x:v>
      </x:c>
      <x:c r="D420" s="30" t="str">
        <x:v>当前承担Agent/其本地工具；跨节点操作需实际接收方执行</x:v>
      </x:c>
      <x:c r="E420" s="30" t="str">
        <x:v>依前序真实结果执行</x:v>
      </x:c>
      <x:c r="F420" s="30" t="str">
        <x:v>等待操作反馈后再由Agent决定是否继续</x:v>
      </x:c>
    </x:row>
    <x:row r="421" ht="65" customHeight="1">
      <x:c r="A421" s="30" t="str">
        <x:v>Q097</x:v>
      </x:c>
      <x:c r="B421" s="30" t="n">
        <x:v>3</x:v>
      </x:c>
      <x:c r="C421" s="30" t="str">
        <x:v>A041</x:v>
      </x:c>
      <x:c r="D421" s="30" t="str">
        <x:v>当前承担Agent/其本地工具；跨节点操作需实际接收方执行</x:v>
      </x:c>
      <x:c r="E421" s="30" t="str">
        <x:v>依前序真实结果执行</x:v>
      </x:c>
      <x:c r="F421" s="30" t="str">
        <x:v>等待操作反馈后再由Agent决定是否继续</x:v>
      </x:c>
    </x:row>
    <x:row r="422" ht="65" customHeight="1">
      <x:c r="A422" s="30" t="str">
        <x:v>Q097</x:v>
      </x:c>
      <x:c r="B422" s="30" t="n">
        <x:v>4</x:v>
      </x:c>
      <x:c r="C422" s="30" t="str">
        <x:v>A001 OR A002</x:v>
      </x:c>
      <x:c r="D422" s="30" t="str">
        <x:v>当前承担Agent/其本地工具；跨节点操作需实际接收方执行</x:v>
      </x:c>
      <x:c r="E422" s="30" t="str">
        <x:v>按条件选择其中一项；不是全部执行</x:v>
      </x:c>
      <x:c r="F422" s="30" t="str">
        <x:v>等待操作反馈后再由Agent决定是否继续</x:v>
      </x:c>
    </x:row>
    <x:row r="423" ht="65" customHeight="1">
      <x:c r="A423" s="30" t="str">
        <x:v>Q097</x:v>
      </x:c>
      <x:c r="B423" s="30" t="n">
        <x:v>5</x:v>
      </x:c>
      <x:c r="C423" s="30" t="str">
        <x:v>A005</x:v>
      </x:c>
      <x:c r="D423" s="30" t="str">
        <x:v>当前承担Agent/其本地工具；跨节点操作需实际接收方执行</x:v>
      </x:c>
      <x:c r="E423" s="30" t="str">
        <x:v>依前序真实结果执行</x:v>
      </x:c>
      <x:c r="F423" s="30" t="str">
        <x:v>等待操作反馈后再由Agent决定是否继续</x:v>
      </x:c>
    </x:row>
    <x:row r="424" ht="65" customHeight="1">
      <x:c r="A424" s="30" t="str">
        <x:v>Q097</x:v>
      </x:c>
      <x:c r="B424" s="30" t="n">
        <x:v>6</x:v>
      </x:c>
      <x:c r="C424" s="30" t="str">
        <x:v>A006</x:v>
      </x:c>
      <x:c r="D424" s="30" t="str">
        <x:v>当前承担Agent/其本地工具；跨节点操作需实际接收方执行</x:v>
      </x:c>
      <x:c r="E424" s="30" t="str">
        <x:v>依前序真实结果执行</x:v>
      </x:c>
      <x:c r="F424" s="30" t="str">
        <x:v>等待操作反馈后再由Agent决定是否继续</x:v>
      </x:c>
    </x:row>
    <x:row r="425" ht="65" customHeight="1">
      <x:c r="A425" s="30" t="str">
        <x:v>Q097</x:v>
      </x:c>
      <x:c r="B425" s="30" t="n">
        <x:v>7</x:v>
      </x:c>
      <x:c r="C425" s="30" t="str">
        <x:v>A040</x:v>
      </x:c>
      <x:c r="D425" s="30" t="str">
        <x:v>当前承担Agent/其本地工具；跨节点操作需实际接收方执行</x:v>
      </x:c>
      <x:c r="E425" s="30" t="str">
        <x:v>依前序真实结果执行</x:v>
      </x:c>
      <x:c r="F425" s="30" t="str">
        <x:v>等待操作反馈后再由Agent决定是否继续</x:v>
      </x:c>
    </x:row>
    <x:row r="426" ht="65" customHeight="1">
      <x:c r="A426" s="30" t="str">
        <x:v>Q097</x:v>
      </x:c>
      <x:c r="B426" s="30" t="n">
        <x:v>8</x:v>
      </x:c>
      <x:c r="C426" s="30" t="str">
        <x:v>A041</x:v>
      </x:c>
      <x:c r="D426" s="30" t="str">
        <x:v>当前承担Agent/其本地工具；跨节点操作需实际接收方执行</x:v>
      </x:c>
      <x:c r="E426" s="30" t="str">
        <x:v>依前序真实结果执行</x:v>
      </x:c>
      <x:c r="F426" s="30" t="str">
        <x:v>获得新增证据或明确仍不确定</x:v>
      </x:c>
    </x:row>
    <x:row r="427" ht="65" customHeight="1">
      <x:c r="A427" s="30" t="str">
        <x:v>Q098</x:v>
      </x:c>
      <x:c r="B427" s="30" t="n">
        <x:v>1</x:v>
      </x:c>
      <x:c r="C427" s="30" t="str">
        <x:v>A002</x:v>
      </x:c>
      <x:c r="D427" s="30" t="str">
        <x:v>当前承担Agent/其本地工具；跨节点操作需实际接收方执行</x:v>
      </x:c>
      <x:c r="E427" s="30" t="str">
        <x:v>依前序真实结果执行</x:v>
      </x:c>
      <x:c r="F427" s="30" t="str">
        <x:v>等待操作反馈后再由Agent决定是否继续</x:v>
      </x:c>
    </x:row>
    <x:row r="428" ht="65" customHeight="1">
      <x:c r="A428" s="30" t="str">
        <x:v>Q098</x:v>
      </x:c>
      <x:c r="B428" s="30" t="n">
        <x:v>2</x:v>
      </x:c>
      <x:c r="C428" s="30" t="str">
        <x:v>A041</x:v>
      </x:c>
      <x:c r="D428" s="30" t="str">
        <x:v>当前承担Agent/其本地工具；跨节点操作需实际接收方执行</x:v>
      </x:c>
      <x:c r="E428" s="30" t="str">
        <x:v>依前序真实结果执行</x:v>
      </x:c>
      <x:c r="F428" s="30" t="str">
        <x:v>等待操作反馈后再由Agent决定是否继续</x:v>
      </x:c>
    </x:row>
    <x:row r="429" ht="65" customHeight="1">
      <x:c r="A429" s="30" t="str">
        <x:v>Q098</x:v>
      </x:c>
      <x:c r="B429" s="30" t="n">
        <x:v>3</x:v>
      </x:c>
      <x:c r="C429" s="30" t="str">
        <x:v>A066</x:v>
      </x:c>
      <x:c r="D429" s="30" t="str">
        <x:v>当前承担Agent/其本地工具；跨节点操作需实际接收方执行</x:v>
      </x:c>
      <x:c r="E429" s="30" t="str">
        <x:v>依前序真实结果执行</x:v>
      </x:c>
      <x:c r="F429" s="30" t="str">
        <x:v>等待操作反馈后再由Agent决定是否继续</x:v>
      </x:c>
    </x:row>
    <x:row r="430" ht="65" customHeight="1">
      <x:c r="A430" s="30" t="str">
        <x:v>Q098</x:v>
      </x:c>
      <x:c r="B430" s="30" t="n">
        <x:v>4</x:v>
      </x:c>
      <x:c r="C430" s="30" t="str">
        <x:v>A002</x:v>
      </x:c>
      <x:c r="D430" s="30" t="str">
        <x:v>当前承担Agent/其本地工具；跨节点操作需实际接收方执行</x:v>
      </x:c>
      <x:c r="E430" s="30" t="str">
        <x:v>依前序真实结果执行</x:v>
      </x:c>
      <x:c r="F430" s="30" t="str">
        <x:v>等待操作反馈后再由Agent决定是否继续</x:v>
      </x:c>
    </x:row>
    <x:row r="431" ht="65" customHeight="1">
      <x:c r="A431" s="30" t="str">
        <x:v>Q098</x:v>
      </x:c>
      <x:c r="B431" s="30" t="n">
        <x:v>5</x:v>
      </x:c>
      <x:c r="C431" s="30" t="str">
        <x:v>A054</x:v>
      </x:c>
      <x:c r="D431" s="30" t="str">
        <x:v>当前承担Agent/其本地工具；跨节点操作需实际接收方执行</x:v>
      </x:c>
      <x:c r="E431" s="30" t="str">
        <x:v>依前序真实结果执行</x:v>
      </x:c>
      <x:c r="F431" s="30" t="str">
        <x:v>找到合法替代路径或报告不可达</x:v>
      </x:c>
    </x:row>
    <x:row r="432" ht="65" customHeight="1">
      <x:c r="A432" s="30" t="str">
        <x:v>Q099</x:v>
      </x:c>
      <x:c r="B432" s="30" t="n">
        <x:v>1</x:v>
      </x:c>
      <x:c r="C432" s="30" t="str">
        <x:v>A011</x:v>
      </x:c>
      <x:c r="D432" s="30" t="str">
        <x:v>当前承担Agent/其本地工具；跨节点操作需实际接收方执行</x:v>
      </x:c>
      <x:c r="E432" s="30" t="str">
        <x:v>依前序真实结果执行</x:v>
      </x:c>
      <x:c r="F432" s="30" t="str">
        <x:v>等待操作反馈后再由Agent决定是否继续</x:v>
      </x:c>
    </x:row>
    <x:row r="433" ht="65" customHeight="1">
      <x:c r="A433" s="30" t="str">
        <x:v>Q099</x:v>
      </x:c>
      <x:c r="B433" s="30" t="n">
        <x:v>2</x:v>
      </x:c>
      <x:c r="C433" s="30" t="str">
        <x:v>A041</x:v>
      </x:c>
      <x:c r="D433" s="30" t="str">
        <x:v>当前承担Agent/其本地工具；跨节点操作需实际接收方执行</x:v>
      </x:c>
      <x:c r="E433" s="30" t="str">
        <x:v>依前序真实结果执行</x:v>
      </x:c>
      <x:c r="F433" s="30" t="str">
        <x:v>等待操作反馈后再由Agent决定是否继续</x:v>
      </x:c>
    </x:row>
    <x:row r="434" ht="65" customHeight="1">
      <x:c r="A434" s="30" t="str">
        <x:v>Q099</x:v>
      </x:c>
      <x:c r="B434" s="30" t="n">
        <x:v>3</x:v>
      </x:c>
      <x:c r="C434" s="30" t="str">
        <x:v>A059</x:v>
      </x:c>
      <x:c r="D434" s="30" t="str">
        <x:v>当前承担Agent/其本地工具；跨节点操作需实际接收方执行</x:v>
      </x:c>
      <x:c r="E434" s="30" t="str">
        <x:v>依前序真实结果执行</x:v>
      </x:c>
      <x:c r="F434" s="30" t="str">
        <x:v>等待操作反馈后再由Agent决定是否继续</x:v>
      </x:c>
    </x:row>
    <x:row r="435" ht="65" customHeight="1">
      <x:c r="A435" s="30" t="str">
        <x:v>Q099</x:v>
      </x:c>
      <x:c r="B435" s="30" t="n">
        <x:v>4</x:v>
      </x:c>
      <x:c r="C435" s="30" t="str">
        <x:v>A013</x:v>
      </x:c>
      <x:c r="D435" s="30" t="str">
        <x:v>具备对应设备的专业/外部执行主体</x:v>
      </x:c>
      <x:c r="E435" s="30" t="str">
        <x:v>依前序真实结果执行</x:v>
      </x:c>
      <x:c r="F435" s="30" t="str">
        <x:v>等待操作反馈后再由Agent决定是否继续</x:v>
      </x:c>
    </x:row>
    <x:row r="436" ht="65" customHeight="1">
      <x:c r="A436" s="30" t="str">
        <x:v>Q099</x:v>
      </x:c>
      <x:c r="B436" s="30" t="n">
        <x:v>5</x:v>
      </x:c>
      <x:c r="C436" s="30" t="str">
        <x:v>A011</x:v>
      </x:c>
      <x:c r="D436" s="30" t="str">
        <x:v>当前承担Agent/其本地工具；跨节点操作需实际接收方执行</x:v>
      </x:c>
      <x:c r="E436" s="30" t="str">
        <x:v>依前序真实结果执行</x:v>
      </x:c>
      <x:c r="F436" s="30" t="str">
        <x:v>等待操作反馈后再由Agent决定是否继续</x:v>
      </x:c>
    </x:row>
    <x:row r="437" ht="65" customHeight="1">
      <x:c r="A437" s="30" t="str">
        <x:v>Q099</x:v>
      </x:c>
      <x:c r="B437" s="30" t="n">
        <x:v>6</x:v>
      </x:c>
      <x:c r="C437" s="30" t="str">
        <x:v>A002</x:v>
      </x:c>
      <x:c r="D437" s="30" t="str">
        <x:v>当前承担Agent/其本地工具；跨节点操作需实际接收方执行</x:v>
      </x:c>
      <x:c r="E437" s="30" t="str">
        <x:v>依前序真实结果执行</x:v>
      </x:c>
      <x:c r="F437" s="30" t="str">
        <x:v>等待操作反馈后再由Agent决定是否继续</x:v>
      </x:c>
    </x:row>
    <x:row r="438" ht="65" customHeight="1">
      <x:c r="A438" s="30" t="str">
        <x:v>Q099</x:v>
      </x:c>
      <x:c r="B438" s="30" t="n">
        <x:v>7</x:v>
      </x:c>
      <x:c r="C438" s="30" t="str">
        <x:v>A008</x:v>
      </x:c>
      <x:c r="D438" s="30" t="str">
        <x:v>当前承担Agent/其本地工具；跨节点操作需实际接收方执行</x:v>
      </x:c>
      <x:c r="E438" s="30" t="str">
        <x:v>依前序真实结果执行</x:v>
      </x:c>
      <x:c r="F438" s="30" t="str">
        <x:v>等待操作反馈后再由Agent决定是否继续</x:v>
      </x:c>
    </x:row>
    <x:row r="439" ht="65" customHeight="1">
      <x:c r="A439" s="30" t="str">
        <x:v>Q099</x:v>
      </x:c>
      <x:c r="B439" s="30" t="n">
        <x:v>8</x:v>
      </x:c>
      <x:c r="C439" s="30" t="str">
        <x:v>A036</x:v>
      </x:c>
      <x:c r="D439" s="30" t="str">
        <x:v>当前承担Agent/其本地工具；跨节点操作需实际接收方执行</x:v>
      </x:c>
      <x:c r="E439" s="30" t="str">
        <x:v>依前序真实结果执行</x:v>
      </x:c>
      <x:c r="F439" s="30" t="str">
        <x:v>专业主体清障后才开始室内抽象搜索</x:v>
      </x:c>
    </x:row>
    <x:row r="440" ht="65" customHeight="1">
      <x:c r="A440" s="30" t="str">
        <x:v>Q100</x:v>
      </x:c>
      <x:c r="B440" s="30" t="n">
        <x:v>1</x:v>
      </x:c>
      <x:c r="C440" s="30" t="str">
        <x:v>A053</x:v>
      </x:c>
      <x:c r="D440" s="30" t="str">
        <x:v>当前承担Agent/其本地工具；跨节点操作需实际接收方执行</x:v>
      </x:c>
      <x:c r="E440" s="30" t="str">
        <x:v>依前序真实结果执行</x:v>
      </x:c>
      <x:c r="F440" s="30" t="str">
        <x:v>等待操作反馈后再由Agent决定是否继续</x:v>
      </x:c>
    </x:row>
    <x:row r="441" ht="65" customHeight="1">
      <x:c r="A441" s="30" t="str">
        <x:v>Q100</x:v>
      </x:c>
      <x:c r="B441" s="30" t="n">
        <x:v>2</x:v>
      </x:c>
      <x:c r="C441" s="30" t="str">
        <x:v>A051</x:v>
      </x:c>
      <x:c r="D441" s="30" t="str">
        <x:v>当前承担Agent/其本地工具；跨节点操作需实际接收方执行</x:v>
      </x:c>
      <x:c r="E441" s="30" t="str">
        <x:v>依前序真实结果执行</x:v>
      </x:c>
      <x:c r="F441" s="30" t="str">
        <x:v>等待操作反馈后再由Agent决定是否继续</x:v>
      </x:c>
    </x:row>
    <x:row r="442" ht="65" customHeight="1">
      <x:c r="A442" s="30" t="str">
        <x:v>Q100</x:v>
      </x:c>
      <x:c r="B442" s="30" t="n">
        <x:v>3</x:v>
      </x:c>
      <x:c r="C442" s="30" t="str">
        <x:v>A036</x:v>
      </x:c>
      <x:c r="D442" s="30" t="str">
        <x:v>当前承担Agent/其本地工具；跨节点操作需实际接收方执行</x:v>
      </x:c>
      <x:c r="E442" s="30" t="str">
        <x:v>依前序真实结果执行</x:v>
      </x:c>
      <x:c r="F442" s="30" t="str">
        <x:v>等待操作反馈后再由Agent决定是否继续</x:v>
      </x:c>
    </x:row>
    <x:row r="443" ht="65" customHeight="1">
      <x:c r="A443" s="30" t="str">
        <x:v>Q100</x:v>
      </x:c>
      <x:c r="B443" s="30" t="n">
        <x:v>4</x:v>
      </x:c>
      <x:c r="C443" s="30" t="str">
        <x:v>A052</x:v>
      </x:c>
      <x:c r="D443" s="30" t="str">
        <x:v>当前承担Agent/其本地工具；跨节点操作需实际接收方执行</x:v>
      </x:c>
      <x:c r="E443" s="30" t="str">
        <x:v>依前序真实结果执行</x:v>
      </x:c>
      <x:c r="F443" s="30" t="str">
        <x:v>等待操作反馈后再由Agent决定是否继续</x:v>
      </x:c>
    </x:row>
    <x:row r="444" ht="65" customHeight="1">
      <x:c r="A444" s="30" t="str">
        <x:v>Q100</x:v>
      </x:c>
      <x:c r="B444" s="30" t="n">
        <x:v>5</x:v>
      </x:c>
      <x:c r="C444" s="30" t="str">
        <x:v>A065</x:v>
      </x:c>
      <x:c r="D444" s="30" t="str">
        <x:v>当前承担Agent/其本地工具；跨节点操作需实际接收方执行</x:v>
      </x:c>
      <x:c r="E444" s="30" t="str">
        <x:v>依前序真实结果执行</x:v>
      </x:c>
      <x:c r="F444" s="30" t="str">
        <x:v>等待操作反馈后再由Agent决定是否继续</x:v>
      </x:c>
    </x:row>
    <x:row r="445" ht="65" customHeight="1">
      <x:c r="A445" s="30" t="str">
        <x:v>Q100</x:v>
      </x:c>
      <x:c r="B445" s="30" t="n">
        <x:v>6</x:v>
      </x:c>
      <x:c r="C445" s="30" t="str">
        <x:v>A053</x:v>
      </x:c>
      <x:c r="D445" s="30" t="str">
        <x:v>当前承担Agent/其本地工具；跨节点操作需实际接收方执行</x:v>
      </x:c>
      <x:c r="E445" s="30" t="str">
        <x:v>依前序真实结果执行</x:v>
      </x:c>
      <x:c r="F445" s="30" t="str">
        <x:v>拒绝或改派能力匹配主体</x:v>
      </x:c>
    </x:row>
    <x:row r="446" ht="65" customHeight="1">
      <x:c r="A446" s="30" t="str">
        <x:v>Q101</x:v>
      </x:c>
      <x:c r="B446" s="30" t="n">
        <x:v>1</x:v>
      </x:c>
      <x:c r="C446" s="30" t="str">
        <x:v>A024</x:v>
      </x:c>
      <x:c r="D446" s="30" t="str">
        <x:v>当前承担Agent/其本地工具；跨节点操作需实际接收方执行</x:v>
      </x:c>
      <x:c r="E446" s="30" t="str">
        <x:v>依前序真实结果执行</x:v>
      </x:c>
      <x:c r="F446" s="30" t="str">
        <x:v>等待操作反馈后再由Agent决定是否继续</x:v>
      </x:c>
    </x:row>
    <x:row r="447" ht="65" customHeight="1">
      <x:c r="A447" s="30" t="str">
        <x:v>Q101</x:v>
      </x:c>
      <x:c r="B447" s="30" t="n">
        <x:v>2</x:v>
      </x:c>
      <x:c r="C447" s="30" t="str">
        <x:v>A041</x:v>
      </x:c>
      <x:c r="D447" s="30" t="str">
        <x:v>当前承担Agent/其本地工具；跨节点操作需实际接收方执行</x:v>
      </x:c>
      <x:c r="E447" s="30" t="str">
        <x:v>依前序真实结果执行</x:v>
      </x:c>
      <x:c r="F447" s="30" t="str">
        <x:v>等待操作反馈后再由Agent决定是否继续</x:v>
      </x:c>
    </x:row>
    <x:row r="448" ht="65" customHeight="1">
      <x:c r="A448" s="30" t="str">
        <x:v>Q101</x:v>
      </x:c>
      <x:c r="B448" s="30" t="n">
        <x:v>3</x:v>
      </x:c>
      <x:c r="C448" s="30" t="str">
        <x:v>A050</x:v>
      </x:c>
      <x:c r="D448" s="30" t="str">
        <x:v>当前承担Agent/其本地工具；跨节点操作需实际接收方执行</x:v>
      </x:c>
      <x:c r="E448" s="30" t="str">
        <x:v>依前序真实结果执行</x:v>
      </x:c>
      <x:c r="F448" s="30" t="str">
        <x:v>等待操作反馈后再由Agent决定是否继续</x:v>
      </x:c>
    </x:row>
    <x:row r="449" ht="65" customHeight="1">
      <x:c r="A449" s="30" t="str">
        <x:v>Q101</x:v>
      </x:c>
      <x:c r="B449" s="30" t="n">
        <x:v>4</x:v>
      </x:c>
      <x:c r="C449" s="30" t="str">
        <x:v>A052</x:v>
      </x:c>
      <x:c r="D449" s="30" t="str">
        <x:v>当前承担Agent/其本地工具；跨节点操作需实际接收方执行</x:v>
      </x:c>
      <x:c r="E449" s="30" t="str">
        <x:v>依前序真实结果执行</x:v>
      </x:c>
      <x:c r="F449" s="30" t="str">
        <x:v>等待操作反馈后再由Agent决定是否继续</x:v>
      </x:c>
    </x:row>
    <x:row r="450" ht="65" customHeight="1">
      <x:c r="A450" s="30" t="str">
        <x:v>Q101</x:v>
      </x:c>
      <x:c r="B450" s="30" t="n">
        <x:v>5</x:v>
      </x:c>
      <x:c r="C450" s="30" t="str">
        <x:v>A065</x:v>
      </x:c>
      <x:c r="D450" s="30" t="str">
        <x:v>当前承担Agent/其本地工具；跨节点操作需实际接收方执行</x:v>
      </x:c>
      <x:c r="E450" s="30" t="str">
        <x:v>依前序真实结果执行</x:v>
      </x:c>
      <x:c r="F450" s="30" t="str">
        <x:v>等待操作反馈后再由Agent决定是否继续</x:v>
      </x:c>
    </x:row>
    <x:row r="451" ht="65" customHeight="1">
      <x:c r="A451" s="30" t="str">
        <x:v>Q101</x:v>
      </x:c>
      <x:c r="B451" s="30" t="n">
        <x:v>6</x:v>
      </x:c>
      <x:c r="C451" s="30" t="str">
        <x:v>A053</x:v>
      </x:c>
      <x:c r="D451" s="30" t="str">
        <x:v>当前承担Agent/其本地工具；跨节点操作需实际接收方执行</x:v>
      </x:c>
      <x:c r="E451" s="30" t="str">
        <x:v>依前序真实结果执行</x:v>
      </x:c>
      <x:c r="F451" s="30" t="str">
        <x:v>等待操作反馈后再由Agent决定是否继续</x:v>
      </x:c>
    </x:row>
    <x:row r="452" ht="65" customHeight="1">
      <x:c r="A452" s="30" t="str">
        <x:v>Q101</x:v>
      </x:c>
      <x:c r="B452" s="30" t="n">
        <x:v>7</x:v>
      </x:c>
      <x:c r="C452" s="30" t="str">
        <x:v>A024</x:v>
      </x:c>
      <x:c r="D452" s="30" t="str">
        <x:v>当前承担Agent/其本地工具；跨节点操作需实际接收方执行</x:v>
      </x:c>
      <x:c r="E452" s="30" t="str">
        <x:v>依前序真实结果执行</x:v>
      </x:c>
      <x:c r="F452" s="30" t="str">
        <x:v>由Agent选择拆分或更合适载具</x:v>
      </x:c>
    </x:row>
    <x:row r="453" ht="65" customHeight="1">
      <x:c r="A453" s="30" t="str">
        <x:v>Q102</x:v>
      </x:c>
      <x:c r="B453" s="30" t="n">
        <x:v>1</x:v>
      </x:c>
      <x:c r="C453" s="30" t="str">
        <x:v>A055</x:v>
      </x:c>
      <x:c r="D453" s="30" t="str">
        <x:v>当前承担Agent/其本地工具；跨节点操作需实际接收方执行</x:v>
      </x:c>
      <x:c r="E453" s="30" t="str">
        <x:v>依前序真实结果执行</x:v>
      </x:c>
      <x:c r="F453" s="30" t="str">
        <x:v>等待操作反馈后再由Agent决定是否继续</x:v>
      </x:c>
    </x:row>
    <x:row r="454" ht="65" customHeight="1">
      <x:c r="A454" s="30" t="str">
        <x:v>Q102</x:v>
      </x:c>
      <x:c r="B454" s="30" t="n">
        <x:v>2</x:v>
      </x:c>
      <x:c r="C454" s="30" t="str">
        <x:v>A056</x:v>
      </x:c>
      <x:c r="D454" s="30" t="str">
        <x:v>当前承担Agent/其本地工具；跨节点操作需实际接收方执行</x:v>
      </x:c>
      <x:c r="E454" s="30" t="str">
        <x:v>依前序真实结果执行</x:v>
      </x:c>
      <x:c r="F454" s="30" t="str">
        <x:v>等待操作反馈后再由Agent决定是否继续</x:v>
      </x:c>
    </x:row>
    <x:row r="455" ht="65" customHeight="1">
      <x:c r="A455" s="30" t="str">
        <x:v>Q102</x:v>
      </x:c>
      <x:c r="B455" s="30" t="n">
        <x:v>3</x:v>
      </x:c>
      <x:c r="C455" s="30" t="str">
        <x:v>A001 OR A002</x:v>
      </x:c>
      <x:c r="D455" s="30" t="str">
        <x:v>当前承担Agent/其本地工具；跨节点操作需实际接收方执行</x:v>
      </x:c>
      <x:c r="E455" s="30" t="str">
        <x:v>按条件选择其中一项；不是全部执行</x:v>
      </x:c>
      <x:c r="F455" s="30" t="str">
        <x:v>等待操作反馈后再由Agent决定是否继续</x:v>
      </x:c>
    </x:row>
    <x:row r="456" ht="65" customHeight="1">
      <x:c r="A456" s="30" t="str">
        <x:v>Q102</x:v>
      </x:c>
      <x:c r="B456" s="30" t="n">
        <x:v>4</x:v>
      </x:c>
      <x:c r="C456" s="30" t="str">
        <x:v>A029</x:v>
      </x:c>
      <x:c r="D456" s="30" t="str">
        <x:v>当前承担Agent/其本地工具；跨节点操作需实际接收方执行</x:v>
      </x:c>
      <x:c r="E456" s="30" t="str">
        <x:v>依前序真实结果执行</x:v>
      </x:c>
      <x:c r="F456" s="30" t="str">
        <x:v>等待操作反馈后再由Agent决定是否继续</x:v>
      </x:c>
    </x:row>
    <x:row r="457" ht="65" customHeight="1">
      <x:c r="A457" s="30" t="str">
        <x:v>Q102</x:v>
      </x:c>
      <x:c r="B457" s="30" t="n">
        <x:v>5</x:v>
      </x:c>
      <x:c r="C457" s="30" t="str">
        <x:v>A057</x:v>
      </x:c>
      <x:c r="D457" s="30" t="str">
        <x:v>当前承担Agent/其本地工具；跨节点操作需实际接收方执行</x:v>
      </x:c>
      <x:c r="E457" s="30" t="str">
        <x:v>依前序真实结果执行</x:v>
      </x:c>
      <x:c r="F457" s="30" t="str">
        <x:v>等待操作反馈后再由Agent决定是否继续</x:v>
      </x:c>
    </x:row>
    <x:row r="458" ht="65" customHeight="1">
      <x:c r="A458" s="30" t="str">
        <x:v>Q102</x:v>
      </x:c>
      <x:c r="B458" s="30" t="n">
        <x:v>6</x:v>
      </x:c>
      <x:c r="C458" s="30" t="str">
        <x:v>A054</x:v>
      </x:c>
      <x:c r="D458" s="30" t="str">
        <x:v>当前承担Agent/其本地工具；跨节点操作需实际接收方执行</x:v>
      </x:c>
      <x:c r="E458" s="30" t="str">
        <x:v>依前序真实结果执行</x:v>
      </x:c>
      <x:c r="F458" s="30" t="str">
        <x:v>安全补能后重验条件并恢复</x:v>
      </x:c>
    </x:row>
    <x:row r="459" ht="65" customHeight="1">
      <x:c r="A459" s="30" t="str">
        <x:v>Q103</x:v>
      </x:c>
      <x:c r="B459" s="30" t="n">
        <x:v>1</x:v>
      </x:c>
      <x:c r="C459" s="30" t="str">
        <x:v>A036</x:v>
      </x:c>
      <x:c r="D459" s="30" t="str">
        <x:v>当前承担Agent/其本地工具；跨节点操作需实际接收方执行</x:v>
      </x:c>
      <x:c r="E459" s="30" t="str">
        <x:v>依前序真实结果执行</x:v>
      </x:c>
      <x:c r="F459" s="30" t="str">
        <x:v>等待操作反馈后再由Agent决定是否继续</x:v>
      </x:c>
    </x:row>
    <x:row r="460" ht="65" customHeight="1">
      <x:c r="A460" s="30" t="str">
        <x:v>Q103</x:v>
      </x:c>
      <x:c r="B460" s="30" t="n">
        <x:v>2</x:v>
      </x:c>
      <x:c r="C460" s="30" t="str">
        <x:v>A065</x:v>
      </x:c>
      <x:c r="D460" s="30" t="str">
        <x:v>当前承担Agent/其本地工具；跨节点操作需实际接收方执行</x:v>
      </x:c>
      <x:c r="E460" s="30" t="str">
        <x:v>依前序真实结果执行</x:v>
      </x:c>
      <x:c r="F460" s="30" t="str">
        <x:v>等待操作反馈后再由Agent决定是否继续</x:v>
      </x:c>
    </x:row>
    <x:row r="461" ht="65" customHeight="1">
      <x:c r="A461" s="30" t="str">
        <x:v>Q103</x:v>
      </x:c>
      <x:c r="B461" s="30" t="n">
        <x:v>3</x:v>
      </x:c>
      <x:c r="C461" s="30" t="str">
        <x:v>A037</x:v>
      </x:c>
      <x:c r="D461" s="30" t="str">
        <x:v>当前承担Agent/其本地工具；跨节点操作需实际接收方执行</x:v>
      </x:c>
      <x:c r="E461" s="30" t="str">
        <x:v>依前序真实结果执行</x:v>
      </x:c>
      <x:c r="F461" s="30" t="str">
        <x:v>等待操作反馈后再由Agent决定是否继续</x:v>
      </x:c>
    </x:row>
    <x:row r="462" ht="65" customHeight="1">
      <x:c r="A462" s="30" t="str">
        <x:v>Q103</x:v>
      </x:c>
      <x:c r="B462" s="30" t="n">
        <x:v>4</x:v>
      </x:c>
      <x:c r="C462" s="30" t="str">
        <x:v>A036</x:v>
      </x:c>
      <x:c r="D462" s="30" t="str">
        <x:v>当前承担Agent/其本地工具；跨节点操作需实际接收方执行</x:v>
      </x:c>
      <x:c r="E462" s="30" t="str">
        <x:v>依前序真实结果执行</x:v>
      </x:c>
      <x:c r="F462" s="30" t="str">
        <x:v>等待操作反馈后再由Agent决定是否继续</x:v>
      </x:c>
    </x:row>
    <x:row r="463" ht="65" customHeight="1">
      <x:c r="A463" s="30" t="str">
        <x:v>Q103</x:v>
      </x:c>
      <x:c r="B463" s="30" t="n">
        <x:v>5</x:v>
      </x:c>
      <x:c r="C463" s="30" t="str">
        <x:v>A065</x:v>
      </x:c>
      <x:c r="D463" s="30" t="str">
        <x:v>当前承担Agent/其本地工具；跨节点操作需实际接收方执行</x:v>
      </x:c>
      <x:c r="E463" s="30" t="str">
        <x:v>依前序真实结果执行</x:v>
      </x:c>
      <x:c r="F463" s="30" t="str">
        <x:v>等待操作反馈后再由Agent决定是否继续</x:v>
      </x:c>
    </x:row>
    <x:row r="464" ht="65" customHeight="1">
      <x:c r="A464" s="30" t="str">
        <x:v>Q103</x:v>
      </x:c>
      <x:c r="B464" s="30" t="n">
        <x:v>6</x:v>
      </x:c>
      <x:c r="C464" s="30" t="str">
        <x:v>A037</x:v>
      </x:c>
      <x:c r="D464" s="30" t="str">
        <x:v>当前承担Agent/其本地工具；跨节点操作需实际接收方执行</x:v>
      </x:c>
      <x:c r="E464" s="30" t="str">
        <x:v>依前序真实结果执行</x:v>
      </x:c>
      <x:c r="F464" s="30" t="str">
        <x:v>真实重传后完整接收或超时失败</x:v>
      </x:c>
    </x:row>
    <x:row r="465" ht="65" customHeight="1">
      <x:c r="A465" s="30" t="str">
        <x:v>Q104</x:v>
      </x:c>
      <x:c r="B465" s="30" t="n">
        <x:v>1</x:v>
      </x:c>
      <x:c r="C465" s="30" t="str">
        <x:v>A046</x:v>
      </x:c>
      <x:c r="D465" s="30" t="str">
        <x:v>当前承担Agent/其本地工具；跨节点操作需实际接收方执行</x:v>
      </x:c>
      <x:c r="E465" s="30" t="str">
        <x:v>依前序真实结果执行</x:v>
      </x:c>
      <x:c r="F465" s="30" t="str">
        <x:v>等待操作反馈后再由Agent决定是否继续</x:v>
      </x:c>
    </x:row>
    <x:row r="466" ht="65" customHeight="1">
      <x:c r="A466" s="30" t="str">
        <x:v>Q104</x:v>
      </x:c>
      <x:c r="B466" s="30" t="n">
        <x:v>2</x:v>
      </x:c>
      <x:c r="C466" s="30" t="str">
        <x:v>A001 OR A002</x:v>
      </x:c>
      <x:c r="D466" s="30" t="str">
        <x:v>当前承担Agent/其本地工具；跨节点操作需实际接收方执行</x:v>
      </x:c>
      <x:c r="E466" s="30" t="str">
        <x:v>按条件选择其中一项；不是全部执行</x:v>
      </x:c>
      <x:c r="F466" s="30" t="str">
        <x:v>等待操作反馈后再由Agent决定是否继续</x:v>
      </x:c>
    </x:row>
    <x:row r="467" ht="65" customHeight="1">
      <x:c r="A467" s="30" t="str">
        <x:v>Q104</x:v>
      </x:c>
      <x:c r="B467" s="30" t="n">
        <x:v>3</x:v>
      </x:c>
      <x:c r="C467" s="30" t="str">
        <x:v>A032</x:v>
      </x:c>
      <x:c r="D467" s="30" t="str">
        <x:v>当前承担Agent/其本地工具；跨节点操作需实际接收方执行</x:v>
      </x:c>
      <x:c r="E467" s="30" t="str">
        <x:v>依前序真实结果执行</x:v>
      </x:c>
      <x:c r="F467" s="30" t="str">
        <x:v>等待操作反馈后再由Agent决定是否继续</x:v>
      </x:c>
    </x:row>
    <x:row r="468" ht="65" customHeight="1">
      <x:c r="A468" s="30" t="str">
        <x:v>Q104</x:v>
      </x:c>
      <x:c r="B468" s="30" t="n">
        <x:v>4</x:v>
      </x:c>
      <x:c r="C468" s="30" t="str">
        <x:v>A036</x:v>
      </x:c>
      <x:c r="D468" s="30" t="str">
        <x:v>当前承担Agent/其本地工具；跨节点操作需实际接收方执行</x:v>
      </x:c>
      <x:c r="E468" s="30" t="str">
        <x:v>依前序真实结果执行</x:v>
      </x:c>
      <x:c r="F468" s="30" t="str">
        <x:v>等待操作反馈后再由Agent决定是否继续</x:v>
      </x:c>
    </x:row>
    <x:row r="469" ht="65" customHeight="1">
      <x:c r="A469" s="30" t="str">
        <x:v>Q104</x:v>
      </x:c>
      <x:c r="B469" s="30" t="n">
        <x:v>5</x:v>
      </x:c>
      <x:c r="C469" s="30" t="str">
        <x:v>A065</x:v>
      </x:c>
      <x:c r="D469" s="30" t="str">
        <x:v>当前承担Agent/其本地工具；跨节点操作需实际接收方执行</x:v>
      </x:c>
      <x:c r="E469" s="30" t="str">
        <x:v>依前序真实结果执行</x:v>
      </x:c>
      <x:c r="F469" s="30" t="str">
        <x:v>有效期内送达或记录过期丢弃</x:v>
      </x:c>
    </x:row>
    <x:row r="470" ht="65" customHeight="1">
      <x:c r="A470" s="30" t="str">
        <x:v>Q105</x:v>
      </x:c>
      <x:c r="B470" s="30" t="n">
        <x:v>1</x:v>
      </x:c>
      <x:c r="C470" s="30" t="str">
        <x:v>A051</x:v>
      </x:c>
      <x:c r="D470" s="30" t="str">
        <x:v>当前承担Agent/其本地工具；跨节点操作需实际接收方执行</x:v>
      </x:c>
      <x:c r="E470" s="30" t="str">
        <x:v>依前序真实结果执行</x:v>
      </x:c>
      <x:c r="F470" s="30" t="str">
        <x:v>等待操作反馈后再由Agent决定是否继续</x:v>
      </x:c>
    </x:row>
    <x:row r="471" ht="65" customHeight="1">
      <x:c r="A471" s="30" t="str">
        <x:v>Q105</x:v>
      </x:c>
      <x:c r="B471" s="30" t="n">
        <x:v>2</x:v>
      </x:c>
      <x:c r="C471" s="30" t="str">
        <x:v>A052</x:v>
      </x:c>
      <x:c r="D471" s="30" t="str">
        <x:v>当前承担Agent/其本地工具；跨节点操作需实际接收方执行</x:v>
      </x:c>
      <x:c r="E471" s="30" t="str">
        <x:v>依前序真实结果执行</x:v>
      </x:c>
      <x:c r="F471" s="30" t="str">
        <x:v>等待操作反馈后再由Agent决定是否继续</x:v>
      </x:c>
    </x:row>
    <x:row r="472" ht="65" customHeight="1">
      <x:c r="A472" s="30" t="str">
        <x:v>Q105</x:v>
      </x:c>
      <x:c r="B472" s="30" t="n">
        <x:v>3</x:v>
      </x:c>
      <x:c r="C472" s="30" t="str">
        <x:v>A036</x:v>
      </x:c>
      <x:c r="D472" s="30" t="str">
        <x:v>当前承担Agent/其本地工具；跨节点操作需实际接收方执行</x:v>
      </x:c>
      <x:c r="E472" s="30" t="str">
        <x:v>依前序真实结果执行</x:v>
      </x:c>
      <x:c r="F472" s="30" t="str">
        <x:v>等待操作反馈后再由Agent决定是否继续</x:v>
      </x:c>
    </x:row>
    <x:row r="473" ht="65" customHeight="1">
      <x:c r="A473" s="30" t="str">
        <x:v>Q105</x:v>
      </x:c>
      <x:c r="B473" s="30" t="n">
        <x:v>4</x:v>
      </x:c>
      <x:c r="C473" s="30" t="str">
        <x:v>A065</x:v>
      </x:c>
      <x:c r="D473" s="30" t="str">
        <x:v>当前承担Agent/其本地工具；跨节点操作需实际接收方执行</x:v>
      </x:c>
      <x:c r="E473" s="30" t="str">
        <x:v>依前序真实结果执行</x:v>
      </x:c>
      <x:c r="F473" s="30" t="str">
        <x:v>等待操作反馈后再由Agent决定是否继续</x:v>
      </x:c>
    </x:row>
    <x:row r="474" ht="65" customHeight="1">
      <x:c r="A474" s="30" t="str">
        <x:v>Q105</x:v>
      </x:c>
      <x:c r="B474" s="30" t="n">
        <x:v>5</x:v>
      </x:c>
      <x:c r="C474" s="30" t="str">
        <x:v>A053</x:v>
      </x:c>
      <x:c r="D474" s="30" t="str">
        <x:v>当前承担Agent/其本地工具；跨节点操作需实际接收方执行</x:v>
      </x:c>
      <x:c r="E474" s="30" t="str">
        <x:v>依前序真实结果执行</x:v>
      </x:c>
      <x:c r="F474" s="30" t="str">
        <x:v>等待操作反馈后再由Agent决定是否继续</x:v>
      </x:c>
    </x:row>
    <x:row r="475" ht="65" customHeight="1">
      <x:c r="A475" s="30" t="str">
        <x:v>Q105</x:v>
      </x:c>
      <x:c r="B475" s="30" t="n">
        <x:v>6</x:v>
      </x:c>
      <x:c r="C475" s="30" t="str">
        <x:v>A001</x:v>
      </x:c>
      <x:c r="D475" s="30" t="str">
        <x:v>当前承担Agent/其本地工具；跨节点操作需实际接收方执行</x:v>
      </x:c>
      <x:c r="E475" s="30" t="str">
        <x:v>依前序真实结果执行</x:v>
      </x:c>
      <x:c r="F475" s="30" t="str">
        <x:v>等待操作反馈后再由Agent决定是否继续</x:v>
      </x:c>
    </x:row>
    <x:row r="476" ht="65" customHeight="1">
      <x:c r="A476" s="30" t="str">
        <x:v>Q105</x:v>
      </x:c>
      <x:c r="B476" s="30" t="n">
        <x:v>7</x:v>
      </x:c>
      <x:c r="C476" s="30" t="str">
        <x:v>A033</x:v>
      </x:c>
      <x:c r="D476" s="30" t="str">
        <x:v>当前承担Agent/其本地工具；跨节点操作需实际接收方执行</x:v>
      </x:c>
      <x:c r="E476" s="30" t="str">
        <x:v>依前序真实结果执行</x:v>
      </x:c>
      <x:c r="F476" s="30" t="str">
        <x:v>等待操作反馈后再由Agent决定是否继续</x:v>
      </x:c>
    </x:row>
    <x:row r="477" ht="65" customHeight="1">
      <x:c r="A477" s="30" t="str">
        <x:v>Q105</x:v>
      </x:c>
      <x:c r="B477" s="30" t="n">
        <x:v>8</x:v>
      </x:c>
      <x:c r="C477" s="30" t="str">
        <x:v>A035</x:v>
      </x:c>
      <x:c r="D477" s="30" t="str">
        <x:v>当前承担Agent/其本地工具；跨节点操作需实际接收方执行</x:v>
      </x:c>
      <x:c r="E477" s="30" t="str">
        <x:v>依前序真实结果执行</x:v>
      </x:c>
      <x:c r="F477" s="30" t="str">
        <x:v>等待操作反馈后再由Agent决定是否继续</x:v>
      </x:c>
    </x:row>
    <x:row r="478" ht="65" customHeight="1">
      <x:c r="A478" s="30" t="str">
        <x:v>Q105</x:v>
      </x:c>
      <x:c r="B478" s="30" t="n">
        <x:v>9</x:v>
      </x:c>
      <x:c r="C478" s="30" t="str">
        <x:v>A037</x:v>
      </x:c>
      <x:c r="D478" s="30" t="str">
        <x:v>当前承担Agent/其本地工具；跨节点操作需实际接收方执行</x:v>
      </x:c>
      <x:c r="E478" s="30" t="str">
        <x:v>依前序真实结果执行</x:v>
      </x:c>
      <x:c r="F478" s="30" t="str">
        <x:v>等待操作反馈后再由Agent决定是否继续</x:v>
      </x:c>
    </x:row>
    <x:row r="479" ht="65" customHeight="1">
      <x:c r="A479" s="30" t="str">
        <x:v>Q105</x:v>
      </x:c>
      <x:c r="B479" s="30" t="n">
        <x:v>10</x:v>
      </x:c>
      <x:c r="C479" s="30" t="str">
        <x:v>A055</x:v>
      </x:c>
      <x:c r="D479" s="30" t="str">
        <x:v>当前承担Agent/其本地工具；跨节点操作需实际接收方执行</x:v>
      </x:c>
      <x:c r="E479" s="30" t="str">
        <x:v>依前序真实结果执行</x:v>
      </x:c>
      <x:c r="F479" s="30" t="str">
        <x:v>新链实际可用后释放旧中继</x:v>
      </x:c>
    </x:row>
    <x:row r="480" ht="65" customHeight="1">
      <x:c r="A480" s="30" t="str">
        <x:v>Q106</x:v>
      </x:c>
      <x:c r="B480" s="30" t="n">
        <x:v>1</x:v>
      </x:c>
      <x:c r="C480" s="30" t="str">
        <x:v>A044</x:v>
      </x:c>
      <x:c r="D480" s="30" t="str">
        <x:v>当前承担Agent/其本地工具；跨节点操作需实际接收方执行</x:v>
      </x:c>
      <x:c r="E480" s="30" t="str">
        <x:v>依前序真实结果执行</x:v>
      </x:c>
      <x:c r="F480" s="30" t="str">
        <x:v>等待操作反馈后再由Agent决定是否继续</x:v>
      </x:c>
    </x:row>
    <x:row r="481" ht="65" customHeight="1">
      <x:c r="A481" s="30" t="str">
        <x:v>Q106</x:v>
      </x:c>
      <x:c r="B481" s="30" t="n">
        <x:v>2</x:v>
      </x:c>
      <x:c r="C481" s="30" t="str">
        <x:v>A041</x:v>
      </x:c>
      <x:c r="D481" s="30" t="str">
        <x:v>当前承担Agent/其本地工具；跨节点操作需实际接收方执行</x:v>
      </x:c>
      <x:c r="E481" s="30" t="str">
        <x:v>依前序真实结果执行</x:v>
      </x:c>
      <x:c r="F481" s="30" t="str">
        <x:v>等待操作反馈后再由Agent决定是否继续</x:v>
      </x:c>
    </x:row>
    <x:row r="482" ht="65" customHeight="1">
      <x:c r="A482" s="30" t="str">
        <x:v>Q106</x:v>
      </x:c>
      <x:c r="B482" s="30" t="n">
        <x:v>3</x:v>
      </x:c>
      <x:c r="C482" s="30" t="str">
        <x:v>A042</x:v>
      </x:c>
      <x:c r="D482" s="30" t="str">
        <x:v>当前承担Agent/其本地工具；跨节点操作需实际接收方执行</x:v>
      </x:c>
      <x:c r="E482" s="30" t="str">
        <x:v>依前序真实结果执行</x:v>
      </x:c>
      <x:c r="F482" s="30" t="str">
        <x:v>等待操作反馈后再由Agent决定是否继续</x:v>
      </x:c>
    </x:row>
    <x:row r="483" ht="65" customHeight="1">
      <x:c r="A483" s="30" t="str">
        <x:v>Q106</x:v>
      </x:c>
      <x:c r="B483" s="30" t="n">
        <x:v>4</x:v>
      </x:c>
      <x:c r="C483" s="30" t="str">
        <x:v>A043</x:v>
      </x:c>
      <x:c r="D483" s="30" t="str">
        <x:v>当前承担Agent/其本地工具；跨节点操作需实际接收方执行</x:v>
      </x:c>
      <x:c r="E483" s="30" t="str">
        <x:v>依前序真实结果执行</x:v>
      </x:c>
      <x:c r="F483" s="30" t="str">
        <x:v>等待操作反馈后再由Agent决定是否继续</x:v>
      </x:c>
    </x:row>
    <x:row r="484" ht="65" customHeight="1">
      <x:c r="A484" s="30" t="str">
        <x:v>Q106</x:v>
      </x:c>
      <x:c r="B484" s="30" t="n">
        <x:v>5</x:v>
      </x:c>
      <x:c r="C484" s="30" t="str">
        <x:v>A036</x:v>
      </x:c>
      <x:c r="D484" s="30" t="str">
        <x:v>当前承担Agent/其本地工具；跨节点操作需实际接收方执行</x:v>
      </x:c>
      <x:c r="E484" s="30" t="str">
        <x:v>依前序真实结果执行</x:v>
      </x:c>
      <x:c r="F484" s="30" t="str">
        <x:v>等待操作反馈后再由Agent决定是否继续</x:v>
      </x:c>
    </x:row>
    <x:row r="485" ht="65" customHeight="1">
      <x:c r="A485" s="30" t="str">
        <x:v>Q106</x:v>
      </x:c>
      <x:c r="B485" s="30" t="n">
        <x:v>6</x:v>
      </x:c>
      <x:c r="C485" s="30" t="str">
        <x:v>A065</x:v>
      </x:c>
      <x:c r="D485" s="30" t="str">
        <x:v>当前承担Agent/其本地工具；跨节点操作需实际接收方执行</x:v>
      </x:c>
      <x:c r="E485" s="30" t="str">
        <x:v>依前序真实结果执行</x:v>
      </x:c>
      <x:c r="F485" s="30" t="str">
        <x:v>等待操作反馈后再由Agent决定是否继续</x:v>
      </x:c>
    </x:row>
    <x:row r="486" ht="65" customHeight="1">
      <x:c r="A486" s="30" t="str">
        <x:v>Q106</x:v>
      </x:c>
      <x:c r="B486" s="30" t="n">
        <x:v>7</x:v>
      </x:c>
      <x:c r="C486" s="30" t="str">
        <x:v>A044</x:v>
      </x:c>
      <x:c r="D486" s="30" t="str">
        <x:v>当前承担Agent/其本地工具；跨节点操作需实际接收方执行</x:v>
      </x:c>
      <x:c r="E486" s="30" t="str">
        <x:v>依前序真实结果执行</x:v>
      </x:c>
      <x:c r="F486" s="30" t="str">
        <x:v>等待操作反馈后再由Agent决定是否继续</x:v>
      </x:c>
    </x:row>
    <x:row r="487" ht="65" customHeight="1">
      <x:c r="A487" s="30" t="str">
        <x:v>Q106</x:v>
      </x:c>
      <x:c r="B487" s="30" t="n">
        <x:v>8</x:v>
      </x:c>
      <x:c r="C487" s="30" t="str">
        <x:v>A006</x:v>
      </x:c>
      <x:c r="D487" s="30" t="str">
        <x:v>当前承担Agent/其本地工具；跨节点操作需实际接收方执行</x:v>
      </x:c>
      <x:c r="E487" s="30" t="str">
        <x:v>依前序真实结果执行</x:v>
      </x:c>
      <x:c r="F487" s="30" t="str">
        <x:v>等待操作反馈后再由Agent决定是否继续</x:v>
      </x:c>
    </x:row>
    <x:row r="488" ht="65" customHeight="1">
      <x:c r="A488" s="30" t="str">
        <x:v>Q106</x:v>
      </x:c>
      <x:c r="B488" s="30" t="n">
        <x:v>9</x:v>
      </x:c>
      <x:c r="C488" s="30" t="str">
        <x:v>A036</x:v>
      </x:c>
      <x:c r="D488" s="30" t="str">
        <x:v>当前承担Agent/其本地工具；跨节点操作需实际接收方执行</x:v>
      </x:c>
      <x:c r="E488" s="30" t="str">
        <x:v>依前序真实结果执行</x:v>
      </x:c>
      <x:c r="F488" s="30" t="str">
        <x:v>等待操作反馈后再由Agent决定是否继续</x:v>
      </x:c>
    </x:row>
    <x:row r="489" ht="65" customHeight="1">
      <x:c r="A489" s="30" t="str">
        <x:v>Q106</x:v>
      </x:c>
      <x:c r="B489" s="30" t="n">
        <x:v>10</x:v>
      </x:c>
      <x:c r="C489" s="30" t="str">
        <x:v>A065</x:v>
      </x:c>
      <x:c r="D489" s="30" t="str">
        <x:v>当前承担Agent/其本地工具；跨节点操作需实际接收方执行</x:v>
      </x:c>
      <x:c r="E489" s="30" t="str">
        <x:v>依前序真实结果执行</x:v>
      </x:c>
      <x:c r="F489" s="30" t="str">
        <x:v>远程结果真正回传后可用</x:v>
      </x:c>
    </x:row>
    <x:row r="490" ht="65" customHeight="1">
      <x:c r="A490" s="30" t="str">
        <x:v>Q107</x:v>
      </x:c>
      <x:c r="B490" s="30" t="n">
        <x:v>1</x:v>
      </x:c>
      <x:c r="C490" s="30" t="str">
        <x:v>A048</x:v>
      </x:c>
      <x:c r="D490" s="30" t="str">
        <x:v>当前承担Agent/其本地工具；跨节点操作需实际接收方执行</x:v>
      </x:c>
      <x:c r="E490" s="30" t="str">
        <x:v>依前序真实结果执行</x:v>
      </x:c>
      <x:c r="F490" s="30" t="str">
        <x:v>等待操作反馈后再由Agent决定是否继续</x:v>
      </x:c>
    </x:row>
    <x:row r="491" ht="65" customHeight="1">
      <x:c r="A491" s="30" t="str">
        <x:v>Q107</x:v>
      </x:c>
      <x:c r="B491" s="30" t="n">
        <x:v>2</x:v>
      </x:c>
      <x:c r="C491" s="30" t="str">
        <x:v>A042</x:v>
      </x:c>
      <x:c r="D491" s="30" t="str">
        <x:v>当前承担Agent/其本地工具；跨节点操作需实际接收方执行</x:v>
      </x:c>
      <x:c r="E491" s="30" t="str">
        <x:v>依前序真实结果执行</x:v>
      </x:c>
      <x:c r="F491" s="30" t="str">
        <x:v>等待操作反馈后再由Agent决定是否继续</x:v>
      </x:c>
    </x:row>
    <x:row r="492" ht="65" customHeight="1">
      <x:c r="A492" s="30" t="str">
        <x:v>Q107</x:v>
      </x:c>
      <x:c r="B492" s="30" t="n">
        <x:v>3</x:v>
      </x:c>
      <x:c r="C492" s="30" t="str">
        <x:v>A047</x:v>
      </x:c>
      <x:c r="D492" s="30" t="str">
        <x:v>当前承担Agent/其本地工具；跨节点操作需实际接收方执行</x:v>
      </x:c>
      <x:c r="E492" s="30" t="str">
        <x:v>依前序真实结果执行</x:v>
      </x:c>
      <x:c r="F492" s="30" t="str">
        <x:v>等待操作反馈后再由Agent决定是否继续</x:v>
      </x:c>
    </x:row>
    <x:row r="493" ht="65" customHeight="1">
      <x:c r="A493" s="30" t="str">
        <x:v>Q107</x:v>
      </x:c>
      <x:c r="B493" s="30" t="n">
        <x:v>4</x:v>
      </x:c>
      <x:c r="C493" s="30" t="str">
        <x:v>A036</x:v>
      </x:c>
      <x:c r="D493" s="30" t="str">
        <x:v>当前承担Agent/其本地工具；跨节点操作需实际接收方执行</x:v>
      </x:c>
      <x:c r="E493" s="30" t="str">
        <x:v>依前序真实结果执行</x:v>
      </x:c>
      <x:c r="F493" s="30" t="str">
        <x:v>等待操作反馈后再由Agent决定是否继续</x:v>
      </x:c>
    </x:row>
    <x:row r="494" ht="65" customHeight="1">
      <x:c r="A494" s="30" t="str">
        <x:v>Q107</x:v>
      </x:c>
      <x:c r="B494" s="30" t="n">
        <x:v>5</x:v>
      </x:c>
      <x:c r="C494" s="30" t="str">
        <x:v>A065</x:v>
      </x:c>
      <x:c r="D494" s="30" t="str">
        <x:v>当前承担Agent/其本地工具；跨节点操作需实际接收方执行</x:v>
      </x:c>
      <x:c r="E494" s="30" t="str">
        <x:v>依前序真实结果执行</x:v>
      </x:c>
      <x:c r="F494" s="30" t="str">
        <x:v>等待操作反馈后再由Agent决定是否继续</x:v>
      </x:c>
    </x:row>
    <x:row r="495" ht="65" customHeight="1">
      <x:c r="A495" s="30" t="str">
        <x:v>Q107</x:v>
      </x:c>
      <x:c r="B495" s="30" t="n">
        <x:v>6</x:v>
      </x:c>
      <x:c r="C495" s="30" t="str">
        <x:v>A045</x:v>
      </x:c>
      <x:c r="D495" s="30" t="str">
        <x:v>当前承担Agent/其本地工具；跨节点操作需实际接收方执行</x:v>
      </x:c>
      <x:c r="E495" s="30" t="str">
        <x:v>依前序真实结果执行</x:v>
      </x:c>
      <x:c r="F495" s="30" t="str">
        <x:v>等待操作反馈后再由Agent决定是否继续</x:v>
      </x:c>
    </x:row>
    <x:row r="496" ht="65" customHeight="1">
      <x:c r="A496" s="30" t="str">
        <x:v>Q107</x:v>
      </x:c>
      <x:c r="B496" s="30" t="n">
        <x:v>7</x:v>
      </x:c>
      <x:c r="C496" s="30" t="str">
        <x:v>A044</x:v>
      </x:c>
      <x:c r="D496" s="30" t="str">
        <x:v>当前承担Agent/其本地工具；跨节点操作需实际接收方执行</x:v>
      </x:c>
      <x:c r="E496" s="30" t="str">
        <x:v>依前序真实结果执行</x:v>
      </x:c>
      <x:c r="F496" s="30" t="str">
        <x:v>等待操作反馈后再由Agent决定是否继续</x:v>
      </x:c>
    </x:row>
    <x:row r="497" ht="65" customHeight="1">
      <x:c r="A497" s="30" t="str">
        <x:v>Q107</x:v>
      </x:c>
      <x:c r="B497" s="30" t="n">
        <x:v>8</x:v>
      </x:c>
      <x:c r="C497" s="30" t="str">
        <x:v>A006</x:v>
      </x:c>
      <x:c r="D497" s="30" t="str">
        <x:v>当前承担Agent/其本地工具；跨节点操作需实际接收方执行</x:v>
      </x:c>
      <x:c r="E497" s="30" t="str">
        <x:v>依前序真实结果执行</x:v>
      </x:c>
      <x:c r="F497" s="30" t="str">
        <x:v>具备检查点/兼容性时恢复，否则重新计算</x:v>
      </x:c>
    </x:row>
    <x:row r="498" ht="65" customHeight="1">
      <x:c r="A498" s="30" t="str">
        <x:v>Q108</x:v>
      </x:c>
      <x:c r="B498" s="30" t="n">
        <x:v>1</x:v>
      </x:c>
      <x:c r="C498" s="30" t="str">
        <x:v>A065</x:v>
      </x:c>
      <x:c r="D498" s="30" t="str">
        <x:v>当前承担Agent/其本地工具；跨节点操作需实际接收方执行</x:v>
      </x:c>
      <x:c r="E498" s="30" t="str">
        <x:v>依前序真实结果执行</x:v>
      </x:c>
      <x:c r="F498" s="30" t="str">
        <x:v>等待操作反馈后再由Agent决定是否继续</x:v>
      </x:c>
    </x:row>
    <x:row r="499" ht="65" customHeight="1">
      <x:c r="A499" s="30" t="str">
        <x:v>Q108</x:v>
      </x:c>
      <x:c r="B499" s="30" t="n">
        <x:v>2</x:v>
      </x:c>
      <x:c r="C499" s="30" t="str">
        <x:v>A041</x:v>
      </x:c>
      <x:c r="D499" s="30" t="str">
        <x:v>当前承担Agent/其本地工具；跨节点操作需实际接收方执行</x:v>
      </x:c>
      <x:c r="E499" s="30" t="str">
        <x:v>依前序真实结果执行</x:v>
      </x:c>
      <x:c r="F499" s="30" t="str">
        <x:v>等待操作反馈后再由Agent决定是否继续</x:v>
      </x:c>
    </x:row>
    <x:row r="500" ht="65" customHeight="1">
      <x:c r="A500" s="30" t="str">
        <x:v>Q108</x:v>
      </x:c>
      <x:c r="B500" s="30" t="n">
        <x:v>3</x:v>
      </x:c>
      <x:c r="C500" s="30" t="str">
        <x:v>A048</x:v>
      </x:c>
      <x:c r="D500" s="30" t="str">
        <x:v>当前承担Agent/其本地工具；跨节点操作需实际接收方执行</x:v>
      </x:c>
      <x:c r="E500" s="30" t="str">
        <x:v>依前序真实结果执行</x:v>
      </x:c>
      <x:c r="F500" s="30" t="str">
        <x:v>等待操作反馈后再由Agent决定是否继续</x:v>
      </x:c>
    </x:row>
    <x:row r="501" ht="65" customHeight="1">
      <x:c r="A501" s="30" t="str">
        <x:v>Q108</x:v>
      </x:c>
      <x:c r="B501" s="30" t="n">
        <x:v>4</x:v>
      </x:c>
      <x:c r="C501" s="30" t="str">
        <x:v>A049</x:v>
      </x:c>
      <x:c r="D501" s="30" t="str">
        <x:v>当前承担Agent/其本地工具；跨节点操作需实际接收方执行</x:v>
      </x:c>
      <x:c r="E501" s="30" t="str">
        <x:v>依前序真实结果执行</x:v>
      </x:c>
      <x:c r="F501" s="30" t="str">
        <x:v>等待操作反馈后再由Agent决定是否继续</x:v>
      </x:c>
    </x:row>
    <x:row r="502" ht="65" customHeight="1">
      <x:c r="A502" s="30" t="str">
        <x:v>Q108</x:v>
      </x:c>
      <x:c r="B502" s="30" t="n">
        <x:v>5</x:v>
      </x:c>
      <x:c r="C502" s="30" t="str">
        <x:v>A043</x:v>
      </x:c>
      <x:c r="D502" s="30" t="str">
        <x:v>当前承担Agent/其本地工具；跨节点操作需实际接收方执行</x:v>
      </x:c>
      <x:c r="E502" s="30" t="str">
        <x:v>依前序真实结果执行</x:v>
      </x:c>
      <x:c r="F502" s="30" t="str">
        <x:v>旧结果不作为新任务完成证据</x:v>
      </x:c>
    </x:row>
    <x:row r="503" ht="65" customHeight="1">
      <x:c r="A503" s="30" t="str">
        <x:v>Q109</x:v>
      </x:c>
      <x:c r="B503" s="30" t="n">
        <x:v>1</x:v>
      </x:c>
      <x:c r="C503" s="30" t="str">
        <x:v>A052</x:v>
      </x:c>
      <x:c r="D503" s="30" t="str">
        <x:v>当前承担Agent/其本地工具；跨节点操作需实际接收方执行</x:v>
      </x:c>
      <x:c r="E503" s="30" t="str">
        <x:v>依前序真实结果执行</x:v>
      </x:c>
      <x:c r="F503" s="30" t="str">
        <x:v>等待操作反馈后再由Agent决定是否继续</x:v>
      </x:c>
    </x:row>
    <x:row r="504" ht="65" customHeight="1">
      <x:c r="A504" s="30" t="str">
        <x:v>Q109</x:v>
      </x:c>
      <x:c r="B504" s="30" t="n">
        <x:v>2</x:v>
      </x:c>
      <x:c r="C504" s="30" t="str">
        <x:v>A036</x:v>
      </x:c>
      <x:c r="D504" s="30" t="str">
        <x:v>当前承担Agent/其本地工具；跨节点操作需实际接收方执行</x:v>
      </x:c>
      <x:c r="E504" s="30" t="str">
        <x:v>依前序真实结果执行</x:v>
      </x:c>
      <x:c r="F504" s="30" t="str">
        <x:v>等待操作反馈后再由Agent决定是否继续</x:v>
      </x:c>
    </x:row>
    <x:row r="505" ht="65" customHeight="1">
      <x:c r="A505" s="30" t="str">
        <x:v>Q109</x:v>
      </x:c>
      <x:c r="B505" s="30" t="n">
        <x:v>3</x:v>
      </x:c>
      <x:c r="C505" s="30" t="str">
        <x:v>A037</x:v>
      </x:c>
      <x:c r="D505" s="30" t="str">
        <x:v>当前承担Agent/其本地工具；跨节点操作需实际接收方执行</x:v>
      </x:c>
      <x:c r="E505" s="30" t="str">
        <x:v>依前序真实结果执行</x:v>
      </x:c>
      <x:c r="F505" s="30" t="str">
        <x:v>等待操作反馈后再由Agent决定是否继续</x:v>
      </x:c>
    </x:row>
    <x:row r="506" ht="65" customHeight="1">
      <x:c r="A506" s="30" t="str">
        <x:v>Q109</x:v>
      </x:c>
      <x:c r="B506" s="30" t="n">
        <x:v>4</x:v>
      </x:c>
      <x:c r="C506" s="30" t="str">
        <x:v>A036</x:v>
      </x:c>
      <x:c r="D506" s="30" t="str">
        <x:v>当前承担Agent/其本地工具；跨节点操作需实际接收方执行</x:v>
      </x:c>
      <x:c r="E506" s="30" t="str">
        <x:v>依前序真实结果执行</x:v>
      </x:c>
      <x:c r="F506" s="30" t="str">
        <x:v>等待操作反馈后再由Agent决定是否继续</x:v>
      </x:c>
    </x:row>
    <x:row r="507" ht="65" customHeight="1">
      <x:c r="A507" s="30" t="str">
        <x:v>Q109</x:v>
      </x:c>
      <x:c r="B507" s="30" t="n">
        <x:v>5</x:v>
      </x:c>
      <x:c r="C507" s="30" t="str">
        <x:v>A065</x:v>
      </x:c>
      <x:c r="D507" s="30" t="str">
        <x:v>当前承担Agent/其本地工具；跨节点操作需实际接收方执行</x:v>
      </x:c>
      <x:c r="E507" s="30" t="str">
        <x:v>依前序真实结果执行</x:v>
      </x:c>
      <x:c r="F507" s="30" t="str">
        <x:v>等待操作反馈后再由Agent决定是否继续</x:v>
      </x:c>
    </x:row>
    <x:row r="508" ht="65" customHeight="1">
      <x:c r="A508" s="30" t="str">
        <x:v>Q109</x:v>
      </x:c>
      <x:c r="B508" s="30" t="n">
        <x:v>6</x:v>
      </x:c>
      <x:c r="C508" s="30" t="str">
        <x:v>A053</x:v>
      </x:c>
      <x:c r="D508" s="30" t="str">
        <x:v>当前承担Agent/其本地工具；跨节点操作需实际接收方执行</x:v>
      </x:c>
      <x:c r="E508" s="30" t="str">
        <x:v>依前序真实结果执行</x:v>
      </x:c>
      <x:c r="F508" s="30" t="str">
        <x:v>收件并接受后才有执行承诺</x:v>
      </x:c>
    </x:row>
    <x:row r="509" ht="65" customHeight="1">
      <x:c r="A509" s="30" t="str">
        <x:v>Q110</x:v>
      </x:c>
      <x:c r="B509" s="30" t="n">
        <x:v>1</x:v>
      </x:c>
      <x:c r="C509" s="30" t="str">
        <x:v>A008</x:v>
      </x:c>
      <x:c r="D509" s="30" t="str">
        <x:v>当前承担Agent/其本地工具；跨节点操作需实际接收方执行</x:v>
      </x:c>
      <x:c r="E509" s="30" t="str">
        <x:v>依前序真实结果执行</x:v>
      </x:c>
      <x:c r="F509" s="30" t="str">
        <x:v>等待操作反馈后再由Agent决定是否继续</x:v>
      </x:c>
    </x:row>
    <x:row r="510" ht="65" customHeight="1">
      <x:c r="A510" s="30" t="str">
        <x:v>Q110</x:v>
      </x:c>
      <x:c r="B510" s="30" t="n">
        <x:v>2</x:v>
      </x:c>
      <x:c r="C510" s="30" t="str">
        <x:v>A041</x:v>
      </x:c>
      <x:c r="D510" s="30" t="str">
        <x:v>当前承担Agent/其本地工具；跨节点操作需实际接收方执行</x:v>
      </x:c>
      <x:c r="E510" s="30" t="str">
        <x:v>依前序真实结果执行</x:v>
      </x:c>
      <x:c r="F510" s="30" t="str">
        <x:v>等待操作反馈后再由Agent决定是否继续</x:v>
      </x:c>
    </x:row>
    <x:row r="511" ht="65" customHeight="1">
      <x:c r="A511" s="30" t="str">
        <x:v>Q110</x:v>
      </x:c>
      <x:c r="B511" s="30" t="n">
        <x:v>3</x:v>
      </x:c>
      <x:c r="C511" s="30" t="str">
        <x:v>A010</x:v>
      </x:c>
      <x:c r="D511" s="30" t="str">
        <x:v>当前承担Agent/其本地工具；跨节点操作需实际接收方执行</x:v>
      </x:c>
      <x:c r="E511" s="30" t="str">
        <x:v>依前序真实结果执行</x:v>
      </x:c>
      <x:c r="F511" s="30" t="str">
        <x:v>等待操作反馈后再由Agent决定是否继续</x:v>
      </x:c>
    </x:row>
    <x:row r="512" ht="65" customHeight="1">
      <x:c r="A512" s="30" t="str">
        <x:v>Q110</x:v>
      </x:c>
      <x:c r="B512" s="30" t="n">
        <x:v>4</x:v>
      </x:c>
      <x:c r="C512" s="30" t="str">
        <x:v>A036</x:v>
      </x:c>
      <x:c r="D512" s="30" t="str">
        <x:v>当前承担Agent/其本地工具；跨节点操作需实际接收方执行</x:v>
      </x:c>
      <x:c r="E512" s="30" t="str">
        <x:v>依前序真实结果执行</x:v>
      </x:c>
      <x:c r="F512" s="30" t="str">
        <x:v>等待操作反馈后再由Agent决定是否继续</x:v>
      </x:c>
    </x:row>
    <x:row r="513" ht="65" customHeight="1">
      <x:c r="A513" s="30" t="str">
        <x:v>Q110</x:v>
      </x:c>
      <x:c r="B513" s="30" t="n">
        <x:v>5</x:v>
      </x:c>
      <x:c r="C513" s="30" t="str">
        <x:v>A065</x:v>
      </x:c>
      <x:c r="D513" s="30" t="str">
        <x:v>当前承担Agent/其本地工具；跨节点操作需实际接收方执行</x:v>
      </x:c>
      <x:c r="E513" s="30" t="str">
        <x:v>依前序真实结果执行</x:v>
      </x:c>
      <x:c r="F513" s="30" t="str">
        <x:v>记录未发现/不确定/覆盖范围，供Agent再决定</x:v>
      </x:c>
    </x:row>
    <x:row r="514" ht="65" customHeight="1">
      <x:c r="A514" s="30" t="str">
        <x:v>Q111</x:v>
      </x:c>
      <x:c r="B514" s="30" t="n">
        <x:v>1</x:v>
      </x:c>
      <x:c r="C514" s="30" t="str">
        <x:v>A025</x:v>
      </x:c>
      <x:c r="D514" s="30" t="str">
        <x:v>当前承担Agent/其本地工具；跨节点操作需实际接收方执行</x:v>
      </x:c>
      <x:c r="E514" s="30" t="str">
        <x:v>依前序真实结果执行</x:v>
      </x:c>
      <x:c r="F514" s="30" t="str">
        <x:v>等待操作反馈后再由Agent决定是否继续</x:v>
      </x:c>
    </x:row>
    <x:row r="515" ht="65" customHeight="1">
      <x:c r="A515" s="30" t="str">
        <x:v>Q111</x:v>
      </x:c>
      <x:c r="B515" s="30" t="n">
        <x:v>2</x:v>
      </x:c>
      <x:c r="C515" s="30" t="str">
        <x:v>A005</x:v>
      </x:c>
      <x:c r="D515" s="30" t="str">
        <x:v>当前承担Agent/其本地工具；跨节点操作需实际接收方执行</x:v>
      </x:c>
      <x:c r="E515" s="30" t="str">
        <x:v>依前序真实结果执行</x:v>
      </x:c>
      <x:c r="F515" s="30" t="str">
        <x:v>等待操作反馈后再由Agent决定是否继续</x:v>
      </x:c>
    </x:row>
    <x:row r="516" ht="65" customHeight="1">
      <x:c r="A516" s="30" t="str">
        <x:v>Q111</x:v>
      </x:c>
      <x:c r="B516" s="30" t="n">
        <x:v>3</x:v>
      </x:c>
      <x:c r="C516" s="30" t="str">
        <x:v>A041</x:v>
      </x:c>
      <x:c r="D516" s="30" t="str">
        <x:v>当前承担Agent/其本地工具；跨节点操作需实际接收方执行</x:v>
      </x:c>
      <x:c r="E516" s="30" t="str">
        <x:v>依前序真实结果执行</x:v>
      </x:c>
      <x:c r="F516" s="30" t="str">
        <x:v>等待操作反馈后再由Agent决定是否继续</x:v>
      </x:c>
    </x:row>
    <x:row r="517" ht="65" customHeight="1">
      <x:c r="A517" s="30" t="str">
        <x:v>Q111</x:v>
      </x:c>
      <x:c r="B517" s="30" t="n">
        <x:v>4</x:v>
      </x:c>
      <x:c r="C517" s="30" t="str">
        <x:v>A061</x:v>
      </x:c>
      <x:c r="D517" s="30" t="str">
        <x:v>当前承担Agent/其本地工具；跨节点操作需实际接收方执行</x:v>
      </x:c>
      <x:c r="E517" s="30" t="str">
        <x:v>依前序真实结果执行</x:v>
      </x:c>
      <x:c r="F517" s="30" t="str">
        <x:v>等待操作反馈后再由Agent决定是否继续</x:v>
      </x:c>
    </x:row>
    <x:row r="518" ht="65" customHeight="1">
      <x:c r="A518" s="30" t="str">
        <x:v>Q111</x:v>
      </x:c>
      <x:c r="B518" s="30" t="n">
        <x:v>5</x:v>
      </x:c>
      <x:c r="C518" s="30" t="str">
        <x:v>A055</x:v>
      </x:c>
      <x:c r="D518" s="30" t="str">
        <x:v>当前承担Agent/其本地工具；跨节点操作需实际接收方执行</x:v>
      </x:c>
      <x:c r="E518" s="30" t="str">
        <x:v>依前序真实结果执行</x:v>
      </x:c>
      <x:c r="F518" s="30" t="str">
        <x:v>等待操作反馈后再由Agent决定是否继续</x:v>
      </x:c>
    </x:row>
    <x:row r="519" ht="65" customHeight="1">
      <x:c r="A519" s="30" t="str">
        <x:v>Q111</x:v>
      </x:c>
      <x:c r="B519" s="30" t="n">
        <x:v>6</x:v>
      </x:c>
      <x:c r="C519" s="30" t="str">
        <x:v>A001 OR A002</x:v>
      </x:c>
      <x:c r="D519" s="30" t="str">
        <x:v>当前承担Agent/其本地工具；跨节点操作需实际接收方执行</x:v>
      </x:c>
      <x:c r="E519" s="30" t="str">
        <x:v>按条件选择其中一项；不是全部执行</x:v>
      </x:c>
      <x:c r="F519" s="30" t="str">
        <x:v>等待操作反馈后再由Agent决定是否继续</x:v>
      </x:c>
    </x:row>
    <x:row r="520" ht="65" customHeight="1">
      <x:c r="A520" s="30" t="str">
        <x:v>Q111</x:v>
      </x:c>
      <x:c r="B520" s="30" t="n">
        <x:v>7</x:v>
      </x:c>
      <x:c r="C520" s="30" t="str">
        <x:v>A054</x:v>
      </x:c>
      <x:c r="D520" s="30" t="str">
        <x:v>当前承担Agent/其本地工具；跨节点操作需实际接收方执行</x:v>
      </x:c>
      <x:c r="E520" s="30" t="str">
        <x:v>依前序真实结果执行</x:v>
      </x:c>
      <x:c r="F520" s="30" t="str">
        <x:v>交付失败/部分完成并保留真实物资位置</x:v>
      </x:c>
    </x:row>
    <x:row r="521" ht="65" customHeight="1">
      <x:c r="A521" s="30" t="str">
        <x:v>Q112</x:v>
      </x:c>
      <x:c r="B521" s="30" t="n">
        <x:v>1</x:v>
      </x:c>
      <x:c r="C521" s="30" t="str">
        <x:v>A065</x:v>
      </x:c>
      <x:c r="D521" s="30" t="str">
        <x:v>当前承担Agent/其本地工具；跨节点操作需实际接收方执行</x:v>
      </x:c>
      <x:c r="E521" s="30" t="str">
        <x:v>依前序真实结果执行</x:v>
      </x:c>
      <x:c r="F521" s="30" t="str">
        <x:v>等待操作反馈后再由Agent决定是否继续</x:v>
      </x:c>
    </x:row>
    <x:row r="522" ht="65" customHeight="1">
      <x:c r="A522" s="30" t="str">
        <x:v>Q112</x:v>
      </x:c>
      <x:c r="B522" s="30" t="n">
        <x:v>2</x:v>
      </x:c>
      <x:c r="C522" s="30" t="str">
        <x:v>A038</x:v>
      </x:c>
      <x:c r="D522" s="30" t="str">
        <x:v>当前承担Agent/其本地工具；跨节点操作需实际接收方执行</x:v>
      </x:c>
      <x:c r="E522" s="30" t="str">
        <x:v>依前序真实结果执行</x:v>
      </x:c>
      <x:c r="F522" s="30" t="str">
        <x:v>等待操作反馈后再由Agent决定是否继续</x:v>
      </x:c>
    </x:row>
    <x:row r="523" ht="65" customHeight="1">
      <x:c r="A523" s="30" t="str">
        <x:v>Q112</x:v>
      </x:c>
      <x:c r="B523" s="30" t="n">
        <x:v>3</x:v>
      </x:c>
      <x:c r="C523" s="30" t="str">
        <x:v>A040</x:v>
      </x:c>
      <x:c r="D523" s="30" t="str">
        <x:v>当前承担Agent/其本地工具；跨节点操作需实际接收方执行</x:v>
      </x:c>
      <x:c r="E523" s="30" t="str">
        <x:v>依前序真实结果执行</x:v>
      </x:c>
      <x:c r="F523" s="30" t="str">
        <x:v>等待操作反馈后再由Agent决定是否继续</x:v>
      </x:c>
    </x:row>
    <x:row r="524" ht="65" customHeight="1">
      <x:c r="A524" s="30" t="str">
        <x:v>Q112</x:v>
      </x:c>
      <x:c r="B524" s="30" t="n">
        <x:v>4</x:v>
      </x:c>
      <x:c r="C524" s="30" t="str">
        <x:v>A041</x:v>
      </x:c>
      <x:c r="D524" s="30" t="str">
        <x:v>当前承担Agent/其本地工具；跨节点操作需实际接收方执行</x:v>
      </x:c>
      <x:c r="E524" s="30" t="str">
        <x:v>依前序真实结果执行</x:v>
      </x:c>
      <x:c r="F524" s="30" t="str">
        <x:v>等待操作反馈后再由Agent决定是否继续</x:v>
      </x:c>
    </x:row>
    <x:row r="525" ht="65" customHeight="1">
      <x:c r="A525" s="30" t="str">
        <x:v>Q112</x:v>
      </x:c>
      <x:c r="B525" s="30" t="n">
        <x:v>5</x:v>
      </x:c>
      <x:c r="C525" s="30" t="str">
        <x:v>A050</x:v>
      </x:c>
      <x:c r="D525" s="30" t="str">
        <x:v>当前承担Agent/其本地工具；跨节点操作需实际接收方执行</x:v>
      </x:c>
      <x:c r="E525" s="30" t="str">
        <x:v>依前序真实结果执行</x:v>
      </x:c>
      <x:c r="F525" s="30" t="str">
        <x:v>等待操作反馈后再由Agent决定是否继续</x:v>
      </x:c>
    </x:row>
    <x:row r="526" ht="65" customHeight="1">
      <x:c r="A526" s="30" t="str">
        <x:v>Q112</x:v>
      </x:c>
      <x:c r="B526" s="30" t="n">
        <x:v>6</x:v>
      </x:c>
      <x:c r="C526" s="30" t="str">
        <x:v>A052</x:v>
      </x:c>
      <x:c r="D526" s="30" t="str">
        <x:v>当前承担Agent/其本地工具；跨节点操作需实际接收方执行</x:v>
      </x:c>
      <x:c r="E526" s="30" t="str">
        <x:v>依前序真实结果执行</x:v>
      </x:c>
      <x:c r="F526" s="30" t="str">
        <x:v>等待操作反馈后再由Agent决定是否继续</x:v>
      </x:c>
    </x:row>
    <x:row r="527" ht="65" customHeight="1">
      <x:c r="A527" s="30" t="str">
        <x:v>Q112</x:v>
      </x:c>
      <x:c r="B527" s="30" t="n">
        <x:v>7</x:v>
      </x:c>
      <x:c r="C527" s="30" t="str">
        <x:v>A036</x:v>
      </x:c>
      <x:c r="D527" s="30" t="str">
        <x:v>当前承担Agent/其本地工具；跨节点操作需实际接收方执行</x:v>
      </x:c>
      <x:c r="E527" s="30" t="str">
        <x:v>依前序真实结果执行</x:v>
      </x:c>
      <x:c r="F527" s="30" t="str">
        <x:v>保留冲突、更新版本并按需复核</x:v>
      </x:c>
    </x:row>
  </x:sheetData>
  <x:mergeCells>
    <x:mergeCell ref="A1:F1"/>
    <x:mergeCell ref="A2:F2"/>
  </x:mergeCells>
  <x:pageMargins left="0.7" right="0.7" top="0.75" bottom="0.75" header="0.3" footer="0.3"/>
  <x:tableParts count="1">
    <x:tablePart xmlns:r="http://schemas.openxmlformats.org/officeDocument/2006/relationships" r:id="R469cdfcc905a4144"/>
  </x:tableParts>
</x:worksheet>
</file>

<file path=xl/worksheets/sheet9.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26" hidden="0" customWidth="1"/>
    <x:col min="3" max="3" width="24" hidden="0" customWidth="1"/>
    <x:col min="4" max="4" width="36" hidden="0" customWidth="1"/>
    <x:col min="5" max="5" width="52" hidden="0" customWidth="1"/>
    <x:col min="6" max="6" width="58" hidden="0" customWidth="1"/>
    <x:col min="7" max="7" width="58" hidden="0" customWidth="1"/>
    <x:col min="8" max="8" width="35" hidden="0" customWidth="1"/>
    <x:col min="9" max="9" width="44" hidden="0" customWidth="1"/>
    <x:col min="10" max="10" width="20" hidden="0" customWidth="1"/>
    <x:col min="11" max="11" width="55" hidden="0" customWidth="1"/>
  </x:cols>
  <x:sheetData>
    <x:row r="1" ht="33" customHeight="1">
      <x:c r="A1" s="8" t="str">
        <x:v>66个原子操作/工具接口</x:v>
      </x:c>
      <x:c r="B1" s="8"/>
      <x:c r="C1" s="8"/>
      <x:c r="D1" s="8"/>
      <x:c r="E1" s="8"/>
      <x:c r="F1" s="8"/>
      <x:c r="G1" s="8"/>
      <x:c r="H1" s="8"/>
      <x:c r="I1" s="8"/>
      <x:c r="J1" s="8"/>
      <x:c r="K1" s="8"/>
    </x:row>
    <x:row r="2" ht="34" customHeight="1">
      <x:c r="A2" s="15" t="str">
        <x:v>原子性以本项目抽象粒度为准；SearchInterior是持续时间宏动作，不模拟步态；本表是接口设计，未声称已有全部实现</x:v>
      </x:c>
      <x:c r="B2" s="15"/>
      <x:c r="C2" s="15"/>
      <x:c r="D2" s="15"/>
      <x:c r="E2" s="15"/>
      <x:c r="F2" s="15"/>
      <x:c r="G2" s="15"/>
      <x:c r="H2" s="15"/>
      <x:c r="I2" s="15"/>
      <x:c r="J2" s="15"/>
      <x:c r="K2" s="15"/>
    </x:row>
    <x:row r="3">
      <x:c r="A3" s="4"/>
      <x:c r="B3" s="4"/>
      <x:c r="C3" s="4"/>
      <x:c r="D3" s="4"/>
      <x:c r="E3" s="4"/>
      <x:c r="F3" s="4"/>
      <x:c r="G3" s="4"/>
      <x:c r="H3" s="4"/>
      <x:c r="I3" s="4"/>
      <x:c r="J3" s="4"/>
      <x:c r="K3" s="4"/>
    </x:row>
    <x:row r="4" ht="29" customHeight="1">
      <x:c r="A4" s="23" t="str">
        <x:v>操作ID</x:v>
      </x:c>
      <x:c r="B4" s="23" t="str">
        <x:v>操作名称</x:v>
      </x:c>
      <x:c r="C4" s="23" t="str">
        <x:v>层级</x:v>
      </x:c>
      <x:c r="D4" s="23" t="str">
        <x:v>参数</x:v>
      </x:c>
      <x:c r="E4" s="23" t="str">
        <x:v>能力逻辑</x:v>
      </x:c>
      <x:c r="F4" s="23" t="str">
        <x:v>准入条件</x:v>
      </x:c>
      <x:c r="G4" s="23" t="str">
        <x:v>关键直接效果</x:v>
      </x:c>
      <x:c r="H4" s="23" t="str">
        <x:v>字段读取范围</x:v>
      </x:c>
      <x:c r="I4" s="23" t="str">
        <x:v>关键写入字段</x:v>
      </x:c>
      <x:c r="J4" s="23" t="str">
        <x:v>来源ID</x:v>
      </x:c>
      <x:c r="K4" s="23" t="str">
        <x:v>来源URL</x:v>
      </x:c>
    </x:row>
    <x:row r="5" ht="130" customHeight="1">
      <x:c r="A5" s="30" t="str">
        <x:v>A001</x:v>
      </x:c>
      <x:c r="B5" s="30" t="str">
        <x:v>FlyTo</x:v>
      </x:c>
      <x:c r="C5" s="30" t="str">
        <x:v>物理</x:v>
      </x:c>
      <x:c r="D5" s="30" t="str">
        <x:v>目标航点/容差</x:v>
      </x:c>
      <x:c r="E5" s="30" t="str">
        <x:v>C01 AND C45；额定值/资质按设备配置验证</x:v>
      </x:c>
      <x:c r="F5" s="30" t="str">
        <x:v>飞行包络、能量、区域约束；路线不提前泄露未知障碍</x:v>
      </x:c>
      <x:c r="G5" s="30" t="str">
        <x:v>实际位姿/运动状态/能耗更新，受阻返回局部反馈</x:v>
      </x:c>
      <x:c r="H5" s="30" t="str">
        <x:v>entity；hazard；road；platform；task；action；region；episode</x:v>
      </x:c>
      <x:c r="I5" s="30" t="str">
        <x:v>entity.pose
platform.motion_state
platform.battery_remaining_Wh</x:v>
      </x:c>
      <x:c r="J5" s="30" t="str">
        <x:v>S02；S05；S24</x:v>
      </x:c>
      <x:c r="K5" s="30" t="str">
        <x:v>https://www.nist.gov/programs-projects/department-homeland-security-response-robot-performance-standards
https://4amgodvzx.github.io/ESAR.github.io/</x:v>
      </x:c>
    </x:row>
    <x:row r="6" ht="130" customHeight="1">
      <x:c r="A6" s="30" t="str">
        <x:v>A002</x:v>
      </x:c>
      <x:c r="B6" s="30" t="str">
        <x:v>GroundMove</x:v>
      </x:c>
      <x:c r="C6" s="30" t="str">
        <x:v>物理</x:v>
      </x:c>
      <x:c r="D6" s="30" t="str">
        <x:v>目标位置/路径</x:v>
      </x:c>
      <x:c r="E6" s="30" t="str">
        <x:v>C02；额定值/资质按设备配置验证</x:v>
      </x:c>
      <x:c r="F6" s="30" t="str">
        <x:v>平台尺寸/涉水/入口/互斥占用满足</x:v>
      </x:c>
      <x:c r="G6" s="30" t="str">
        <x:v>实际移动或受阻，消耗时间和能量</x:v>
      </x:c>
      <x:c r="H6" s="30" t="str">
        <x:v>entity；hazard；road；platform；task；action；region；episode</x:v>
      </x:c>
      <x:c r="I6" s="30" t="str">
        <x:v>entity.pose
platform.motion_state
platform.battery_remaining_Wh</x:v>
      </x:c>
      <x:c r="J6" s="30" t="str">
        <x:v>S02；S03；S24</x:v>
      </x:c>
      <x:c r="K6" s="30" t="str">
        <x:v>https://www.nist.gov/programs-projects/department-homeland-security-response-robot-performance-standards
https://roborescue.github.io/rcrs-server/rcrs-server/index.html</x:v>
      </x:c>
    </x:row>
    <x:row r="7" ht="130" customHeight="1">
      <x:c r="A7" s="30" t="str">
        <x:v>A003</x:v>
      </x:c>
      <x:c r="B7" s="30" t="str">
        <x:v>WaterMove</x:v>
      </x:c>
      <x:c r="C7" s="30" t="str">
        <x:v>物理</x:v>
      </x:c>
      <x:c r="D7" s="30" t="str">
        <x:v>水域目标/路径</x:v>
      </x:c>
      <x:c r="E7" s="30" t="str">
        <x:v>C03；额定值/资质按设备配置验证</x:v>
      </x:c>
      <x:c r="F7" s="30" t="str">
        <x:v>具备水上平台能力和声明海况条件</x:v>
      </x:c>
      <x:c r="G7" s="30" t="str">
        <x:v>位置和能耗变化；不得把狗视为船</x:v>
      </x:c>
      <x:c r="H7" s="30" t="str">
        <x:v>entity；hazard；road；platform；task；action；region；episode</x:v>
      </x:c>
      <x:c r="I7" s="30" t="str">
        <x:v>entity.pose
platform.motion_state
platform.battery_remaining_Wh</x:v>
      </x:c>
      <x:c r="J7" s="30" t="str">
        <x:v>S02；S12；S13</x:v>
      </x:c>
      <x:c r="K7" s="30" t="str">
        <x:v>https://www.nist.gov/programs-projects/department-homeland-security-response-robot-performance-standards
https://seadronessee.cs.uni-tuebingen.de/leaderboard
https://arxiv.org/abs/2203.07973</x:v>
      </x:c>
    </x:row>
    <x:row r="8" ht="130" customHeight="1">
      <x:c r="A8" s="30" t="str">
        <x:v>A004</x:v>
      </x:c>
      <x:c r="B8" s="30" t="str">
        <x:v>Hold</x:v>
      </x:c>
      <x:c r="C8" s="30" t="str">
        <x:v>物理</x:v>
      </x:c>
      <x:c r="D8" s="30" t="str">
        <x:v>驻留位置/结束条件</x:v>
      </x:c>
      <x:c r="E8" s="30" t="str">
        <x:v>C45；额定值/资质按设备配置验证</x:v>
      </x:c>
      <x:c r="F8" s="30" t="str">
        <x:v>可安全驻留，资源未耗尽</x:v>
      </x:c>
      <x:c r="G8" s="30" t="str">
        <x:v>持续占用平台并消耗能源，可保持中继</x:v>
      </x:c>
      <x:c r="H8" s="30" t="str">
        <x:v>hazard；platform；task；action</x:v>
      </x:c>
      <x:c r="I8" s="30" t="str">
        <x:v>platform.motion_state
platform.battery_remaining_Wh</x:v>
      </x:c>
      <x:c r="J8" s="30" t="str">
        <x:v>S02；S24</x:v>
      </x:c>
      <x:c r="K8" s="30" t="str">
        <x:v>https://www.nist.gov/programs-projects/department-homeland-security-response-robot-performance-standards</x:v>
      </x:c>
    </x:row>
    <x:row r="9" ht="130" customHeight="1">
      <x:c r="A9" s="30" t="str">
        <x:v>A005</x:v>
      </x:c>
      <x:c r="B9" s="30" t="str">
        <x:v>Capture</x:v>
      </x:c>
      <x:c r="C9" s="30" t="str">
        <x:v>传感器</x:v>
      </x:c>
      <x:c r="D9" s="30" t="str">
        <x:v>sensor_id/模态/朝向</x:v>
      </x:c>
      <x:c r="E9" s="30" t="str">
        <x:v>sensor.modality对应 C05/C06/C07/C08/C09/C10；不是任意相机可替代</x:v>
      </x:c>
      <x:c r="F9" s="30" t="str">
        <x:v>指定传感器真实存在且启用；热/音/RF/深度/气体须换成对应能力</x:v>
      </x:c>
      <x:c r="G9" s="30" t="str">
        <x:v>生成本地观测；不直接输出隐藏标签</x:v>
      </x:c>
      <x:c r="H9" s="30" t="str">
        <x:v>entity；hazard；building；obstacle；cue；sensor；platform；action</x:v>
      </x:c>
      <x:c r="I9" s="30" t="str">
        <x:v>sensor.capture_state
sensor.last_capture_s
observation.payload_ref
observation.captured_at_s
observation.pose_estimate</x:v>
      </x:c>
      <x:c r="J9" s="30" t="str">
        <x:v>S02；S05；S24</x:v>
      </x:c>
      <x:c r="K9" s="30" t="str">
        <x:v>https://www.nist.gov/programs-projects/department-homeland-security-response-robot-performance-standards
https://4amgodvzx.github.io/ESAR.github.io/</x:v>
      </x:c>
    </x:row>
    <x:row r="10" ht="130" customHeight="1">
      <x:c r="A10" s="30" t="str">
        <x:v>A006</x:v>
      </x:c>
      <x:c r="B10" s="30" t="str">
        <x:v>RunInference</x:v>
      </x:c>
      <x:c r="C10" s="30" t="str">
        <x:v>计算工具</x:v>
      </x:c>
      <x:c r="D10" s="30" t="str">
        <x:v>service_id/input_refs</x:v>
      </x:c>
      <x:c r="E10" s="30" t="str">
        <x:v>对应算法能力C12/C13/C14/C39/C44 + 计算设备C35或C36</x:v>
      </x:c>
      <x:c r="F10" s="30" t="str">
        <x:v>输入到节点、模型就绪或排队、内存/预算满足；VLM或加速器需替代能力</x:v>
      </x:c>
      <x:c r="G10" s="30" t="str">
        <x:v>实际或标定推理产生输出及计算时间；可错误/不确定</x:v>
      </x:c>
      <x:c r="H10" s="30" t="str">
        <x:v>observation；service；compute；job；cache；task；action</x:v>
      </x:c>
      <x:c r="I10" s="30" t="str">
        <x:v>job.status
job.start_s
job.finish_s
job.result_ref
job.wall_time_s
observation.detections
observation.confidence</x:v>
      </x:c>
      <x:c r="J10" s="30" t="str">
        <x:v>S05；S20；S21；S24</x:v>
      </x:c>
      <x:c r="K10" s="30" t="str">
        <x:v>https://4amgodvzx.github.io/ESAR.github.io/
https://kubernetes.io/docs/concepts/configuration/manage-resources-containers/
https://docs.mlcommons.org/inference/benchmarks/language/llama3_1-8b/</x:v>
      </x:c>
    </x:row>
    <x:row r="11" ht="130" customHeight="1">
      <x:c r="A11" s="30" t="str">
        <x:v>A007</x:v>
      </x:c>
      <x:c r="B11" s="30" t="str">
        <x:v>LocalizeTarget</x:v>
      </x:c>
      <x:c r="C11" s="30" t="str">
        <x:v>计算工具</x:v>
      </x:c>
      <x:c r="D11" s="30" t="str">
        <x:v>候选/测距/相机位姿</x:v>
      </x:c>
      <x:c r="E11" s="30" t="str">
        <x:v>C04 AND C40；需要测距的方法另需C09</x:v>
      </x:c>
      <x:c r="F11" s="30" t="str">
        <x:v>时间坐标/标定可用；没有深度时保留方法误差</x:v>
      </x:c>
      <x:c r="G11" s="30" t="str">
        <x:v>生成位置估计和不确定性，非直接查目标真值</x:v>
      </x:c>
      <x:c r="H11" s="30" t="str">
        <x:v>entity；sensor；observation；belief；compute；job</x:v>
      </x:c>
      <x:c r="I11" s="30" t="str">
        <x:v>belief.estimated_pose
observation.processing_job_id</x:v>
      </x:c>
      <x:c r="J11" s="30" t="str">
        <x:v>S02；S05；S25</x:v>
      </x:c>
      <x:c r="K11" s="30" t="str">
        <x:v>https://www.nist.gov/programs-projects/department-homeland-security-response-robot-performance-standards
https://4amgodvzx.github.io/ESAR.github.io/</x:v>
      </x:c>
    </x:row>
    <x:row r="12" ht="130" customHeight="1">
      <x:c r="A12" s="30" t="str">
        <x:v>A008</x:v>
      </x:c>
      <x:c r="B12" s="30" t="str">
        <x:v>SearchInterior</x:v>
      </x:c>
      <x:c r="C12" s="30" t="str">
        <x:v>抽象物理服务</x:v>
      </x:c>
      <x:c r="D12" s="30" t="str">
        <x:v>建筑/搜索强度/预算</x:v>
      </x:c>
      <x:c r="E12" s="30" t="str">
        <x:v>C15；额定值/资质按设备配置验证</x:v>
      </x:c>
      <x:c r="F12" s="30" t="str">
        <x:v>到达合法入口；搜索能力和能源；任务有效；互斥资源</x:v>
      </x:c>
      <x:c r="G12" s="30" t="str">
        <x:v>消耗时间/能源，按固定真值与搜索模型产生本地报告；不改变获救状态</x:v>
      </x:c>
      <x:c r="H12" s="30" t="str">
        <x:v>building；road；human；platform；task；action；sensor</x:v>
      </x:c>
      <x:c r="I12" s="30" t="str">
        <x:v>building.search_coverage_truth
observation.mode
observation.payload_ref
platform.battery_remaining_Wh</x:v>
      </x:c>
      <x:c r="J12" s="30" t="str">
        <x:v>S01；S24</x:v>
      </x:c>
      <x:c r="K12" s="30" t="str">
        <x:v>https://insarag.org/wp-content/uploads/2021/06/INSARAG20Guidelines20Vol20II2C20Man20B.pdf</x:v>
      </x:c>
    </x:row>
    <x:row r="13" ht="130" customHeight="1">
      <x:c r="A13" s="30" t="str">
        <x:v>A009</x:v>
      </x:c>
      <x:c r="B13" s="30" t="str">
        <x:v>ContactHuman</x:v>
      </x:c>
      <x:c r="C13" s="30" t="str">
        <x:v>交互</x:v>
      </x:c>
      <x:c r="D13" s="30" t="str">
        <x:v>对象/消息/等待</x:v>
      </x:c>
      <x:c r="E13" s="30" t="str">
        <x:v>C11；额定值/资质按设备配置验证</x:v>
      </x:c>
      <x:c r="F13" s="30" t="str">
        <x:v>可到达/可听见或可见；存在通信设备/人类接口</x:v>
      </x:c>
      <x:c r="G13" s="30" t="str">
        <x:v>生成需求确认/引导反馈；未回应≠无人</x:v>
      </x:c>
      <x:c r="H13" s="30" t="str">
        <x:v>human；equipment；sensor；observation</x:v>
      </x:c>
      <x:c r="I13" s="30" t="str">
        <x:v>observation.payload_ref
human.support_received</x:v>
      </x:c>
      <x:c r="J13" s="30" t="str">
        <x:v>S01；S24</x:v>
      </x:c>
      <x:c r="K13" s="30" t="str">
        <x:v>https://insarag.org/wp-content/uploads/2021/06/INSARAG20Guidelines20Vol20II2C20Man20B.pdf</x:v>
      </x:c>
    </x:row>
    <x:row r="14" ht="130" customHeight="1">
      <x:c r="A14" s="30" t="str">
        <x:v>A010</x:v>
      </x:c>
      <x:c r="B14" s="30" t="str">
        <x:v>RecordWorksite</x:v>
      </x:c>
      <x:c r="C14" s="30" t="str">
        <x:v>登记工具</x:v>
      </x:c>
      <x:c r="D14" s="30" t="str">
        <x:v>区域/已完成工作/证据</x:v>
      </x:c>
      <x:c r="E14" s="30" t="str">
        <x:v>C43；额定值/资质按设备配置验证</x:v>
      </x:c>
      <x:c r="F14" s="30" t="str">
        <x:v>有执行证据；只能记实际完成范围</x:v>
      </x:c>
      <x:c r="G14" s="30" t="str">
        <x:v>更新工作现场登记；全局权威统计与本地认知分开</x:v>
      </x:c>
      <x:c r="H14" s="30" t="str">
        <x:v>building；task；observation</x:v>
      </x:c>
      <x:c r="I14" s="30" t="str">
        <x:v>building.worksite_record</x:v>
      </x:c>
      <x:c r="J14" s="30" t="str">
        <x:v>S01；S24</x:v>
      </x:c>
      <x:c r="K14" s="30" t="str">
        <x:v>https://insarag.org/wp-content/uploads/2021/06/INSARAG20Guidelines20Vol20II2C20Man20B.pdf</x:v>
      </x:c>
    </x:row>
    <x:row r="15" ht="130" customHeight="1">
      <x:c r="A15" s="30" t="str">
        <x:v>A011</x:v>
      </x:c>
      <x:c r="B15" s="30" t="str">
        <x:v>InspectAccess</x:v>
      </x:c>
      <x:c r="C15" s="30" t="str">
        <x:v>感知规划</x:v>
      </x:c>
      <x:c r="D15" s="30" t="str">
        <x:v>入口/通路/测量模式</x:v>
      </x:c>
      <x:c r="E15" s="30" t="str">
        <x:v>C09 AND C14；额定值/资质按设备配置验证</x:v>
      </x:c>
      <x:c r="F15" s="30" t="str">
        <x:v>传感器和局部地图可用；测量有成本</x:v>
      </x:c>
      <x:c r="G15" s="30" t="str">
        <x:v>生成净空/可达估计而非全局答案</x:v>
      </x:c>
      <x:c r="H15" s="30" t="str">
        <x:v>road；obstacle；sensor；platform；belief；job</x:v>
      </x:c>
      <x:c r="I15" s="30" t="str">
        <x:v>belief.estimated_access
observation.payload_ref</x:v>
      </x:c>
      <x:c r="J15" s="30" t="str">
        <x:v>S02；S03；S24</x:v>
      </x:c>
      <x:c r="K15" s="30" t="str">
        <x:v>https://www.nist.gov/programs-projects/department-homeland-security-response-robot-performance-standards
https://roborescue.github.io/rcrs-server/rcrs-server/index.html</x:v>
      </x:c>
    </x:row>
    <x:row r="16" ht="130" customHeight="1">
      <x:c r="A16" s="30" t="str">
        <x:v>A012</x:v>
      </x:c>
      <x:c r="B16" s="30" t="str">
        <x:v>RemoveLightDebris</x:v>
      </x:c>
      <x:c r="C16" s="30" t="str">
        <x:v>物理</x:v>
      </x:c>
      <x:c r="D16" s="30" t="str">
        <x:v>障碍/搬放位置</x:v>
      </x:c>
      <x:c r="E16" s="30" t="str">
        <x:v>C16；额定值/资质按设备配置验证</x:v>
      </x:c>
      <x:c r="F16" s="30" t="str">
        <x:v>质量/材料/作用距离/稳定性在工具能力内</x:v>
      </x:c>
      <x:c r="G16" s="30" t="str">
        <x:v>障碍位置/作业量改变，碰撞与可达性重算</x:v>
      </x:c>
      <x:c r="H16" s="30" t="str">
        <x:v>obstacle；road；equipment；platform；task；action</x:v>
      </x:c>
      <x:c r="I16" s="30" t="str">
        <x:v>obstacle.state
obstacle.work_remaining
obstacle.disposal_location</x:v>
      </x:c>
      <x:c r="J16" s="30" t="str">
        <x:v>S01；S02</x:v>
      </x:c>
      <x:c r="K16" s="30" t="str">
        <x:v>https://insarag.org/wp-content/uploads/2021/06/INSARAG20Guidelines20Vol20II2C20Man20B.pdf
https://www.nist.gov/programs-projects/department-homeland-security-response-robot-performance-standards</x:v>
      </x:c>
    </x:row>
    <x:row r="17" ht="130" customHeight="1">
      <x:c r="A17" s="30" t="str">
        <x:v>A013</x:v>
      </x:c>
      <x:c r="B17" s="30" t="str">
        <x:v>ClearHeavyDebris</x:v>
      </x:c>
      <x:c r="C17" s="30" t="str">
        <x:v>专业服务</x:v>
      </x:c>
      <x:c r="D17" s="30" t="str">
        <x:v>障碍/方法/作业量</x:v>
      </x:c>
      <x:c r="E17" s="30" t="str">
        <x:v>C17；额定值/资质按设备配置验证</x:v>
      </x:c>
      <x:c r="F17" s="30" t="str">
        <x:v>工程设备、耗材、作业位置及授权</x:v>
      </x:c>
      <x:c r="G17" s="30" t="str">
        <x:v>部分/全部清理；影响空间重新派生</x:v>
      </x:c>
      <x:c r="H17" s="30" t="str">
        <x:v>obstacle；road；equipment；platform；task；action</x:v>
      </x:c>
      <x:c r="I17" s="30" t="str">
        <x:v>obstacle.state
obstacle.volume_m3
obstacle.work_remaining</x:v>
      </x:c>
      <x:c r="J17" s="30" t="str">
        <x:v>S01；S03</x:v>
      </x:c>
      <x:c r="K17" s="30" t="str">
        <x:v>https://insarag.org/wp-content/uploads/2021/06/INSARAG20Guidelines20Vol20II2C20Man20B.pdf
https://roborescue.github.io/rcrs-server/rcrs-server/index.html</x:v>
      </x:c>
    </x:row>
    <x:row r="18" ht="130" customHeight="1">
      <x:c r="A18" s="30" t="str">
        <x:v>A014</x:v>
      </x:c>
      <x:c r="B18" s="30" t="str">
        <x:v>BreachEntry</x:v>
      </x:c>
      <x:c r="C18" s="30" t="str">
        <x:v>专业服务</x:v>
      </x:c>
      <x:c r="D18" s="30" t="str">
        <x:v>入口/障碍/工具</x:v>
      </x:c>
      <x:c r="E18" s="30" t="str">
        <x:v>C18；额定值/资质按设备配置验证</x:v>
      </x:c>
      <x:c r="F18" s="30" t="str">
        <x:v>专业授权、材料与额定能力、安全条件</x:v>
      </x:c>
      <x:c r="G18" s="30" t="str">
        <x:v>建立合法入口/缺口；几何、碰撞和可达性一起变</x:v>
      </x:c>
      <x:c r="H18" s="30" t="str">
        <x:v>building；road；obstacle；equipment；action</x:v>
      </x:c>
      <x:c r="I18" s="30" t="str">
        <x:v>road.entry_state
building.wall_damage</x:v>
      </x:c>
      <x:c r="J18" s="30" t="str">
        <x:v>S01</x:v>
      </x:c>
      <x:c r="K18" s="30" t="str">
        <x:v>https://insarag.org/wp-content/uploads/2021/06/INSARAG20Guidelines20Vol20II2C20Man20B.pdf</x:v>
      </x:c>
    </x:row>
    <x:row r="19" ht="130" customHeight="1">
      <x:c r="A19" s="30" t="str">
        <x:v>A015</x:v>
      </x:c>
      <x:c r="B19" s="30" t="str">
        <x:v>ShoreStructure</x:v>
      </x:c>
      <x:c r="C19" s="30" t="str">
        <x:v>专业服务</x:v>
      </x:c>
      <x:c r="D19" s="30" t="str">
        <x:v>结构/支撑资源</x:v>
      </x:c>
      <x:c r="E19" s="30" t="str">
        <x:v>C19；额定值/资质按设备配置验证</x:v>
      </x:c>
      <x:c r="F19" s="30" t="str">
        <x:v>专业队伍及可施工位置，不能用狗代替</x:v>
      </x:c>
      <x:c r="G19" s="30" t="str">
        <x:v>更新已支撑区域/残余风险，不保证整栋绝对安全</x:v>
      </x:c>
      <x:c r="H19" s="30" t="str">
        <x:v>building；obstacle；equipment；item；action</x:v>
      </x:c>
      <x:c r="I19" s="30" t="str">
        <x:v>obstacle.stability
building.remaining_hazard</x:v>
      </x:c>
      <x:c r="J19" s="30" t="str">
        <x:v>S01</x:v>
      </x:c>
      <x:c r="K19" s="30" t="str">
        <x:v>https://insarag.org/wp-content/uploads/2021/06/INSARAG20Guidelines20Vol20II2C20Man20B.pdf</x:v>
      </x:c>
    </x:row>
    <x:row r="20" ht="130" customHeight="1">
      <x:c r="A20" s="30" t="str">
        <x:v>A016</x:v>
      </x:c>
      <x:c r="B20" s="30" t="str">
        <x:v>LiftObject</x:v>
      </x:c>
      <x:c r="C20" s="30" t="str">
        <x:v>专业服务</x:v>
      </x:c>
      <x:c r="D20" s="30" t="str">
        <x:v>对象/落点</x:v>
      </x:c>
      <x:c r="E20" s="30" t="str">
        <x:v>C20；额定值/资质按设备配置验证</x:v>
      </x:c>
      <x:c r="F20" s="30" t="str">
        <x:v>额定吊载、支撑、作用范围及目标状态</x:v>
      </x:c>
      <x:c r="G20" s="30" t="str">
        <x:v>对象移动/暴露空间改变，剩余障碍重算</x:v>
      </x:c>
      <x:c r="H20" s="30" t="str">
        <x:v>obstacle；equipment；platform；road；action</x:v>
      </x:c>
      <x:c r="I20" s="30" t="str">
        <x:v>entity.pose
obstacle.state
obstacle.disposal_location</x:v>
      </x:c>
      <x:c r="J20" s="30" t="str">
        <x:v>S01；S02</x:v>
      </x:c>
      <x:c r="K20" s="30" t="str">
        <x:v>https://insarag.org/wp-content/uploads/2021/06/INSARAG20Guidelines20Vol20II2C20Man20B.pdf
https://www.nist.gov/programs-projects/department-homeland-security-response-robot-performance-standards</x:v>
      </x:c>
    </x:row>
    <x:row r="21" ht="130" customHeight="1">
      <x:c r="A21" s="30" t="str">
        <x:v>A017</x:v>
      </x:c>
      <x:c r="B21" s="30" t="str">
        <x:v>ExtricatePerson</x:v>
      </x:c>
      <x:c r="C21" s="30" t="str">
        <x:v>专业服务</x:v>
      </x:c>
      <x:c r="D21" s="30" t="str">
        <x:v>受困者/指定方法</x:v>
      </x:c>
      <x:c r="E21" s="30" t="str">
        <x:v>C46 + 按受困类型选择C16/C18/C20，所有实际用具额定约束均满足</x:v>
      </x:c>
      <x:c r="F21" s="30" t="str">
        <x:v>工具能力按方法选择，通达、安全与作业前提满足</x:v>
      </x:c>
      <x:c r="G21" s="30" t="str">
        <x:v>解除压埋/受困；不自动装车或痊愈</x:v>
      </x:c>
      <x:c r="H21" s="30" t="str">
        <x:v>human；obstacle；equipment；platform；action</x:v>
      </x:c>
      <x:c r="I21" s="30" t="str">
        <x:v>human.mobility
human.buriedness
human.support_received</x:v>
      </x:c>
      <x:c r="J21" s="30" t="str">
        <x:v>S01</x:v>
      </x:c>
      <x:c r="K21" s="30" t="str">
        <x:v>https://insarag.org/wp-content/uploads/2021/06/INSARAG20Guidelines20Vol20II2C20Man20B.pdf</x:v>
      </x:c>
    </x:row>
    <x:row r="22" ht="130" customHeight="1">
      <x:c r="A22" s="30" t="str">
        <x:v>A018</x:v>
      </x:c>
      <x:c r="B22" s="30" t="str">
        <x:v>AssessCasualty</x:v>
      </x:c>
      <x:c r="C22" s="30" t="str">
        <x:v>专业服务</x:v>
      </x:c>
      <x:c r="D22" s="30" t="str">
        <x:v>人员/评估方法</x:v>
      </x:c>
      <x:c r="E22" s="30" t="str">
        <x:v>C21；额定值/资质按设备配置验证</x:v>
      </x:c>
      <x:c r="F22" s="30" t="str">
        <x:v>授权人员/服务到达；不得用服装或姿态直接断定诊断</x:v>
      </x:c>
      <x:c r="G22" s="30" t="str">
        <x:v>产生伤情/需求评估记录（仿真抽象）</x:v>
      </x:c>
      <x:c r="H22" s="30" t="str">
        <x:v>human；equipment；observation；action</x:v>
      </x:c>
      <x:c r="I22" s="30" t="str">
        <x:v>human.last_assessed_s
observation.payload_ref</x:v>
      </x:c>
      <x:c r="J22" s="30" t="str">
        <x:v>S01</x:v>
      </x:c>
      <x:c r="K22" s="30" t="str">
        <x:v>https://insarag.org/wp-content/uploads/2021/06/INSARAG20Guidelines20Vol20II2C20Man20B.pdf</x:v>
      </x:c>
    </x:row>
    <x:row r="23" ht="130" customHeight="1">
      <x:c r="A23" s="30" t="str">
        <x:v>A019</x:v>
      </x:c>
      <x:c r="B23" s="30" t="str">
        <x:v>ApplyAid</x:v>
      </x:c>
      <x:c r="C23" s="30" t="str">
        <x:v>专业服务</x:v>
      </x:c>
      <x:c r="D23" s="30" t="str">
        <x:v>人员/所需耗材</x:v>
      </x:c>
      <x:c r="E23" s="30" t="str">
        <x:v>C21；额定值/资质按设备配置验证</x:v>
      </x:c>
      <x:c r="F23" s="30" t="str">
        <x:v>授权服务、实际耗材、声明的治疗模型</x:v>
      </x:c>
      <x:c r="G23" s="30" t="str">
        <x:v>记录援助，按显式模型结算；投医疗包不等于治疗</x:v>
      </x:c>
      <x:c r="H23" s="30" t="str">
        <x:v>human；item；equipment；action</x:v>
      </x:c>
      <x:c r="I23" s="30" t="str">
        <x:v>human.support_received
human.health_value
item.quantity</x:v>
      </x:c>
      <x:c r="J23" s="30" t="str">
        <x:v>S01；S24</x:v>
      </x:c>
      <x:c r="K23" s="30" t="str">
        <x:v>https://insarag.org/wp-content/uploads/2021/06/INSARAG20Guidelines20Vol20II2C20Man20B.pdf</x:v>
      </x:c>
    </x:row>
    <x:row r="24" ht="130" customHeight="1">
      <x:c r="A24" s="30" t="str">
        <x:v>A020</x:v>
      </x:c>
      <x:c r="B24" s="30" t="str">
        <x:v>LoadHuman</x:v>
      </x:c>
      <x:c r="C24" s="30" t="str">
        <x:v>物理/专业</x:v>
      </x:c>
      <x:c r="D24" s="30" t="str">
        <x:v>人员/运输载具</x:v>
      </x:c>
      <x:c r="E24" s="30" t="str">
        <x:v>C22；额定值/资质按设备配置验证</x:v>
      </x:c>
      <x:c r="F24" s="30" t="str">
        <x:v>受困解除、承载能力/状态兼容且可接近</x:v>
      </x:c>
      <x:c r="G24" s="30" t="str">
        <x:v>人员附着载具，质量计入载荷</x:v>
      </x:c>
      <x:c r="H24" s="30" t="str">
        <x:v>human；platform；equipment；action</x:v>
      </x:c>
      <x:c r="I24" s="30" t="str">
        <x:v>human.carrier_id
human.location_context</x:v>
      </x:c>
      <x:c r="J24" s="30" t="str">
        <x:v>S01；S03；S06</x:v>
      </x:c>
      <x:c r="K24" s="30" t="str">
        <x:v>https://insarag.org/wp-content/uploads/2021/06/INSARAG20Guidelines20Vol20II2C20Man20B.pdf
https://roborescue.github.io/rcrs-server/rcrs-server/index.html
https://github.com/UnrealZoo/RescueBench</x:v>
      </x:c>
    </x:row>
    <x:row r="25" ht="130" customHeight="1">
      <x:c r="A25" s="30" t="str">
        <x:v>A021</x:v>
      </x:c>
      <x:c r="B25" s="30" t="str">
        <x:v>TransportHuman</x:v>
      </x:c>
      <x:c r="C25" s="30" t="str">
        <x:v>物理/专业</x:v>
      </x:c>
      <x:c r="D25" s="30" t="str">
        <x:v>已装载人/接收点</x:v>
      </x:c>
      <x:c r="E25" s="30" t="str">
        <x:v>C22 AND 所用移动能力(C01/C02/C03)</x:v>
      </x:c>
      <x:c r="F25" s="30" t="str">
        <x:v>对应移动能力和安全/能源条件；接收点兼容</x:v>
      </x:c>
      <x:c r="G25" s="30" t="str">
        <x:v>同步移动载具与人员；到达不等于移交</x:v>
      </x:c>
      <x:c r="H25" s="30" t="str">
        <x:v>human；road；hazard；platform；station；action</x:v>
      </x:c>
      <x:c r="I25" s="30" t="str">
        <x:v>entity.pose
human.handover_status</x:v>
      </x:c>
      <x:c r="J25" s="30" t="str">
        <x:v>S01；S03；S06</x:v>
      </x:c>
      <x:c r="K25" s="30" t="str">
        <x:v>https://insarag.org/wp-content/uploads/2021/06/INSARAG20Guidelines20Vol20II2C20Man20B.pdf
https://roborescue.github.io/rcrs-server/rcrs-server/index.html
https://github.com/UnrealZoo/RescueBench</x:v>
      </x:c>
    </x:row>
    <x:row r="26" ht="130" customHeight="1">
      <x:c r="A26" s="30" t="str">
        <x:v>A022</x:v>
      </x:c>
      <x:c r="B26" s="30" t="str">
        <x:v>HandoverHuman</x:v>
      </x:c>
      <x:c r="C26" s="30" t="str">
        <x:v>交互/专业</x:v>
      </x:c>
      <x:c r="D26" s="30" t="str">
        <x:v>人员/接收者</x:v>
      </x:c>
      <x:c r="E26" s="30" t="str">
        <x:v>C22 AND C46；额定值/资质按设备配置验证</x:v>
      </x:c>
      <x:c r="F26" s="30" t="str">
        <x:v>接收方具备容量并实际确认</x:v>
      </x:c>
      <x:c r="G26" s="30" t="str">
        <x:v>卸载与接收确认，才计移交</x:v>
      </x:c>
      <x:c r="H26" s="30" t="str">
        <x:v>human；station；task；action</x:v>
      </x:c>
      <x:c r="I26" s="30" t="str">
        <x:v>human.carrier_id
human.destination_id
human.handover_status
station.occupied</x:v>
      </x:c>
      <x:c r="J26" s="30" t="str">
        <x:v>S01；S06</x:v>
      </x:c>
      <x:c r="K26" s="30" t="str">
        <x:v>https://insarag.org/wp-content/uploads/2021/06/INSARAG20Guidelines20Vol20II2C20Man20B.pdf
https://github.com/UnrealZoo/RescueBench</x:v>
      </x:c>
    </x:row>
    <x:row r="27" ht="130" customHeight="1">
      <x:c r="A27" s="30" t="str">
        <x:v>A023</x:v>
      </x:c>
      <x:c r="B27" s="30" t="str">
        <x:v>RecoverFromWater</x:v>
      </x:c>
      <x:c r="C27" s="30" t="str">
        <x:v>专业服务</x:v>
      </x:c>
      <x:c r="D27" s="30" t="str">
        <x:v>人员/救助方法</x:v>
      </x:c>
      <x:c r="E27" s="30" t="str">
        <x:v>C23；额定值/资质按设备配置验证</x:v>
      </x:c>
      <x:c r="F27" s="30" t="str">
        <x:v>水域设备、接近/载重/海况条件</x:v>
      </x:c>
      <x:c r="G27" s="30" t="str">
        <x:v>水中目标被接收上载具或安全点；保持后续移交需求</x:v>
      </x:c>
      <x:c r="H27" s="30" t="str">
        <x:v>human；hazard；equipment；platform；action</x:v>
      </x:c>
      <x:c r="I27" s="30" t="str">
        <x:v>human.location_context
human.carrier_id
human.support_received</x:v>
      </x:c>
      <x:c r="J27" s="30" t="str">
        <x:v>S02；S12；S13</x:v>
      </x:c>
      <x:c r="K27" s="30" t="str">
        <x:v>https://www.nist.gov/programs-projects/department-homeland-security-response-robot-performance-standards
https://seadronessee.cs.uni-tuebingen.de/leaderboard
https://arxiv.org/abs/2203.07973</x:v>
      </x:c>
    </x:row>
    <x:row r="28" ht="130" customHeight="1">
      <x:c r="A28" s="30" t="str">
        <x:v>A024</x:v>
      </x:c>
      <x:c r="B28" s="30" t="str">
        <x:v>AttachCargo</x:v>
      </x:c>
      <x:c r="C28" s="30" t="str">
        <x:v>物理</x:v>
      </x:c>
      <x:c r="D28" s="30" t="str">
        <x:v>货物/接口</x:v>
      </x:c>
      <x:c r="E28" s="30" t="str">
        <x:v>C24；额定值/资质按设备配置验证</x:v>
      </x:c>
      <x:c r="F28" s="30" t="str">
        <x:v>实物在场、未重复占有、质量体积接口兼容</x:v>
      </x:c>
      <x:c r="G28" s="30" t="str">
        <x:v>持有者/挂载状态改变，库存与载荷同步</x:v>
      </x:c>
      <x:c r="H28" s="30" t="str">
        <x:v>item；platform；equipment；station；task；action</x:v>
      </x:c>
      <x:c r="I28" s="30" t="str">
        <x:v>item.holder_id
item.state
item.attachment_id
platform.payload_item_ids</x:v>
      </x:c>
      <x:c r="J28" s="30" t="str">
        <x:v>S02；S24</x:v>
      </x:c>
      <x:c r="K28" s="30" t="str">
        <x:v>https://www.nist.gov/programs-projects/department-homeland-security-response-robot-performance-standards</x:v>
      </x:c>
    </x:row>
    <x:row r="29" ht="130" customHeight="1">
      <x:c r="A29" s="30" t="str">
        <x:v>A025</x:v>
      </x:c>
      <x:c r="B29" s="30" t="str">
        <x:v>ReleaseCargo</x:v>
      </x:c>
      <x:c r="C29" s="30" t="str">
        <x:v>物理</x:v>
      </x:c>
      <x:c r="D29" s="30" t="str">
        <x:v>已挂物资/释放点</x:v>
      </x:c>
      <x:c r="E29" s="30" t="str">
        <x:v>C25；额定值/资质按设备配置验证</x:v>
      </x:c>
      <x:c r="F29" s="30" t="str">
        <x:v>实际释放机构、合法位置及载荷锁</x:v>
      </x:c>
      <x:c r="G29" s="30" t="str">
        <x:v>产生释放结果/落点；卡滞可失败，不自动签收</x:v>
      </x:c>
      <x:c r="H29" s="30" t="str">
        <x:v>item；platform；equipment；hazard；action</x:v>
      </x:c>
      <x:c r="I29" s="30" t="str">
        <x:v>item.release_state
item.state
item.contact_pose
platform.payload_item_ids</x:v>
      </x:c>
      <x:c r="J29" s="30" t="str">
        <x:v>S24；S25</x:v>
      </x:c>
      <x:c r="K29" s="30" t="str"/>
    </x:row>
    <x:row r="30" ht="130" customHeight="1">
      <x:c r="A30" s="30" t="str">
        <x:v>A026</x:v>
      </x:c>
      <x:c r="B30" s="30" t="str">
        <x:v>PlaceCargo</x:v>
      </x:c>
      <x:c r="C30" s="30" t="str">
        <x:v>物理</x:v>
      </x:c>
      <x:c r="D30" s="30" t="str">
        <x:v>载荷/放置点</x:v>
      </x:c>
      <x:c r="E30" s="30" t="str">
        <x:v>C26；额定值/资质按设备配置验证</x:v>
      </x:c>
      <x:c r="F30" s="30" t="str">
        <x:v>有合法卸载主体/机构，位置可达</x:v>
      </x:c>
      <x:c r="G30" s="30" t="str">
        <x:v>物资从平台移到地面/接收区</x:v>
      </x:c>
      <x:c r="H30" s="30" t="str">
        <x:v>item；platform；equipment；road；action</x:v>
      </x:c>
      <x:c r="I30" s="30" t="str">
        <x:v>item.state
item.holder_id
item.contact_pose
platform.payload_item_ids</x:v>
      </x:c>
      <x:c r="J30" s="30" t="str">
        <x:v>S02；S24</x:v>
      </x:c>
      <x:c r="K30" s="30" t="str">
        <x:v>https://www.nist.gov/programs-projects/department-homeland-security-response-robot-performance-standards</x:v>
      </x:c>
    </x:row>
    <x:row r="31" ht="130" customHeight="1">
      <x:c r="A31" s="30" t="str">
        <x:v>A027</x:v>
      </x:c>
      <x:c r="B31" s="30" t="str">
        <x:v>VerifyReceipt</x:v>
      </x:c>
      <x:c r="C31" s="30" t="str">
        <x:v>感知/交互</x:v>
      </x:c>
      <x:c r="D31" s="30" t="str">
        <x:v>物资/接收者/证据</x:v>
      </x:c>
      <x:c r="E31" s="30" t="str">
        <x:v>基于实际接收证据：C05用于视觉复核或C31接收合法签收；落点图不能替代领取</x:v>
      </x:c>
      <x:c r="F31" s="30" t="str">
        <x:v>具备有效接收证据；相机仅看到落点不一定已领取</x:v>
      </x:c>
      <x:c r="G31" s="30" t="str">
        <x:v>登记签收/领取；本地报告经消息传送给中心</x:v>
      </x:c>
      <x:c r="H31" s="30" t="str">
        <x:v>item；human；observation；message；task</x:v>
      </x:c>
      <x:c r="I31" s="30" t="str">
        <x:v>item.receipt_id
item.state
human.support_received</x:v>
      </x:c>
      <x:c r="J31" s="30" t="str">
        <x:v>S24；S25</x:v>
      </x:c>
      <x:c r="K31" s="30" t="str"/>
    </x:row>
    <x:row r="32" ht="130" customHeight="1">
      <x:c r="A32" s="30" t="str">
        <x:v>A028</x:v>
      </x:c>
      <x:c r="B32" s="30" t="str">
        <x:v>Replenish</x:v>
      </x:c>
      <x:c r="C32" s="30" t="str">
        <x:v>交互</x:v>
      </x:c>
      <x:c r="D32" s="30" t="str">
        <x:v>物品种类/数量/站点</x:v>
      </x:c>
      <x:c r="E32" s="30" t="str">
        <x:v>C27；额定值/资质按设备配置验证</x:v>
      </x:c>
      <x:c r="F32" s="30" t="str">
        <x:v>库存/接口/服务位；不能无成本生成物资</x:v>
      </x:c>
      <x:c r="G32" s="30" t="str">
        <x:v>库存转移或耗材补充，有服务时间</x:v>
      </x:c>
      <x:c r="H32" s="30" t="str">
        <x:v>item；station；equipment；platform；action</x:v>
      </x:c>
      <x:c r="I32" s="30" t="str">
        <x:v>item.quantity
item.holder_id
equipment.consumable_remaining</x:v>
      </x:c>
      <x:c r="J32" s="30" t="str">
        <x:v>S01；S03；S24</x:v>
      </x:c>
      <x:c r="K32" s="30" t="str">
        <x:v>https://insarag.org/wp-content/uploads/2021/06/INSARAG20Guidelines20Vol20II2C20Man20B.pdf
https://roborescue.github.io/rcrs-server/rcrs-server/index.html</x:v>
      </x:c>
    </x:row>
    <x:row r="33" ht="130" customHeight="1">
      <x:c r="A33" s="30" t="str">
        <x:v>A029</x:v>
      </x:c>
      <x:c r="B33" s="30" t="str">
        <x:v>Charge</x:v>
      </x:c>
      <x:c r="C33" s="30" t="str">
        <x:v>资源</x:v>
      </x:c>
      <x:c r="D33" s="30" t="str">
        <x:v>站点/目标电量</x:v>
      </x:c>
      <x:c r="E33" s="30" t="str">
        <x:v>C28；额定值/资质按设备配置验证</x:v>
      </x:c>
      <x:c r="F33" s="30" t="str">
        <x:v>停靠、连接器/供电/服务位满足</x:v>
      </x:c>
      <x:c r="G33" s="30" t="str">
        <x:v>时间推进充电；不能瞬间满电</x:v>
      </x:c>
      <x:c r="H33" s="30" t="str">
        <x:v>station；platform；equipment；task；action</x:v>
      </x:c>
      <x:c r="I33" s="30" t="str">
        <x:v>platform.battery_remaining_Wh
station.occupied
station.queue_ids</x:v>
      </x:c>
      <x:c r="J33" s="30" t="str">
        <x:v>S18；S24</x:v>
      </x:c>
      <x:c r="K33" s="30" t="str">
        <x:v>https://www.nsnam.org/docs/models/html/energy.html</x:v>
      </x:c>
    </x:row>
    <x:row r="34" ht="130" customHeight="1">
      <x:c r="A34" s="30" t="str">
        <x:v>A030</x:v>
      </x:c>
      <x:c r="B34" s="30" t="str">
        <x:v>SwapBattery</x:v>
      </x:c>
      <x:c r="C34" s="30" t="str">
        <x:v>资源/专业</x:v>
      </x:c>
      <x:c r="D34" s="30" t="str">
        <x:v>旧电池/新电池/操作者</x:v>
      </x:c>
      <x:c r="E34" s="30" t="str">
        <x:v>C29；额定值/资质按设备配置验证</x:v>
      </x:c>
      <x:c r="F34" s="30" t="str">
        <x:v>兼容电池、库存和实际换电能力</x:v>
      </x:c>
      <x:c r="G34" s="30" t="str">
        <x:v>电池实例转移，按新电池真实电量更新</x:v>
      </x:c>
      <x:c r="H34" s="30" t="str">
        <x:v>platform；item；station；equipment；action</x:v>
      </x:c>
      <x:c r="I34" s="30" t="str">
        <x:v>platform.battery_remaining_Wh
item.state
item.holder_id</x:v>
      </x:c>
      <x:c r="J34" s="30" t="str">
        <x:v>S24</x:v>
      </x:c>
      <x:c r="K34" s="30" t="str"/>
    </x:row>
    <x:row r="35" ht="130" customHeight="1">
      <x:c r="A35" s="30" t="str">
        <x:v>A031</x:v>
      </x:c>
      <x:c r="B35" s="30" t="str">
        <x:v>RecoverRobot</x:v>
      </x:c>
      <x:c r="C35" s="30" t="str">
        <x:v>专业服务</x:v>
      </x:c>
      <x:c r="D35" s="30" t="str">
        <x:v>失效平台/回收点</x:v>
      </x:c>
      <x:c r="E35" s="30" t="str">
        <x:v>C30；额定值/资质按设备配置验证</x:v>
      </x:c>
      <x:c r="F35" s="30" t="str">
        <x:v>牵引/吊载能力与可达性</x:v>
      </x:c>
      <x:c r="G35" s="30" t="str">
        <x:v>失效平台回收，不凭空修复故障</x:v>
      </x:c>
      <x:c r="H35" s="30" t="str">
        <x:v>platform；equipment；road；action</x:v>
      </x:c>
      <x:c r="I35" s="30" t="str">
        <x:v>entity.pose
platform.motion_state</x:v>
      </x:c>
      <x:c r="J35" s="30" t="str">
        <x:v>S01；S02</x:v>
      </x:c>
      <x:c r="K35" s="30" t="str">
        <x:v>https://insarag.org/wp-content/uploads/2021/06/INSARAG20Guidelines20Vol20II2C20Man20B.pdf
https://www.nist.gov/programs-projects/department-homeland-security-response-robot-performance-standards</x:v>
      </x:c>
    </x:row>
    <x:row r="36" ht="130" customHeight="1">
      <x:c r="A36" s="30" t="str">
        <x:v>A032</x:v>
      </x:c>
      <x:c r="B36" s="30" t="str">
        <x:v>ProbeLink</x:v>
      </x:c>
      <x:c r="C36" s="30" t="str">
        <x:v>通信</x:v>
      </x:c>
      <x:c r="D36" s="30" t="str">
        <x:v>目标节点/探测数据</x:v>
      </x:c>
      <x:c r="E36" s="30" t="str">
        <x:v>C31；额定值/资质按设备配置验证</x:v>
      </x:c>
      <x:c r="F36" s="30" t="str">
        <x:v>接口启用、合法探测预算</x:v>
      </x:c>
      <x:c r="G36" s="30" t="str">
        <x:v>真实探测结果/时延/丢失统计；无数据保留unknown</x:v>
      </x:c>
      <x:c r="H36" s="30" t="str">
        <x:v>radio；link；message；platform</x:v>
      </x:c>
      <x:c r="I36" s="30" t="str">
        <x:v>link.state
link.rssi_dbm
link.sinr_db
link.sampled_at_s
link.sample_count</x:v>
      </x:c>
      <x:c r="J36" s="30" t="str">
        <x:v>S17；S24</x:v>
      </x:c>
      <x:c r="K36" s="30" t="str">
        <x:v>https://www.nsnam.org/docs/models/html/wifi-design.html</x:v>
      </x:c>
    </x:row>
    <x:row r="37" ht="130" customHeight="1">
      <x:c r="A37" s="30" t="str">
        <x:v>A033</x:v>
      </x:c>
      <x:c r="B37" s="30" t="str">
        <x:v>ConfigureRadio</x:v>
      </x:c>
      <x:c r="C37" s="30" t="str">
        <x:v>通信</x:v>
      </x:c>
      <x:c r="D37" s="30" t="str">
        <x:v>信道/功率/路由/队列策略</x:v>
      </x:c>
      <x:c r="E37" s="30" t="str">
        <x:v>C31 AND C32；额定值/资质按设备配置验证</x:v>
      </x:c>
      <x:c r="F37" s="30" t="str">
        <x:v>设备后端实际支持；不能免费保证链路恢复</x:v>
      </x:c>
      <x:c r="G37" s="30" t="str">
        <x:v>更新接口配置并影响后续包</x:v>
      </x:c>
      <x:c r="H37" s="30" t="str">
        <x:v>radio；link；platform</x:v>
      </x:c>
      <x:c r="I37" s="30" t="str">
        <x:v>radio.channel
radio.tx_power_dbm
radio.routing_mode
radio.relay_enabled</x:v>
      </x:c>
      <x:c r="J37" s="30" t="str">
        <x:v>S17</x:v>
      </x:c>
      <x:c r="K37" s="30" t="str">
        <x:v>https://www.nsnam.org/docs/models/html/wifi-design.html</x:v>
      </x:c>
    </x:row>
    <x:row r="38" ht="130" customHeight="1">
      <x:c r="A38" s="30" t="str">
        <x:v>A034</x:v>
      </x:c>
      <x:c r="B38" s="30" t="str">
        <x:v>DeployRelay</x:v>
      </x:c>
      <x:c r="C38" s="30" t="str">
        <x:v>物理/通信</x:v>
      </x:c>
      <x:c r="D38" s="30" t="str">
        <x:v>中继设备/布放点</x:v>
      </x:c>
      <x:c r="E38" s="30" t="str">
        <x:v>C33；额定值/资质按设备配置验证</x:v>
      </x:c>
      <x:c r="F38" s="30" t="str">
        <x:v>实际携带节点、供电、布放能力</x:v>
      </x:c>
      <x:c r="G38" s="30" t="str">
        <x:v>新增节点实体与网络接口，消耗物资</x:v>
      </x:c>
      <x:c r="H38" s="30" t="str">
        <x:v>item；equipment；platform；radio；entity</x:v>
      </x:c>
      <x:c r="I38" s="30" t="str">
        <x:v>item.state
item.holder_id
radio.enabled
radio.relay_enabled</x:v>
      </x:c>
      <x:c r="J38" s="30" t="str">
        <x:v>S04；S17</x:v>
      </x:c>
      <x:c r="K38" s="30" t="str">
        <x:v>https://www.darpa.mil/research/programs/darpa-subterranean-challenge
https://www.nsnam.org/docs/models/html/wifi-design.html</x:v>
      </x:c>
    </x:row>
    <x:row r="39" ht="130" customHeight="1">
      <x:c r="A39" s="30" t="str">
        <x:v>A035</x:v>
      </x:c>
      <x:c r="B39" s="30" t="str">
        <x:v>ForwardMessage</x:v>
      </x:c>
      <x:c r="C39" s="30" t="str">
        <x:v>通信</x:v>
      </x:c>
      <x:c r="D39" s="30" t="str">
        <x:v>已收到消息/下一跳</x:v>
      </x:c>
      <x:c r="E39" s="30" t="str">
        <x:v>C32；额定值/资质按设备配置验证</x:v>
      </x:c>
      <x:c r="F39" s="30" t="str">
        <x:v>上跳完整送达后才可转发；占用队列和链路</x:v>
      </x:c>
      <x:c r="G39" s="30" t="str">
        <x:v>逐跳发送/接收，保留失败/延迟</x:v>
      </x:c>
      <x:c r="H39" s="30" t="str">
        <x:v>message；radio；link；cache</x:v>
      </x:c>
      <x:c r="I39" s="30" t="str">
        <x:v>message.hop_trace
message.status
radio.queue_bytes</x:v>
      </x:c>
      <x:c r="J39" s="30" t="str">
        <x:v>S04；S17；S25</x:v>
      </x:c>
      <x:c r="K39" s="30" t="str">
        <x:v>https://www.darpa.mil/research/programs/darpa-subterranean-challenge
https://www.nsnam.org/docs/models/html/wifi-design.html</x:v>
      </x:c>
    </x:row>
    <x:row r="40" ht="130" customHeight="1">
      <x:c r="A40" s="30" t="str">
        <x:v>A036</x:v>
      </x:c>
      <x:c r="B40" s="30" t="str">
        <x:v>SendMessage</x:v>
      </x:c>
      <x:c r="C40" s="30" t="str">
        <x:v>通信</x:v>
      </x:c>
      <x:c r="D40" s="30" t="str">
        <x:v>接收者/实际payload</x:v>
      </x:c>
      <x:c r="E40" s="30" t="str">
        <x:v>C31；额定值/资质按设备配置验证</x:v>
      </x:c>
      <x:c r="F40" s="30" t="str">
        <x:v>内容可用、编码实际字节、发送队列可接受；无链路可排队而非瞬间成功</x:v>
      </x:c>
      <x:c r="G40" s="30" t="str">
        <x:v>网络事件决定部分/完整/失败，收件方不提前消费</x:v>
      </x:c>
      <x:c r="H40" s="30" t="str">
        <x:v>message；radio；link；observation；cache；assignment</x:v>
      </x:c>
      <x:c r="I40" s="30" t="str">
        <x:v>message.status
message.sent_s
message.size_bytes
radio.queue_bytes</x:v>
      </x:c>
      <x:c r="J40" s="30" t="str">
        <x:v>S17；S24；S25</x:v>
      </x:c>
      <x:c r="K40" s="30" t="str">
        <x:v>https://www.nsnam.org/docs/models/html/wifi-design.html</x:v>
      </x:c>
    </x:row>
    <x:row r="41" ht="130" customHeight="1">
      <x:c r="A41" s="30" t="str">
        <x:v>A037</x:v>
      </x:c>
      <x:c r="B41" s="30" t="str">
        <x:v>AwaitAck</x:v>
      </x:c>
      <x:c r="C41" s="30" t="str">
        <x:v>通信</x:v>
      </x:c>
      <x:c r="D41" s="30" t="str">
        <x:v>消息/超时/重试策略</x:v>
      </x:c>
      <x:c r="E41" s="30" t="str">
        <x:v>C31；额定值/资质按设备配置验证</x:v>
      </x:c>
      <x:c r="F41" s="30" t="str">
        <x:v>关联消息/版本有效，等待有时间成本</x:v>
      </x:c>
      <x:c r="G41" s="30" t="str">
        <x:v>确认、超时或失败；不把MAC ACK当业务理解</x:v>
      </x:c>
      <x:c r="H41" s="30" t="str">
        <x:v>message；radio；link；task；assignment</x:v>
      </x:c>
      <x:c r="I41" s="30" t="str">
        <x:v>message.ack_state
message.retry_count
assignment.delivery_state</x:v>
      </x:c>
      <x:c r="J41" s="30" t="str">
        <x:v>S17；S24</x:v>
      </x:c>
      <x:c r="K41" s="30" t="str">
        <x:v>https://www.nsnam.org/docs/models/html/wifi-design.html</x:v>
      </x:c>
    </x:row>
    <x:row r="42" ht="130" customHeight="1">
      <x:c r="A42" s="30" t="str">
        <x:v>A038</x:v>
      </x:c>
      <x:c r="B42" s="30" t="str">
        <x:v>RetrieveHistory</x:v>
      </x:c>
      <x:c r="C42" s="30" t="str">
        <x:v>计算工具</x:v>
      </x:c>
      <x:c r="D42" s="30" t="str">
        <x:v>查询/时间/任务/预算</x:v>
      </x:c>
      <x:c r="E42" s="30" t="str">
        <x:v>C39；额定值/资质按设备配置验证</x:v>
      </x:c>
      <x:c r="F42" s="30" t="str">
        <x:v>仅本机记录与已收到副本；索引计算计费</x:v>
      </x:c>
      <x:c r="G42" s="30" t="str">
        <x:v>返回相关证据列表，保留未命中</x:v>
      </x:c>
      <x:c r="H42" s="30" t="str">
        <x:v>cache；observation；belief；task；compute；job</x:v>
      </x:c>
      <x:c r="I42" s="30" t="str">
        <x:v>cache.hit_count
observation.parent_evidence_ids</x:v>
      </x:c>
      <x:c r="J42" s="30" t="str">
        <x:v>S05；S06；S24</x:v>
      </x:c>
      <x:c r="K42" s="30" t="str">
        <x:v>https://4amgodvzx.github.io/ESAR.github.io/
https://github.com/UnrealZoo/RescueBench</x:v>
      </x:c>
    </x:row>
    <x:row r="43" ht="130" customHeight="1">
      <x:c r="A43" s="30" t="str">
        <x:v>A039</x:v>
      </x:c>
      <x:c r="B43" s="30" t="str">
        <x:v>TransformEvidence</x:v>
      </x:c>
      <x:c r="C43" s="30" t="str">
        <x:v>计算工具</x:v>
      </x:c>
      <x:c r="D43" s="30" t="str">
        <x:v>裁剪/编码/压缩参数</x:v>
      </x:c>
      <x:c r="E43" s="30" t="str">
        <x:v>C41；额定值/资质按设备配置验证</x:v>
      </x:c>
      <x:c r="F43" s="30" t="str">
        <x:v>原始内容可读、处理资源足够</x:v>
      </x:c>
      <x:c r="G43" s="30" t="str">
        <x:v>产生新证据与字节/hash/源引用；记录质量变化</x:v>
      </x:c>
      <x:c r="H43" s="30" t="str">
        <x:v>observation；cache；job；service；compute</x:v>
      </x:c>
      <x:c r="I43" s="30" t="str">
        <x:v>observation.payload_ref
observation.payload_bytes
observation.content_hash
observation.parent_evidence_ids</x:v>
      </x:c>
      <x:c r="J43" s="30" t="str">
        <x:v>S24</x:v>
      </x:c>
      <x:c r="K43" s="30" t="str"/>
    </x:row>
    <x:row r="44" ht="130" customHeight="1">
      <x:c r="A44" s="30" t="str">
        <x:v>A040</x:v>
      </x:c>
      <x:c r="B44" s="30" t="str">
        <x:v>FuseEvidence</x:v>
      </x:c>
      <x:c r="C44" s="30" t="str">
        <x:v>计算工具</x:v>
      </x:c>
      <x:c r="D44" s="30" t="str">
        <x:v>证据集合/融合方法</x:v>
      </x:c>
      <x:c r="E44" s="30" t="str">
        <x:v>C44 AND C35；额定值/资质按设备配置验证</x:v>
      </x:c>
      <x:c r="F44" s="30" t="str">
        <x:v>时间/坐标/来源及兼容性检查</x:v>
      </x:c>
      <x:c r="G44" s="30" t="str">
        <x:v>融合结果可冲突/不确定，不能免费获得隐藏答案</x:v>
      </x:c>
      <x:c r="H44" s="30" t="str">
        <x:v>observation；belief；cache；job；compute</x:v>
      </x:c>
      <x:c r="I44" s="30" t="str">
        <x:v>belief.conflict_state
belief.estimated_pose
belief.estimated_damage
belief.human_presence</x:v>
      </x:c>
      <x:c r="J44" s="30" t="str">
        <x:v>S05；S24</x:v>
      </x:c>
      <x:c r="K44" s="30" t="str">
        <x:v>https://4amgodvzx.github.io/ESAR.github.io/</x:v>
      </x:c>
    </x:row>
    <x:row r="45" ht="130" customHeight="1">
      <x:c r="A45" s="30" t="str">
        <x:v>A041</x:v>
      </x:c>
      <x:c r="B45" s="30" t="str">
        <x:v>UpdateBelief</x:v>
      </x:c>
      <x:c r="C45" s="30" t="str">
        <x:v>认知工具</x:v>
      </x:c>
      <x:c r="D45" s="30" t="str">
        <x:v>已见证据/推断</x:v>
      </x:c>
      <x:c r="E45" s="30" t="str">
        <x:v>C44 AND C39；额定值/资质按设备配置验证</x:v>
      </x:c>
      <x:c r="F45" s="30" t="str">
        <x:v>本地可读证据及来源，记录推断而非真值替换</x:v>
      </x:c>
      <x:c r="G45" s="30" t="str">
        <x:v>更新本机环境/队友/搜索认知</x:v>
      </x:c>
      <x:c r="H45" s="30" t="str">
        <x:v>observation；message；belief；task；cache</x:v>
      </x:c>
      <x:c r="I45" s="30" t="str">
        <x:v>belief.evidence_ids
belief.updated_at_s
belief.team_estimates
belief.search_status
belief.current_goal_context</x:v>
      </x:c>
      <x:c r="J45" s="30" t="str">
        <x:v>S24；S25</x:v>
      </x:c>
      <x:c r="K45" s="30" t="str"/>
    </x:row>
    <x:row r="46" ht="130" customHeight="1">
      <x:c r="A46" s="30" t="str">
        <x:v>A042</x:v>
      </x:c>
      <x:c r="B46" s="30" t="str">
        <x:v>DiscoverService</x:v>
      </x:c>
      <x:c r="C46" s="30" t="str">
        <x:v>通信/计算</x:v>
      </x:c>
      <x:c r="D46" s="30" t="str">
        <x:v>能力/模型需求</x:v>
      </x:c>
      <x:c r="E46" s="30" t="str">
        <x:v>C38；额定值/资质按设备配置验证</x:v>
      </x:c>
      <x:c r="F46" s="30" t="str">
        <x:v>远端广告或请求经消息链；结果可能过时</x:v>
      </x:c>
      <x:c r="G46" s="30" t="str">
        <x:v>得到服务能力/可用性估计</x:v>
      </x:c>
      <x:c r="H46" s="30" t="str">
        <x:v>service；compute；link；message；task</x:v>
      </x:c>
      <x:c r="I46" s="30" t="str">
        <x:v>belief.team_estimates</x:v>
      </x:c>
      <x:c r="J46" s="30" t="str">
        <x:v>S20；S24</x:v>
      </x:c>
      <x:c r="K46" s="30" t="str">
        <x:v>https://kubernetes.io/docs/concepts/configuration/manage-resources-containers/</x:v>
      </x:c>
    </x:row>
    <x:row r="47" ht="130" customHeight="1">
      <x:c r="A47" s="30" t="str">
        <x:v>A043</x:v>
      </x:c>
      <x:c r="B47" s="30" t="str">
        <x:v>SelectExecution</x:v>
      </x:c>
      <x:c r="C47" s="30" t="str">
        <x:v>决策计算</x:v>
      </x:c>
      <x:c r="D47" s="30" t="str">
        <x:v>候选节点/模型/预算</x:v>
      </x:c>
      <x:c r="E47" s="30" t="str">
        <x:v>C42 + 所用推理服务能力C13与实际计算资源</x:v>
      </x:c>
      <x:c r="F47" s="30" t="str">
        <x:v>用已知队列和资源估计，不读取未获授权的全球真值</x:v>
      </x:c>
      <x:c r="G47" s="30" t="str">
        <x:v>产生本地/卸载执行方案；选择本身可有推理成本</x:v>
      </x:c>
      <x:c r="H47" s="30" t="str">
        <x:v>service；compute；job；task；belief；cache</x:v>
      </x:c>
      <x:c r="I47" s="30" t="str">
        <x:v>job.service_id
job.deadline_s
job.cpu_request
job.memory_request_bytes</x:v>
      </x:c>
      <x:c r="J47" s="30" t="str">
        <x:v>S20；S21；S24</x:v>
      </x:c>
      <x:c r="K47" s="30" t="str">
        <x:v>https://kubernetes.io/docs/concepts/configuration/manage-resources-containers/
https://docs.mlcommons.org/inference/benchmarks/language/llama3_1-8b/</x:v>
      </x:c>
    </x:row>
    <x:row r="48" ht="130" customHeight="1">
      <x:c r="A48" s="30" t="str">
        <x:v>A044</x:v>
      </x:c>
      <x:c r="B48" s="30" t="str">
        <x:v>EnqueueJob</x:v>
      </x:c>
      <x:c r="C48" s="30" t="str">
        <x:v>计算</x:v>
      </x:c>
      <x:c r="D48" s="30" t="str">
        <x:v>服务/输入/资源需求</x:v>
      </x:c>
      <x:c r="E48" s="30" t="str">
        <x:v>执行主机需C35或C36，并满足服务依赖</x:v>
      </x:c>
      <x:c r="F48" s="30" t="str">
        <x:v>内存/资源准入、输入就绪；不足可排队/拒绝且如实反馈</x:v>
      </x:c>
      <x:c r="G48" s="30" t="str">
        <x:v>资源预留、排队，不能以入队视为完成</x:v>
      </x:c>
      <x:c r="H48" s="30" t="str">
        <x:v>job；compute；service；task；action</x:v>
      </x:c>
      <x:c r="I48" s="30" t="str">
        <x:v>job.status
job.queue_enter_s
compute.queue_ids
compute.cpu_allocated
compute.memory_used_bytes</x:v>
      </x:c>
      <x:c r="J48" s="30" t="str">
        <x:v>S19；S20；S24</x:v>
      </x:c>
      <x:c r="K48" s="30" t="str">
        <x:v>https://design.ros2.org/articles/actions.html
https://kubernetes.io/docs/concepts/configuration/manage-resources-containers/</x:v>
      </x:c>
    </x:row>
    <x:row r="49" ht="130" customHeight="1">
      <x:c r="A49" s="30" t="str">
        <x:v>A045</x:v>
      </x:c>
      <x:c r="B49" s="30" t="str">
        <x:v>ManageModel</x:v>
      </x:c>
      <x:c r="C49" s="30" t="str">
        <x:v>计算</x:v>
      </x:c>
      <x:c r="D49" s="30" t="str">
        <x:v>加载/卸载/模型版本</x:v>
      </x:c>
      <x:c r="E49" s="30" t="str">
        <x:v>C37；额定值/资质按设备配置验证</x:v>
      </x:c>
      <x:c r="F49" s="30" t="str">
        <x:v>权重和许可可用、内存与加载成本满足</x:v>
      </x:c>
      <x:c r="G49" s="30" t="str">
        <x:v>服务ready/unloaded/failed，资源释放或占用</x:v>
      </x:c>
      <x:c r="H49" s="30" t="str">
        <x:v>service；compute；item；job</x:v>
      </x:c>
      <x:c r="I49" s="30" t="str">
        <x:v>service.status
service.host_id
compute.memory_used_bytes
compute.service_ids</x:v>
      </x:c>
      <x:c r="J49" s="30" t="str">
        <x:v>S20；S24</x:v>
      </x:c>
      <x:c r="K49" s="30" t="str">
        <x:v>https://kubernetes.io/docs/concepts/configuration/manage-resources-containers/</x:v>
      </x:c>
    </x:row>
    <x:row r="50" ht="130" customHeight="1">
      <x:c r="A50" s="30" t="str">
        <x:v>A046</x:v>
      </x:c>
      <x:c r="B50" s="30" t="str">
        <x:v>ManageCache</x:v>
      </x:c>
      <x:c r="C50" s="30" t="str">
        <x:v>计算</x:v>
      </x:c>
      <x:c r="D50" s="30" t="str">
        <x:v>缓存/复用/逐出</x:v>
      </x:c>
      <x:c r="E50" s="30" t="str">
        <x:v>C39；额定值/资质按设备配置验证</x:v>
      </x:c>
      <x:c r="F50" s="30" t="str">
        <x:v>模型版本、表示、前缀与权限匹配，存储预算满足</x:v>
      </x:c>
      <x:c r="G50" s="30" t="str">
        <x:v>缓存命中或失败；实际大小计通信/显存</x:v>
      </x:c>
      <x:c r="H50" s="30" t="str">
        <x:v>cache；service；compute；job；observation</x:v>
      </x:c>
      <x:c r="I50" s="30" t="str">
        <x:v>cache.eviction_state
cache.size_bytes
cache.hit_count
cache.reuse_compatible</x:v>
      </x:c>
      <x:c r="J50" s="30" t="str">
        <x:v>S24</x:v>
      </x:c>
      <x:c r="K50" s="30" t="str"/>
    </x:row>
    <x:row r="51" ht="130" customHeight="1">
      <x:c r="A51" s="30" t="str">
        <x:v>A047</x:v>
      </x:c>
      <x:c r="B51" s="30" t="str">
        <x:v>MigrateJob</x:v>
      </x:c>
      <x:c r="C51" s="30" t="str">
        <x:v>计算/通信</x:v>
      </x:c>
      <x:c r="D51" s="30" t="str">
        <x:v>作业/目标节点/检查点</x:v>
      </x:c>
      <x:c r="E51" s="30" t="str">
        <x:v>C37 AND C38；额定值/资质按设备配置验证</x:v>
      </x:c>
      <x:c r="F51" s="30" t="str">
        <x:v>可恢复状态、兼容模型、传输/内存/版本条件</x:v>
      </x:c>
      <x:c r="G51" s="30" t="str">
        <x:v>迁移后恢复，计传输和重启成本；不保证零中断</x:v>
      </x:c>
      <x:c r="H51" s="30" t="str">
        <x:v>job；cache；compute；service；message；task</x:v>
      </x:c>
      <x:c r="I51" s="30" t="str">
        <x:v>job.checkpoint_ref
job.status
service.host_id</x:v>
      </x:c>
      <x:c r="J51" s="30" t="str">
        <x:v>S20；S24</x:v>
      </x:c>
      <x:c r="K51" s="30" t="str">
        <x:v>https://kubernetes.io/docs/concepts/configuration/manage-resources-containers/</x:v>
      </x:c>
    </x:row>
    <x:row r="52" ht="130" customHeight="1">
      <x:c r="A52" s="30" t="str">
        <x:v>A048</x:v>
      </x:c>
      <x:c r="B52" s="30" t="str">
        <x:v>CancelJob</x:v>
      </x:c>
      <x:c r="C52" s="30" t="str">
        <x:v>计算</x:v>
      </x:c>
      <x:c r="D52" s="30" t="str">
        <x:v>作业版本/原因</x:v>
      </x:c>
      <x:c r="E52" s="30" t="str">
        <x:v>C43；额定值/资质按设备配置验证</x:v>
      </x:c>
      <x:c r="F52" s="30" t="str">
        <x:v>作业当前存在、允许取消；已耗成本不退回</x:v>
      </x:c>
      <x:c r="G52" s="30" t="str">
        <x:v>取消回执、释放部分资源，避免晚到结果覆盖新版本</x:v>
      </x:c>
      <x:c r="H52" s="30" t="str">
        <x:v>job；compute；service；task</x:v>
      </x:c>
      <x:c r="I52" s="30" t="str">
        <x:v>job.status
job.failure_reason
compute.queue_ids
compute.running_job_ids</x:v>
      </x:c>
      <x:c r="J52" s="30" t="str">
        <x:v>S19；S24</x:v>
      </x:c>
      <x:c r="K52" s="30" t="str">
        <x:v>https://design.ros2.org/articles/actions.html</x:v>
      </x:c>
    </x:row>
    <x:row r="53" ht="130" customHeight="1">
      <x:c r="A53" s="30" t="str">
        <x:v>A049</x:v>
      </x:c>
      <x:c r="B53" s="30" t="str">
        <x:v>ReleaseCompute</x:v>
      </x:c>
      <x:c r="C53" s="30" t="str">
        <x:v>计算</x:v>
      </x:c>
      <x:c r="D53" s="30" t="str">
        <x:v>资源/完成作业</x:v>
      </x:c>
      <x:c r="E53" s="30" t="str">
        <x:v>C35 AND C37；额定值/资质按设备配置验证</x:v>
      </x:c>
      <x:c r="F53" s="30" t="str">
        <x:v>引用计数和当前占用合法，不释放别人的资源</x:v>
      </x:c>
      <x:c r="G53" s="30" t="str">
        <x:v>资源/服务/缓存按策略释放</x:v>
      </x:c>
      <x:c r="H53" s="30" t="str">
        <x:v>job；compute；service；cache</x:v>
      </x:c>
      <x:c r="I53" s="30" t="str">
        <x:v>compute.cpu_allocated
compute.accelerator_allocated
compute.memory_used_bytes</x:v>
      </x:c>
      <x:c r="J53" s="30" t="str">
        <x:v>S20；S24</x:v>
      </x:c>
      <x:c r="K53" s="30" t="str">
        <x:v>https://kubernetes.io/docs/concepts/configuration/manage-resources-containers/</x:v>
      </x:c>
    </x:row>
    <x:row r="54" ht="130" customHeight="1">
      <x:c r="A54" s="30" t="str">
        <x:v>A050</x:v>
      </x:c>
      <x:c r="B54" s="30" t="str">
        <x:v>ProposeTask</x:v>
      </x:c>
      <x:c r="C54" s="30" t="str">
        <x:v>决策工具</x:v>
      </x:c>
      <x:c r="D54" s="30" t="str">
        <x:v>目标/约束/依赖</x:v>
      </x:c>
      <x:c r="E54" s="30" t="str">
        <x:v>C42；额定值/资质按设备配置验证</x:v>
      </x:c>
      <x:c r="F54" s="30" t="str">
        <x:v>来自用户目标或Agent已知证据，不强制预设搜索树</x:v>
      </x:c>
      <x:c r="G54" s="30" t="str">
        <x:v>生成候选任务与版本，不自动占有执行者</x:v>
      </x:c>
      <x:c r="H54" s="30" t="str">
        <x:v>task；belief；observation；compute；job；region；episode</x:v>
      </x:c>
      <x:c r="I54" s="30" t="str">
        <x:v>task.type
task.goal_predicate
task.dependency_ids
task.status
task.creator_id</x:v>
      </x:c>
      <x:c r="J54" s="30" t="str">
        <x:v>S24</x:v>
      </x:c>
      <x:c r="K54" s="30" t="str"/>
    </x:row>
    <x:row r="55" ht="130" customHeight="1">
      <x:c r="A55" s="30" t="str">
        <x:v>A051</x:v>
      </x:c>
      <x:c r="B55" s="30" t="str">
        <x:v>BidRole</x:v>
      </x:c>
      <x:c r="C55" s="30" t="str">
        <x:v>协作决策</x:v>
      </x:c>
      <x:c r="D55" s="30" t="str">
        <x:v>任务/可参与角色</x:v>
      </x:c>
      <x:c r="E55" s="30" t="str">
        <x:v>C42；额定值/资质按设备配置验证</x:v>
      </x:c>
      <x:c r="F55" s="30" t="str">
        <x:v>根据本机设备资源和已有承诺估计</x:v>
      </x:c>
      <x:c r="G55" s="30" t="str">
        <x:v>本地建议经通信实际送达后可被分配者使用</x:v>
      </x:c>
      <x:c r="H55" s="30" t="str">
        <x:v>platform；equipment；task；assignment；belief；job</x:v>
      </x:c>
      <x:c r="I55" s="30" t="str">
        <x:v>assignment.bid
assignment.decision_reason</x:v>
      </x:c>
      <x:c r="J55" s="30" t="str">
        <x:v>S24；S25</x:v>
      </x:c>
      <x:c r="K55" s="30" t="str"/>
    </x:row>
    <x:row r="56" ht="130" customHeight="1">
      <x:c r="A56" s="30" t="str">
        <x:v>A052</x:v>
      </x:c>
      <x:c r="B56" s="30" t="str">
        <x:v>AssignTask</x:v>
      </x:c>
      <x:c r="C56" s="30" t="str">
        <x:v>协作决策</x:v>
      </x:c>
      <x:c r="D56" s="30" t="str">
        <x:v>任务/执行对象/版本</x:v>
      </x:c>
      <x:c r="E56" s="30" t="str">
        <x:v>C42；额定值/资质按设备配置验证</x:v>
      </x:c>
      <x:c r="F56" s="30" t="str">
        <x:v>基于已收到建议和目标约束；仍需接收/接受</x:v>
      </x:c>
      <x:c r="G56" s="30" t="str">
        <x:v>提交分配与通信；不提前改接收者当前任务</x:v>
      </x:c>
      <x:c r="H56" s="30" t="str">
        <x:v>task；assignment；message；belief；compute；job</x:v>
      </x:c>
      <x:c r="I56" s="30" t="str">
        <x:v>task.assigned_to
task.revision
assignment.task_ref</x:v>
      </x:c>
      <x:c r="J56" s="30" t="str">
        <x:v>S24</x:v>
      </x:c>
      <x:c r="K56" s="30" t="str"/>
    </x:row>
    <x:row r="57" ht="130" customHeight="1">
      <x:c r="A57" s="30" t="str">
        <x:v>A053</x:v>
      </x:c>
      <x:c r="B57" s="30" t="str">
        <x:v>AcceptTask</x:v>
      </x:c>
      <x:c r="C57" s="30" t="str">
        <x:v>协作工具</x:v>
      </x:c>
      <x:c r="D57" s="30" t="str">
        <x:v>已收到任务/版本</x:v>
      </x:c>
      <x:c r="E57" s="30" t="str">
        <x:v>C43；额定值/资质按设备配置验证</x:v>
      </x:c>
      <x:c r="F57" s="30" t="str">
        <x:v>本机真实设备、资源、承诺与版本检查</x:v>
      </x:c>
      <x:c r="G57" s="30" t="str">
        <x:v>接受/拒绝回执，接受后登记承诺</x:v>
      </x:c>
      <x:c r="H57" s="30" t="str">
        <x:v>task；assignment；platform；equipment；message</x:v>
      </x:c>
      <x:c r="I57" s="30" t="str">
        <x:v>task.accepted_by
task.commitment_window
assignment.decision</x:v>
      </x:c>
      <x:c r="J57" s="30" t="str">
        <x:v>S19；S24</x:v>
      </x:c>
      <x:c r="K57" s="30" t="str">
        <x:v>https://design.ros2.org/articles/actions.html</x:v>
      </x:c>
    </x:row>
    <x:row r="58" ht="130" customHeight="1">
      <x:c r="A58" s="30" t="str">
        <x:v>A054</x:v>
      </x:c>
      <x:c r="B58" s="30" t="str">
        <x:v>UpdateTask</x:v>
      </x:c>
      <x:c r="C58" s="30" t="str">
        <x:v>登记工具</x:v>
      </x:c>
      <x:c r="D58" s="30" t="str">
        <x:v>进度/结果/证据</x:v>
      </x:c>
      <x:c r="E58" s="30" t="str">
        <x:v>C43，完成必须依据任务谓词的真实执行证据</x:v>
      </x:c>
      <x:c r="F58" s="30" t="str">
        <x:v>实际执行反馈/结果回执；完成判据匹配</x:v>
      </x:c>
      <x:c r="G58" s="30" t="str">
        <x:v>提交进度/阻塞/完成，失败保留成本</x:v>
      </x:c>
      <x:c r="H58" s="30" t="str">
        <x:v>task；action；message；observation；assignment</x:v>
      </x:c>
      <x:c r="I58" s="30" t="str">
        <x:v>task.status
task.progress
task.result_evidence_ids
task.failure_reason</x:v>
      </x:c>
      <x:c r="J58" s="30" t="str">
        <x:v>S19；S24</x:v>
      </x:c>
      <x:c r="K58" s="30" t="str">
        <x:v>https://design.ros2.org/articles/actions.html</x:v>
      </x:c>
    </x:row>
    <x:row r="59" ht="130" customHeight="1">
      <x:c r="A59" s="30" t="str">
        <x:v>A055</x:v>
      </x:c>
      <x:c r="B59" s="30" t="str">
        <x:v>CancelAction</x:v>
      </x:c>
      <x:c r="C59" s="30" t="str">
        <x:v>控制工具</x:v>
      </x:c>
      <x:c r="D59" s="30" t="str">
        <x:v>动作/任务版本</x:v>
      </x:c>
      <x:c r="E59" s="30" t="str">
        <x:v>C43 AND C45；额定值/资质按设备配置验证</x:v>
      </x:c>
      <x:c r="F59" s="30" t="str">
        <x:v>动作允许取消或等待安全终止；回执才生效</x:v>
      </x:c>
      <x:c r="G59" s="30" t="str">
        <x:v>执行停止/保持/拒绝；保留实际资源消耗</x:v>
      </x:c>
      <x:c r="H59" s="30" t="str">
        <x:v>action；platform；task；equipment</x:v>
      </x:c>
      <x:c r="I59" s="30" t="str">
        <x:v>action.cancel_requested
action.status
platform.motion_state</x:v>
      </x:c>
      <x:c r="J59" s="30" t="str">
        <x:v>S19；S24</x:v>
      </x:c>
      <x:c r="K59" s="30" t="str">
        <x:v>https://design.ros2.org/articles/actions.html</x:v>
      </x:c>
    </x:row>
    <x:row r="60" ht="130" customHeight="1">
      <x:c r="A60" s="30" t="str">
        <x:v>A056</x:v>
      </x:c>
      <x:c r="B60" s="30" t="str">
        <x:v>SuspendTask</x:v>
      </x:c>
      <x:c r="C60" s="30" t="str">
        <x:v>控制工具</x:v>
      </x:c>
      <x:c r="D60" s="30" t="str">
        <x:v>任务/抢占原因</x:v>
      </x:c>
      <x:c r="E60" s="30" t="str">
        <x:v>C43；额定值/资质按设备配置验证</x:v>
      </x:c>
      <x:c r="F60" s="30" t="str">
        <x:v>可抢占/依赖/动作安全边界满足</x:v>
      </x:c>
      <x:c r="G60" s="30" t="str">
        <x:v>保存原承诺/检查点，不瞬间解除物理占用</x:v>
      </x:c>
      <x:c r="H60" s="30" t="str">
        <x:v>task；action；platform；assignment</x:v>
      </x:c>
      <x:c r="I60" s="30" t="str">
        <x:v>task.status
task.original_task_id
task.resume_checkpoint</x:v>
      </x:c>
      <x:c r="J60" s="30" t="str">
        <x:v>S19；S24</x:v>
      </x:c>
      <x:c r="K60" s="30" t="str">
        <x:v>https://design.ros2.org/articles/actions.html</x:v>
      </x:c>
    </x:row>
    <x:row r="61" ht="130" customHeight="1">
      <x:c r="A61" s="30" t="str">
        <x:v>A057</x:v>
      </x:c>
      <x:c r="B61" s="30" t="str">
        <x:v>ResumeTask</x:v>
      </x:c>
      <x:c r="C61" s="30" t="str">
        <x:v>控制工具</x:v>
      </x:c>
      <x:c r="D61" s="30" t="str">
        <x:v>任务/检查点</x:v>
      </x:c>
      <x:c r="E61" s="30" t="str">
        <x:v>C43；额定值/资质按设备配置验证</x:v>
      </x:c>
      <x:c r="F61" s="30" t="str">
        <x:v>版本未过期、资源和环境重新检查</x:v>
      </x:c>
      <x:c r="G61" s="30" t="str">
        <x:v>按当前世界恢复，不直接回放旧路径</x:v>
      </x:c>
      <x:c r="H61" s="30" t="str">
        <x:v>task；action；platform；belief；road</x:v>
      </x:c>
      <x:c r="I61" s="30" t="str">
        <x:v>task.status
task.active_action_ids</x:v>
      </x:c>
      <x:c r="J61" s="30" t="str">
        <x:v>S19；S24</x:v>
      </x:c>
      <x:c r="K61" s="30" t="str">
        <x:v>https://design.ros2.org/articles/actions.html</x:v>
      </x:c>
    </x:row>
    <x:row r="62" ht="130" customHeight="1">
      <x:c r="A62" s="30" t="str">
        <x:v>A058</x:v>
      </x:c>
      <x:c r="B62" s="30" t="str">
        <x:v>TransferTask</x:v>
      </x:c>
      <x:c r="C62" s="30" t="str">
        <x:v>协作工具</x:v>
      </x:c>
      <x:c r="D62" s="30" t="str">
        <x:v>旧承担者/新承担者/证据</x:v>
      </x:c>
      <x:c r="E62" s="30" t="str">
        <x:v>C42 AND C43；额定值/资质按设备配置验证</x:v>
      </x:c>
      <x:c r="F62" s="30" t="str">
        <x:v>新方收到并接受；旧方停止/交接避免双执行</x:v>
      </x:c>
      <x:c r="G62" s="30" t="str">
        <x:v>交接确认后转移承担者与版本；旧主体停止，新主体从合法检查点执行</x:v>
      </x:c>
      <x:c r="H62" s="30" t="str">
        <x:v>task；assignment；message；cache</x:v>
      </x:c>
      <x:c r="I62" s="30" t="str">
        <x:v>task.handoff_target_id
task.accepted_by
task.revision</x:v>
      </x:c>
      <x:c r="J62" s="30" t="str">
        <x:v>S19；S24</x:v>
      </x:c>
      <x:c r="K62" s="30" t="str">
        <x:v>https://design.ros2.org/articles/actions.html</x:v>
      </x:c>
    </x:row>
    <x:row r="63" ht="130" customHeight="1">
      <x:c r="A63" s="30" t="str">
        <x:v>A059</x:v>
      </x:c>
      <x:c r="B63" s="30" t="str">
        <x:v>RequestSpecialist</x:v>
      </x:c>
      <x:c r="C63" s="30" t="str">
        <x:v>外部服务</x:v>
      </x:c>
      <x:c r="D63" s="30" t="str">
        <x:v>所需能力/地点/约束</x:v>
      </x:c>
      <x:c r="E63" s="30" t="str">
        <x:v>C46 AND C31；额定值/资质按设备配置验证</x:v>
      </x:c>
      <x:c r="F63" s="30" t="str">
        <x:v>明确外部力量及响应模型；有消息与执行记录</x:v>
      </x:c>
      <x:c r="G63" s="30" t="str">
        <x:v>等待/拒绝/已到场/结果，不把请求当完成</x:v>
      </x:c>
      <x:c r="H63" s="30" t="str">
        <x:v>task；assignment；message；equipment；platform</x:v>
      </x:c>
      <x:c r="I63" s="30" t="str">
        <x:v>assignment.decision
task.status
task.result_evidence_ids</x:v>
      </x:c>
      <x:c r="J63" s="30" t="str">
        <x:v>S01；S24</x:v>
      </x:c>
      <x:c r="K63" s="30" t="str">
        <x:v>https://insarag.org/wp-content/uploads/2021/06/INSARAG20Guidelines20Vol20II2C20Man20B.pdf</x:v>
      </x:c>
    </x:row>
    <x:row r="64" ht="130" customHeight="1">
      <x:c r="A64" s="30" t="str">
        <x:v>A060</x:v>
      </x:c>
      <x:c r="B64" s="30" t="str">
        <x:v>ArchiveTrace</x:v>
      </x:c>
      <x:c r="C64" s="30" t="str">
        <x:v>记录工具</x:v>
      </x:c>
      <x:c r="D64" s="30" t="str">
        <x:v>输入/动作/结果/成本</x:v>
      </x:c>
      <x:c r="E64" s="30" t="str">
        <x:v>C39；额定值/资质按设备配置验证</x:v>
      </x:c>
      <x:c r="F64" s="30" t="str">
        <x:v>只保存合法可访问数据；评估真值与策略日志分仓</x:v>
      </x:c>
      <x:c r="G64" s="30" t="str">
        <x:v>形成可回放训练记录及版本，不增加任务得分</x:v>
      </x:c>
      <x:c r="H64" s="30" t="str">
        <x:v>task；action；observation；message；job；cache；region；episode</x:v>
      </x:c>
      <x:c r="I64" s="30" t="str">
        <x:v>cache.content_ids
cache.size_bytes</x:v>
      </x:c>
      <x:c r="J64" s="30" t="str">
        <x:v>S05；S06；S24</x:v>
      </x:c>
      <x:c r="K64" s="30" t="str">
        <x:v>https://4amgodvzx.github.io/ESAR.github.io/
https://github.com/UnrealZoo/RescueBench</x:v>
      </x:c>
    </x:row>
    <x:row r="65" ht="130" customHeight="1">
      <x:c r="A65" s="30" t="str">
        <x:v>A061</x:v>
      </x:c>
      <x:c r="B65" s="30" t="str">
        <x:v>DiagnoseRecover</x:v>
      </x:c>
      <x:c r="C65" s="30" t="str">
        <x:v>诊断工具</x:v>
      </x:c>
      <x:c r="D65" s="30" t="str">
        <x:v>设备/服务/故障</x:v>
      </x:c>
      <x:c r="E65" s="30" t="str">
        <x:v>C35 AND C43；额定值/资质按设备配置验证</x:v>
      </x:c>
      <x:c r="F65" s="30" t="str">
        <x:v>实际遥测/日志和授权操作能力</x:v>
      </x:c>
      <x:c r="G65" s="30" t="str">
        <x:v>恢复/隔离/请求回收；不能自动修复物理损伤</x:v>
      </x:c>
      <x:c r="H65" s="30" t="str">
        <x:v>platform；equipment；sensor；compute；service；job；action</x:v>
      </x:c>
      <x:c r="I65" s="30" t="str">
        <x:v>platform.health_state
equipment.health
sensor.health
compute.availability</x:v>
      </x:c>
      <x:c r="J65" s="30" t="str">
        <x:v>S02；S19；S24</x:v>
      </x:c>
      <x:c r="K65" s="30" t="str">
        <x:v>https://www.nist.gov/programs-projects/department-homeland-security-response-robot-performance-standards
https://design.ros2.org/articles/actions.html</x:v>
      </x:c>
    </x:row>
    <x:row r="66" ht="130" customHeight="1">
      <x:c r="A66" s="30" t="str">
        <x:v>A062</x:v>
      </x:c>
      <x:c r="B66" s="30" t="str">
        <x:v>SuppressFire</x:v>
      </x:c>
      <x:c r="C66" s="30" t="str">
        <x:v>专业服务</x:v>
      </x:c>
      <x:c r="D66" s="30" t="str">
        <x:v>火点/灭火介质</x:v>
      </x:c>
      <x:c r="E66" s="30" t="str">
        <x:v>C47；额定值/资质按设备配置验证</x:v>
      </x:c>
      <x:c r="F66" s="30" t="str">
        <x:v>消防能力、距离、安全、供水和耗材条件</x:v>
      </x:c>
      <x:c r="G66" s="30" t="str">
        <x:v>按显式消防模型降低火势；可能不足或复燃</x:v>
      </x:c>
      <x:c r="H66" s="30" t="str">
        <x:v>hazard；equipment；station；platform；action</x:v>
      </x:c>
      <x:c r="I66" s="30" t="str">
        <x:v>hazard.fire_intensity
hazard.active
equipment.consumable_remaining</x:v>
      </x:c>
      <x:c r="J66" s="30" t="str">
        <x:v>S03</x:v>
      </x:c>
      <x:c r="K66" s="30" t="str">
        <x:v>https://roborescue.github.io/rcrs-server/rcrs-server/index.html</x:v>
      </x:c>
    </x:row>
    <x:row r="67" ht="130" customHeight="1">
      <x:c r="A67" s="30" t="str">
        <x:v>A063</x:v>
      </x:c>
      <x:c r="B67" s="30" t="str">
        <x:v>IsolateHazard</x:v>
      </x:c>
      <x:c r="C67" s="30" t="str">
        <x:v>专业服务</x:v>
      </x:c>
      <x:c r="D67" s="30" t="str">
        <x:v>危险源/隔离区域</x:v>
      </x:c>
      <x:c r="E67" s="30" t="str">
        <x:v>C48；额定值/资质按设备配置验证</x:v>
      </x:c>
      <x:c r="F67" s="30" t="str">
        <x:v>明确授权主体、工具和可接近条件</x:v>
      </x:c>
      <x:c r="G67" s="30" t="str">
        <x:v>隔离/警戒状态更新；不凭空消除未处置源</x:v>
      </x:c>
      <x:c r="H67" s="30" t="str">
        <x:v>hazard；equipment；road；platform；action</x:v>
      </x:c>
      <x:c r="I67" s="30" t="str">
        <x:v>hazard.exclusion_zone
hazard.active</x:v>
      </x:c>
      <x:c r="J67" s="30" t="str">
        <x:v>S01；S02</x:v>
      </x:c>
      <x:c r="K67" s="30" t="str">
        <x:v>https://insarag.org/wp-content/uploads/2021/06/INSARAG20Guidelines20Vol20II2C20Man20B.pdf
https://www.nist.gov/programs-projects/department-homeland-security-response-robot-performance-standards</x:v>
      </x:c>
    </x:row>
    <x:row r="68" ht="130" customHeight="1">
      <x:c r="A68" s="30" t="str">
        <x:v>A064</x:v>
      </x:c>
      <x:c r="B68" s="30" t="str">
        <x:v>AdaptRepresentation</x:v>
      </x:c>
      <x:c r="C68" s="30" t="str">
        <x:v>计算工具</x:v>
      </x:c>
      <x:c r="D68" s="30" t="str">
        <x:v>源表示/目标模型/对齐方法</x:v>
      </x:c>
      <x:c r="E68" s="30" t="str">
        <x:v>C49 AND C35；额定值/资质按设备配置验证</x:v>
      </x:c>
      <x:c r="F68" s="30" t="str">
        <x:v>有验证的转换器与版本/形状兼容；否则拒绝或退回原图/文本</x:v>
      </x:c>
      <x:c r="G68" s="30" t="str">
        <x:v>新表示含实际字节/计算成本及质量界限</x:v>
      </x:c>
      <x:c r="H68" s="30" t="str">
        <x:v>cache；service；compute；job；observation</x:v>
      </x:c>
      <x:c r="I68" s="30" t="str">
        <x:v>cache.model_version
cache.reuse_compatible
observation.payload_ref</x:v>
      </x:c>
      <x:c r="J68" s="30" t="str">
        <x:v>S24</x:v>
      </x:c>
      <x:c r="K68" s="30" t="str"/>
    </x:row>
    <x:row r="69" ht="130" customHeight="1">
      <x:c r="A69" s="30" t="str">
        <x:v>A065</x:v>
      </x:c>
      <x:c r="B69" s="30" t="str">
        <x:v>ReceiveMessage</x:v>
      </x:c>
      <x:c r="C69" s="30" t="str">
        <x:v>通信</x:v>
      </x:c>
      <x:c r="D69" s="30" t="str">
        <x:v>消息/分块/版本</x:v>
      </x:c>
      <x:c r="E69" s="30" t="str">
        <x:v>C31；额定值/资质按设备配置验证</x:v>
      </x:c>
      <x:c r="F69" s="30" t="str">
        <x:v>ns-3事件已完整送达；内容校验、收件者和任务版本正确</x:v>
      </x:c>
      <x:c r="G69" s="30" t="str">
        <x:v>收件方获得本地副本，任务可进入received；不因发送或共享路径而提前可读</x:v>
      </x:c>
      <x:c r="H69" s="30" t="str">
        <x:v>message；radio；link；assignment；observation；cache；task</x:v>
      </x:c>
      <x:c r="I69" s="30" t="str">
        <x:v>message.received_fragments
message.status
message.delivered_s
message.local_availability
assignment.delivery_state
task.status</x:v>
      </x:c>
      <x:c r="J69" s="30" t="str">
        <x:v>S17；S24；S25</x:v>
      </x:c>
      <x:c r="K69" s="30" t="str">
        <x:v>https://www.nsnam.org/docs/models/html/wifi-design.html</x:v>
      </x:c>
    </x:row>
    <x:row r="70" ht="130" customHeight="1">
      <x:c r="A70" s="30" t="str">
        <x:v>A066</x:v>
      </x:c>
      <x:c r="B70" s="30" t="str">
        <x:v>PlanRoute</x:v>
      </x:c>
      <x:c r="C70" s="30" t="str">
        <x:v>计算工具</x:v>
      </x:c>
      <x:c r="D70" s="30" t="str">
        <x:v>目标/平台/本地地图</x:v>
      </x:c>
      <x:c r="E70" s="30" t="str">
        <x:v>C14 AND C35；额定值/资质按设备配置验证</x:v>
      </x:c>
      <x:c r="F70" s="30" t="str">
        <x:v>仅使用本机已知地图、设备包络与能源估计；计算作业计费</x:v>
      </x:c>
      <x:c r="G70" s="30" t="str">
        <x:v>输出候选路径/代价及不确定性，实际通行由执行反馈判定</x:v>
      </x:c>
      <x:c r="H70" s="30" t="str">
        <x:v>belief；road；platform；task；compute；job；region；episode</x:v>
      </x:c>
      <x:c r="I70" s="30" t="str">
        <x:v>job.result_ref
action.parameters</x:v>
      </x:c>
      <x:c r="J70" s="30" t="str">
        <x:v>S02；S03；S16；S24</x:v>
      </x:c>
      <x:c r="K70" s="30" t="str">
        <x:v>https://www.nist.gov/programs-projects/department-homeland-security-response-robot-performance-standards
https://roborescue.github.io/rcrs-server/rcrs-server/index.html
https://github.com/AirVLN/AirVLN</x:v>
      </x:c>
    </x:row>
  </x:sheetData>
  <x:mergeCells>
    <x:mergeCell ref="A1:K1"/>
    <x:mergeCell ref="A2:K2"/>
  </x:mergeCells>
  <x:pageMargins left="0.7" right="0.7" top="0.75" bottom="0.75" header="0.3" footer="0.3"/>
  <x:tableParts count="1">
    <x:tablePart xmlns:r="http://schemas.openxmlformats.org/officeDocument/2006/relationships" r:id="R154390d216a147df"/>
  </x:tableParts>
</x:worksheet>
</file>

<file path=xl/worksheets/sheet10.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38" hidden="0" customWidth="1"/>
    <x:col min="3" max="3" width="38" hidden="0" customWidth="1"/>
    <x:col min="4" max="4" width="60" hidden="0" customWidth="1"/>
    <x:col min="5" max="5" width="24" hidden="0" customWidth="1"/>
    <x:col min="6" max="6" width="70" hidden="0" customWidth="1"/>
    <x:col min="7" max="7" width="20" hidden="0" customWidth="1"/>
    <x:col min="8" max="8" width="55" hidden="0" customWidth="1"/>
  </x:cols>
  <x:sheetData>
    <x:row r="1" ht="33" customHeight="1">
      <x:c r="A1" s="8" t="str">
        <x:v>49项设备/软件/专业能力</x:v>
      </x:c>
      <x:c r="B1" s="8"/>
      <x:c r="C1" s="8"/>
      <x:c r="D1" s="8"/>
      <x:c r="E1" s="8"/>
      <x:c r="F1" s="8"/>
      <x:c r="G1" s="8"/>
      <x:c r="H1" s="8"/>
    </x:row>
    <x:row r="2" ht="34" customHeight="1">
      <x:c r="A2" s="15" t="str">
        <x:v>能力必须对应可用的设备、执行程序或明确外部服务；列在目录中不代表UAV/机器狗天然具备，更不是产品认证</x:v>
      </x:c>
      <x:c r="B2" s="15"/>
      <x:c r="C2" s="15"/>
      <x:c r="D2" s="15"/>
      <x:c r="E2" s="15"/>
      <x:c r="F2" s="15"/>
      <x:c r="G2" s="15"/>
      <x:c r="H2" s="15"/>
    </x:row>
    <x:row r="3">
      <x:c r="A3" s="4"/>
      <x:c r="B3" s="4"/>
      <x:c r="C3" s="4"/>
      <x:c r="D3" s="4"/>
      <x:c r="E3" s="4"/>
      <x:c r="F3" s="4"/>
      <x:c r="G3" s="4"/>
      <x:c r="H3" s="4"/>
    </x:row>
    <x:row r="4" ht="29" customHeight="1">
      <x:c r="A4" s="23" t="str">
        <x:v>能力ID</x:v>
      </x:c>
      <x:c r="B4" s="23" t="str">
        <x:v>能力名称</x:v>
      </x:c>
      <x:c r="C4" s="23" t="str">
        <x:v>执行主体/设备</x:v>
      </x:c>
      <x:c r="D4" s="23" t="str">
        <x:v>必要条件</x:v>
      </x:c>
      <x:c r="E4" s="23" t="str">
        <x:v>范围</x:v>
      </x:c>
      <x:c r="F4" s="23" t="str">
        <x:v>关联任务</x:v>
      </x:c>
      <x:c r="G4" s="23" t="str">
        <x:v>来源ID</x:v>
      </x:c>
      <x:c r="H4" s="23" t="str">
        <x:v>来源URL</x:v>
      </x:c>
    </x:row>
    <x:row r="5" ht="106" customHeight="1">
      <x:c r="A5" s="30" t="str">
        <x:v>C01</x:v>
      </x:c>
      <x:c r="B5" s="30" t="str">
        <x:v>空中航点运动与安全保持</x:v>
      </x:c>
      <x:c r="C5" s="30" t="str">
        <x:v>UAV飞行执行端</x:v>
      </x:c>
      <x:c r="D5" s="30" t="str">
        <x:v>飞行范围、姿态/位置接口、能源余量</x:v>
      </x:c>
      <x:c r="E5" s="30" t="str">
        <x:v>基础</x:v>
      </x:c>
      <x:c r="F5" s="30" t="str">
        <x:v>T001；T002；T003；T004；T005；T006；T009；T010；T011；T016；T018；T019；T027；T030；T039；T043；T044；T045；T048；T049；T050；T054；T056；T084</x:v>
      </x:c>
      <x:c r="G5" s="30" t="str">
        <x:v>S02；S05；S24</x:v>
      </x:c>
      <x:c r="H5" s="30" t="str">
        <x:v>https://www.nist.gov/programs-projects/department-homeland-security-response-robot-performance-standards
https://4amgodvzx.github.io/ESAR.github.io/</x:v>
      </x:c>
    </x:row>
    <x:row r="6" ht="106" customHeight="1">
      <x:c r="A6" s="30" t="str">
        <x:v>C02</x:v>
      </x:c>
      <x:c r="B6" s="30" t="str">
        <x:v>地面路线运动与入口接近</x:v>
      </x:c>
      <x:c r="C6" s="30" t="str">
        <x:v>狗/轮式车</x:v>
      </x:c>
      <x:c r="D6" s="30" t="str">
        <x:v>外廓、扫掠包络、路面与涉水限制</x:v>
      </x:c>
      <x:c r="E6" s="30" t="str">
        <x:v>基础</x:v>
      </x:c>
      <x:c r="F6" s="30" t="str">
        <x:v>T003；T004；T006；T010；T011；T013；T014；T015；T016；T017；T018；T020；T021；T022；T027；T028；T030；T040；T042；T043；T044；T045；T048；T050；T054；T056；T084；T094</x:v>
      </x:c>
      <x:c r="G6" s="30" t="str">
        <x:v>S02；S03；S24</x:v>
      </x:c>
      <x:c r="H6" s="30" t="str">
        <x:v>https://www.nist.gov/programs-projects/department-homeland-security-response-robot-performance-standards
https://roborescue.github.io/rcrs-server/rcrs-server/index.html</x:v>
      </x:c>
    </x:row>
    <x:row r="7" ht="106" customHeight="1">
      <x:c r="A7" s="30" t="str">
        <x:v>C03</x:v>
      </x:c>
      <x:c r="B7" s="30" t="str">
        <x:v>水上机动</x:v>
      </x:c>
      <x:c r="C7" s="30" t="str">
        <x:v>船/水面机器人</x:v>
      </x:c>
      <x:c r="D7" s="30" t="str">
        <x:v>浮航能力、载重、适用海况及控制接口</x:v>
      </x:c>
      <x:c r="E7" s="30" t="str">
        <x:v>扩展能力</x:v>
      </x:c>
      <x:c r="F7" s="30" t="str">
        <x:v>T036</x:v>
      </x:c>
      <x:c r="G7" s="30" t="str">
        <x:v>S02；S12；S13</x:v>
      </x:c>
      <x:c r="H7" s="30" t="str">
        <x:v>https://www.nist.gov/programs-projects/department-homeland-security-response-robot-performance-standards
https://seadronessee.cs.uni-tuebingen.de/leaderboard
https://arxiv.org/abs/2203.07973</x:v>
      </x:c>
    </x:row>
    <x:row r="8" ht="106" customHeight="1">
      <x:c r="A8" s="30" t="str">
        <x:v>C04</x:v>
      </x:c>
      <x:c r="B8" s="30" t="str">
        <x:v>相机/机器人空间定位</x:v>
      </x:c>
      <x:c r="C8" s="30" t="str">
        <x:v>定位服务</x:v>
      </x:c>
      <x:c r="D8" s="30" t="str">
        <x:v>同步时间、内外参、位姿来源与误差</x:v>
      </x:c>
      <x:c r="E8" s="30" t="str">
        <x:v>基础</x:v>
      </x:c>
      <x:c r="F8" s="30" t="str">
        <x:v>T005；T009；T012；T013；T016；T017；T018；T069</x:v>
      </x:c>
      <x:c r="G8" s="30" t="str">
        <x:v>S02；S05；S25</x:v>
      </x:c>
      <x:c r="H8" s="30" t="str">
        <x:v>https://www.nist.gov/programs-projects/department-homeland-security-response-robot-performance-standards
https://4amgodvzx.github.io/ESAR.github.io/</x:v>
      </x:c>
    </x:row>
    <x:row r="9" ht="106" customHeight="1">
      <x:c r="A9" s="30" t="str">
        <x:v>C05</x:v>
      </x:c>
      <x:c r="B9" s="30" t="str">
        <x:v>可见光采集</x:v>
      </x:c>
      <x:c r="C9" s="30" t="str">
        <x:v>RGB相机</x:v>
      </x:c>
      <x:c r="D9" s="30" t="str">
        <x:v>视场、曝光、尺寸、采样与安装遮挡</x:v>
      </x:c>
      <x:c r="E9" s="30" t="str">
        <x:v>基础</x:v>
      </x:c>
      <x:c r="F9" s="30" t="str">
        <x:v>T001；T002；T003；T004；T005；T006；T007；T009；T010；T011；T012；T013；T016；T017；T018；T030；T041；T058；T089；T091；T093</x:v>
      </x:c>
      <x:c r="G9" s="30" t="str">
        <x:v>S02；S05；S07；S11</x:v>
      </x:c>
      <x:c r="H9" s="30" t="str">
        <x:v>https://www.nist.gov/programs-projects/department-homeland-security-response-robot-performance-standards
https://4amgodvzx.github.io/ESAR.github.io/
https://github.com/BinaLab/RescueNet-A-High-Resolution-Post-Disaster-UAV-Dataset-for-Semantic-Segmentation
https://arxiv.org/abs/2309.09518</x:v>
      </x:c>
    </x:row>
    <x:row r="10" ht="106" customHeight="1">
      <x:c r="A10" s="30" t="str">
        <x:v>C06</x:v>
      </x:c>
      <x:c r="B10" s="30" t="str">
        <x:v>热成像采集</x:v>
      </x:c>
      <x:c r="C10" s="30" t="str">
        <x:v>热像仪</x:v>
      </x:c>
      <x:c r="D10" s="30" t="str">
        <x:v>设备安装、模型与温度信号校准；不视为透墙</x:v>
      </x:c>
      <x:c r="E10" s="30" t="str">
        <x:v>扩展能力</x:v>
      </x:c>
      <x:c r="F10" s="30" t="str">
        <x:v>T016</x:v>
      </x:c>
      <x:c r="G10" s="30" t="str">
        <x:v>S02；S25</x:v>
      </x:c>
      <x:c r="H10" s="30" t="str">
        <x:v>https://www.nist.gov/programs-projects/department-homeland-security-response-robot-performance-standards</x:v>
      </x:c>
    </x:row>
    <x:row r="11" ht="106" customHeight="1">
      <x:c r="A11" s="30" t="str">
        <x:v>C07</x:v>
      </x:c>
      <x:c r="B11" s="30" t="str">
        <x:v>声音探测</x:v>
      </x:c>
      <x:c r="C11" s="30" t="str">
        <x:v>麦克风/声学服务</x:v>
      </x:c>
      <x:c r="D11" s="30" t="str">
        <x:v>有效频带、噪声条件和可检测声源</x:v>
      </x:c>
      <x:c r="E11" s="30" t="str">
        <x:v>扩展能力</x:v>
      </x:c>
      <x:c r="F11" s="30" t="str">
        <x:v>T017</x:v>
      </x:c>
      <x:c r="G11" s="30" t="str">
        <x:v>S01；S02</x:v>
      </x:c>
      <x:c r="H11" s="30" t="str">
        <x:v>https://insarag.org/wp-content/uploads/2021/06/INSARAG20Guidelines20Vol20II2C20Man20B.pdf
https://www.nist.gov/programs-projects/department-homeland-security-response-robot-performance-standards</x:v>
      </x:c>
    </x:row>
    <x:row r="12" ht="106" customHeight="1">
      <x:c r="A12" s="30" t="str">
        <x:v>C08</x:v>
      </x:c>
      <x:c r="B12" s="30" t="str">
        <x:v>授权RF/手机信号探测</x:v>
      </x:c>
      <x:c r="C12" s="30" t="str">
        <x:v>RF定位设备</x:v>
      </x:c>
      <x:c r="D12" s="30" t="str">
        <x:v>授权信号、设备/协议支持；不默认普通Wi-Fi可定位手机</x:v>
      </x:c>
      <x:c r="E12" s="30" t="str">
        <x:v>扩展能力</x:v>
      </x:c>
      <x:c r="F12" s="30" t="str">
        <x:v>T018</x:v>
      </x:c>
      <x:c r="G12" s="30" t="str">
        <x:v>S02；S04</x:v>
      </x:c>
      <x:c r="H12" s="30" t="str">
        <x:v>https://www.nist.gov/programs-projects/department-homeland-security-response-robot-performance-standards
https://www.darpa.mil/research/programs/darpa-subterranean-challenge</x:v>
      </x:c>
    </x:row>
    <x:row r="13" ht="106" customHeight="1">
      <x:c r="A13" s="30" t="str">
        <x:v>C09</x:v>
      </x:c>
      <x:c r="B13" s="30" t="str">
        <x:v>深度/距离测量</x:v>
      </x:c>
      <x:c r="C13" s="30" t="str">
        <x:v>深度相机/LiDAR</x:v>
      </x:c>
      <x:c r="D13" s="30" t="str">
        <x:v>距离/FOV/精度和可用数据输出</x:v>
      </x:c>
      <x:c r="E13" s="30" t="str">
        <x:v>基础</x:v>
      </x:c>
      <x:c r="F13" s="30" t="str">
        <x:v>T003；T004；T013；T020；T021；T022；T023；T024；T026</x:v>
      </x:c>
      <x:c r="G13" s="30" t="str">
        <x:v>S02；S05</x:v>
      </x:c>
      <x:c r="H13" s="30" t="str">
        <x:v>https://www.nist.gov/programs-projects/department-homeland-security-response-robot-performance-standards
https://4amgodvzx.github.io/ESAR.github.io/</x:v>
      </x:c>
    </x:row>
    <x:row r="14" ht="106" customHeight="1">
      <x:c r="A14" s="30" t="str">
        <x:v>C10</x:v>
      </x:c>
      <x:c r="B14" s="30" t="str">
        <x:v>危险气体/环境测量</x:v>
      </x:c>
      <x:c r="C14" s="30" t="str">
        <x:v>环境传感器</x:v>
      </x:c>
      <x:c r="D14" s="30" t="str">
        <x:v>被测物质、量程和报警阈值来源</x:v>
      </x:c>
      <x:c r="E14" s="30" t="str">
        <x:v>扩展能力</x:v>
      </x:c>
      <x:c r="F14" s="30" t="str">
        <x:v>T006</x:v>
      </x:c>
      <x:c r="G14" s="30" t="str">
        <x:v>S02；S04</x:v>
      </x:c>
      <x:c r="H14" s="30" t="str">
        <x:v>https://www.nist.gov/programs-projects/department-homeland-security-response-robot-performance-standards
https://www.darpa.mil/research/programs/darpa-subterranean-challenge</x:v>
      </x:c>
    </x:row>
    <x:row r="15" ht="106" customHeight="1">
      <x:c r="A15" s="30" t="str">
        <x:v>C11</x:v>
      </x:c>
      <x:c r="B15" s="30" t="str">
        <x:v>语音/显示引导与联络</x:v>
      </x:c>
      <x:c r="C15" s="30" t="str">
        <x:v>扬声器/显示或人员</x:v>
      </x:c>
      <x:c r="D15" s="30" t="str">
        <x:v>双向确认的能力边界</x:v>
      </x:c>
      <x:c r="E15" s="30" t="str">
        <x:v>基础</x:v>
      </x:c>
      <x:c r="F15" s="30" t="str">
        <x:v>T027；T028</x:v>
      </x:c>
      <x:c r="G15" s="30" t="str">
        <x:v>S01；S25</x:v>
      </x:c>
      <x:c r="H15" s="30" t="str">
        <x:v>https://insarag.org/wp-content/uploads/2021/06/INSARAG20Guidelines20Vol20II2C20Man20B.pdf</x:v>
      </x:c>
    </x:row>
    <x:row r="16" ht="106" customHeight="1">
      <x:c r="A16" s="30" t="str">
        <x:v>C12</x:v>
      </x:c>
      <x:c r="B16" s="30" t="str">
        <x:v>视觉检测与证据分类</x:v>
      </x:c>
      <x:c r="C16" s="30" t="str">
        <x:v>检测软件服务</x:v>
      </x:c>
      <x:c r="D16" s="30" t="str">
        <x:v>真实输入、模型/算法与资源profile</x:v>
      </x:c>
      <x:c r="E16" s="30" t="str">
        <x:v>基础</x:v>
      </x:c>
      <x:c r="F16" s="30" t="str">
        <x:v>T001；T002；T006；T007；T009；T010；T011；T013；T016；T017；T018；T058；T059；T060；T062；T064；T065；T066；T067；T072；T077；T078；T080；T086；T089</x:v>
      </x:c>
      <x:c r="G16" s="30" t="str">
        <x:v>S05；S07；S08；S11</x:v>
      </x:c>
      <x:c r="H16" s="30" t="str">
        <x:v>https://4amgodvzx.github.io/ESAR.github.io/
https://github.com/BinaLab/RescueNet-A-High-Resolution-Post-Disaster-UAV-Dataset-for-Semantic-Segmentation
https://github.com/BinaLab/FloodNet-Supervised_v1.0
https://arxiv.org/abs/2309.09518</x:v>
      </x:c>
    </x:row>
    <x:row r="17" ht="106" customHeight="1">
      <x:c r="A17" s="30" t="str">
        <x:v>C13</x:v>
      </x:c>
      <x:c r="B17" s="30" t="str">
        <x:v>视觉语言/任务推理</x:v>
      </x:c>
      <x:c r="C17" s="30" t="str">
        <x:v>VLM/LLM服务</x:v>
      </x:c>
      <x:c r="D17" s="30" t="str">
        <x:v>输入格式、上下文、实际推理结果和计算消耗</x:v>
      </x:c>
      <x:c r="E17" s="30" t="str">
        <x:v>基础</x:v>
      </x:c>
      <x:c r="F17" s="30" t="str">
        <x:v>T059；T060；T061；T066；T074</x:v>
      </x:c>
      <x:c r="G17" s="30" t="str">
        <x:v>S05；S06；S24</x:v>
      </x:c>
      <x:c r="H17" s="30" t="str">
        <x:v>https://4amgodvzx.github.io/ESAR.github.io/
https://github.com/UnrealZoo/RescueBench</x:v>
      </x:c>
    </x:row>
    <x:row r="18" ht="106" customHeight="1">
      <x:c r="A18" s="30" t="str">
        <x:v>C14</x:v>
      </x:c>
      <x:c r="B18" s="30" t="str">
        <x:v>地图匹配与路线规划</x:v>
      </x:c>
      <x:c r="C18" s="30" t="str">
        <x:v>规划软件服务</x:v>
      </x:c>
      <x:c r="D18" s="30" t="str">
        <x:v>局部认知地图、平台通行模型</x:v>
      </x:c>
      <x:c r="E18" s="30" t="str">
        <x:v>基础</x:v>
      </x:c>
      <x:c r="F18" s="30" t="str">
        <x:v>T003；T004；T013；T019；T020；T021；T022；T023；T024；T026</x:v>
      </x:c>
      <x:c r="G18" s="30" t="str">
        <x:v>S03；S05；S16</x:v>
      </x:c>
      <x:c r="H18" s="30" t="str">
        <x:v>https://roborescue.github.io/rcrs-server/rcrs-server/index.html
https://4amgodvzx.github.io/ESAR.github.io/
https://github.com/AirVLN/AirVLN</x:v>
      </x:c>
    </x:row>
    <x:row r="19" ht="106" customHeight="1">
      <x:c r="A19" s="30" t="str">
        <x:v>C15</x:v>
      </x:c>
      <x:c r="B19" s="30" t="str">
        <x:v>抽象室内搜索执行</x:v>
      </x:c>
      <x:c r="C19" s="30" t="str">
        <x:v>狗的搜索后端/外部队伍</x:v>
      </x:c>
      <x:c r="D19" s="30" t="str">
        <x:v>到达入口、占用主体、搜索耗时/漏检模型；非真实室内视觉</x:v>
      </x:c>
      <x:c r="E19" s="30" t="str">
        <x:v>基础</x:v>
      </x:c>
      <x:c r="F19" s="30" t="str">
        <x:v>T014；T015</x:v>
      </x:c>
      <x:c r="G19" s="30" t="str">
        <x:v>S01；S24</x:v>
      </x:c>
      <x:c r="H19" s="30" t="str">
        <x:v>https://insarag.org/wp-content/uploads/2021/06/INSARAG20Guidelines20Vol20II2C20Man20B.pdf</x:v>
      </x:c>
    </x:row>
    <x:row r="20" ht="106" customHeight="1">
      <x:c r="A20" s="30" t="str">
        <x:v>C16</x:v>
      </x:c>
      <x:c r="B20" s="30" t="str">
        <x:v>轻物操纵与轻残骸移除</x:v>
      </x:c>
      <x:c r="C20" s="30" t="str">
        <x:v>夹爪/机械臂/人员</x:v>
      </x:c>
      <x:c r="D20" s="30" t="str">
        <x:v>额定负载、作用范围、材料兼容</x:v>
      </x:c>
      <x:c r="E20" s="30" t="str">
        <x:v>基础</x:v>
      </x:c>
      <x:c r="F20" s="30" t="str">
        <x:v>T022</x:v>
      </x:c>
      <x:c r="G20" s="30" t="str">
        <x:v>S01；S02</x:v>
      </x:c>
      <x:c r="H20" s="30" t="str">
        <x:v>https://insarag.org/wp-content/uploads/2021/06/INSARAG20Guidelines20Vol20II2C20Man20B.pdf
https://www.nist.gov/programs-projects/department-homeland-security-response-robot-performance-standards</x:v>
      </x:c>
    </x:row>
    <x:row r="21" ht="106" customHeight="1">
      <x:c r="A21" s="30" t="str">
        <x:v>C17</x:v>
      </x:c>
      <x:c r="B21" s="30" t="str">
        <x:v>工程重型清障</x:v>
      </x:c>
      <x:c r="C21" s="30" t="str">
        <x:v>工程车/专业队伍</x:v>
      </x:c>
      <x:c r="D21" s="30" t="str">
        <x:v>铲具/切割/清运设备和作业量约束</x:v>
      </x:c>
      <x:c r="E21" s="30" t="str">
        <x:v>扩展能力</x:v>
      </x:c>
      <x:c r="F21" s="30" t="str">
        <x:v>T023</x:v>
      </x:c>
      <x:c r="G21" s="30" t="str">
        <x:v>S01；S03</x:v>
      </x:c>
      <x:c r="H21" s="30" t="str">
        <x:v>https://insarag.org/wp-content/uploads/2021/06/INSARAG20Guidelines20Vol20II2C20Man20B.pdf
https://roborescue.github.io/rcrs-server/rcrs-server/index.html</x:v>
      </x:c>
    </x:row>
    <x:row r="22" ht="106" customHeight="1">
      <x:c r="A22" s="30" t="str">
        <x:v>C18</x:v>
      </x:c>
      <x:c r="B22" s="30" t="str">
        <x:v>门体/墙体破拆</x:v>
      </x:c>
      <x:c r="C22" s="30" t="str">
        <x:v>专业破拆装备/队伍</x:v>
      </x:c>
      <x:c r="D22" s="30" t="str">
        <x:v>授权、材料、工具和安全条件</x:v>
      </x:c>
      <x:c r="E22" s="30" t="str">
        <x:v>扩展能力</x:v>
      </x:c>
      <x:c r="F22" s="30" t="str">
        <x:v>T024；T032</x:v>
      </x:c>
      <x:c r="G22" s="30" t="str">
        <x:v>S01</x:v>
      </x:c>
      <x:c r="H22" s="30" t="str">
        <x:v>https://insarag.org/wp-content/uploads/2021/06/INSARAG20Guidelines20Vol20II2C20Man20B.pdf</x:v>
      </x:c>
    </x:row>
    <x:row r="23" ht="106" customHeight="1">
      <x:c r="A23" s="30" t="str">
        <x:v>C19</x:v>
      </x:c>
      <x:c r="B23" s="30" t="str">
        <x:v>结构临时支撑</x:v>
      </x:c>
      <x:c r="C23" s="30" t="str">
        <x:v>专业支撑队伍</x:v>
      </x:c>
      <x:c r="D23" s="30" t="str">
        <x:v>支撑设备、现场条件和专业服务执行</x:v>
      </x:c>
      <x:c r="E23" s="30" t="str">
        <x:v>扩展能力</x:v>
      </x:c>
      <x:c r="F23" s="30" t="str">
        <x:v>T025；T032</x:v>
      </x:c>
      <x:c r="G23" s="30" t="str">
        <x:v>S01</x:v>
      </x:c>
      <x:c r="H23" s="30" t="str">
        <x:v>https://insarag.org/wp-content/uploads/2021/06/INSARAG20Guidelines20Vol20II2C20Man20B.pdf</x:v>
      </x:c>
    </x:row>
    <x:row r="24" ht="106" customHeight="1">
      <x:c r="A24" s="30" t="str">
        <x:v>C20</x:v>
      </x:c>
      <x:c r="B24" s="30" t="str">
        <x:v>重物吊升</x:v>
      </x:c>
      <x:c r="C24" s="30" t="str">
        <x:v>起重/顶升设备</x:v>
      </x:c>
      <x:c r="D24" s="30" t="str">
        <x:v>额定工作载荷、稳定支撑和作用范围</x:v>
      </x:c>
      <x:c r="E24" s="30" t="str">
        <x:v>扩展能力</x:v>
      </x:c>
      <x:c r="F24" s="30" t="str">
        <x:v>T026；T032</x:v>
      </x:c>
      <x:c r="G24" s="30" t="str">
        <x:v>S01；S02</x:v>
      </x:c>
      <x:c r="H24" s="30" t="str">
        <x:v>https://insarag.org/wp-content/uploads/2021/06/INSARAG20Guidelines20Vol20II2C20Man20B.pdf
https://www.nist.gov/programs-projects/department-homeland-security-response-robot-performance-standards</x:v>
      </x:c>
    </x:row>
    <x:row r="25" ht="106" customHeight="1">
      <x:c r="A25" s="30" t="str">
        <x:v>C21</x:v>
      </x:c>
      <x:c r="B25" s="30" t="str">
        <x:v>专业评估与急救</x:v>
      </x:c>
      <x:c r="C25" s="30" t="str">
        <x:v>医护/明确外部医疗服务</x:v>
      </x:c>
      <x:c r="D25" s="30" t="str">
        <x:v>资质与耗材；普通医疗包不等于治疗能力</x:v>
      </x:c>
      <x:c r="E25" s="30" t="str">
        <x:v>扩展能力</x:v>
      </x:c>
      <x:c r="F25" s="30" t="str">
        <x:v>T029；T031</x:v>
      </x:c>
      <x:c r="G25" s="30" t="str">
        <x:v>S01；S24</x:v>
      </x:c>
      <x:c r="H25" s="30" t="str">
        <x:v>https://insarag.org/wp-content/uploads/2021/06/INSARAG20Guidelines20Vol20II2C20Man20B.pdf</x:v>
      </x:c>
    </x:row>
    <x:row r="26" ht="106" customHeight="1">
      <x:c r="A26" s="30" t="str">
        <x:v>C22</x:v>
      </x:c>
      <x:c r="B26" s="30" t="str">
        <x:v>人员搬运/承载/转运</x:v>
      </x:c>
      <x:c r="C26" s="30" t="str">
        <x:v>担架队/救护车/合格载具</x:v>
      </x:c>
      <x:c r="D26" s="30" t="str">
        <x:v>承载额定值、受困已解除、接收点能力</x:v>
      </x:c>
      <x:c r="E26" s="30" t="str">
        <x:v>扩展能力</x:v>
      </x:c>
      <x:c r="F26" s="30" t="str">
        <x:v>T033；T034；T035；T036；T037</x:v>
      </x:c>
      <x:c r="G26" s="30" t="str">
        <x:v>S01；S03；S06</x:v>
      </x:c>
      <x:c r="H26" s="30" t="str">
        <x:v>https://insarag.org/wp-content/uploads/2021/06/INSARAG20Guidelines20Vol20II2C20Man20B.pdf
https://roborescue.github.io/rcrs-server/rcrs-server/index.html
https://github.com/UnrealZoo/RescueBench</x:v>
      </x:c>
    </x:row>
    <x:row r="27" ht="106" customHeight="1">
      <x:c r="A27" s="30" t="str">
        <x:v>C23</x:v>
      </x:c>
      <x:c r="B27" s="30" t="str">
        <x:v>水上救助回收</x:v>
      </x:c>
      <x:c r="C27" s="30" t="str">
        <x:v>救援船/具备设备的队伍</x:v>
      </x:c>
      <x:c r="D27" s="30" t="str">
        <x:v>水域救助设备、平台/海况边界</x:v>
      </x:c>
      <x:c r="E27" s="30" t="str">
        <x:v>扩展能力</x:v>
      </x:c>
      <x:c r="F27" s="30" t="str">
        <x:v>T036</x:v>
      </x:c>
      <x:c r="G27" s="30" t="str">
        <x:v>S02；S12；S13</x:v>
      </x:c>
      <x:c r="H27" s="30" t="str">
        <x:v>https://www.nist.gov/programs-projects/department-homeland-security-response-robot-performance-standards
https://seadronessee.cs.uni-tuebingen.de/leaderboard
https://arxiv.org/abs/2203.07973</x:v>
      </x:c>
    </x:row>
    <x:row r="28" ht="106" customHeight="1">
      <x:c r="A28" s="30" t="str">
        <x:v>C24</x:v>
      </x:c>
      <x:c r="B28" s="30" t="str">
        <x:v>货物装载挂接</x:v>
      </x:c>
      <x:c r="C28" s="30" t="str">
        <x:v>载物架/装载机构/人员</x:v>
      </x:c>
      <x:c r="D28" s="30" t="str">
        <x:v>载重/体积/接口/实际物品</x:v>
      </x:c>
      <x:c r="E28" s="30" t="str">
        <x:v>基础</x:v>
      </x:c>
      <x:c r="F28" s="30" t="str">
        <x:v>T030；T038；T039；T040；T042；T050</x:v>
      </x:c>
      <x:c r="G28" s="30" t="str">
        <x:v>S02；S24；S25</x:v>
      </x:c>
      <x:c r="H28" s="30" t="str">
        <x:v>https://www.nist.gov/programs-projects/department-homeland-security-response-robot-performance-standards</x:v>
      </x:c>
    </x:row>
    <x:row r="29" ht="106" customHeight="1">
      <x:c r="A29" s="30" t="str">
        <x:v>C25</x:v>
      </x:c>
      <x:c r="B29" s="30" t="str">
        <x:v>空中货物释放</x:v>
      </x:c>
      <x:c r="C29" s="30" t="str">
        <x:v>释放机构</x:v>
      </x:c>
      <x:c r="D29" s="30" t="str">
        <x:v>挂载锁、释放命令、落点与回执</x:v>
      </x:c>
      <x:c r="E29" s="30" t="str">
        <x:v>基础</x:v>
      </x:c>
      <x:c r="F29" s="30" t="str">
        <x:v>T030；T039</x:v>
      </x:c>
      <x:c r="G29" s="30" t="str">
        <x:v>S24；S25</x:v>
      </x:c>
      <x:c r="H29" s="30" t="str"/>
    </x:row>
    <x:row r="30" ht="106" customHeight="1">
      <x:c r="A30" s="30" t="str">
        <x:v>C26</x:v>
      </x:c>
      <x:c r="B30" s="30" t="str">
        <x:v>近地物资放置</x:v>
      </x:c>
      <x:c r="C30" s="30" t="str">
        <x:v>夹爪/卸载机构/人员</x:v>
      </x:c>
      <x:c r="D30" s="30" t="str">
        <x:v>载物盘本身不等于自动卸载</x:v>
      </x:c>
      <x:c r="E30" s="30" t="str">
        <x:v>基础</x:v>
      </x:c>
      <x:c r="F30" s="30" t="str">
        <x:v>T030；T040</x:v>
      </x:c>
      <x:c r="G30" s="30" t="str">
        <x:v>S02；S24</x:v>
      </x:c>
      <x:c r="H30" s="30" t="str">
        <x:v>https://www.nist.gov/programs-projects/department-homeland-security-response-robot-performance-standards</x:v>
      </x:c>
    </x:row>
    <x:row r="31" ht="106" customHeight="1">
      <x:c r="A31" s="30" t="str">
        <x:v>C27</x:v>
      </x:c>
      <x:c r="B31" s="30" t="str">
        <x:v>库存补给与器材服务</x:v>
      </x:c>
      <x:c r="C31" s="30" t="str">
        <x:v>补给站/外部服务</x:v>
      </x:c>
      <x:c r="D31" s="30" t="str">
        <x:v>物品种类、实际库存、停靠条件</x:v>
      </x:c>
      <x:c r="E31" s="30" t="str">
        <x:v>基础</x:v>
      </x:c>
      <x:c r="F31" s="30" t="str">
        <x:v>T038；T042；T094</x:v>
      </x:c>
      <x:c r="G31" s="30" t="str">
        <x:v>S01；S24</x:v>
      </x:c>
      <x:c r="H31" s="30" t="str">
        <x:v>https://insarag.org/wp-content/uploads/2021/06/INSARAG20Guidelines20Vol20II2C20Man20B.pdf</x:v>
      </x:c>
    </x:row>
    <x:row r="32" ht="106" customHeight="1">
      <x:c r="A32" s="30" t="str">
        <x:v>C28</x:v>
      </x:c>
      <x:c r="B32" s="30" t="str">
        <x:v>充电</x:v>
      </x:c>
      <x:c r="C32" s="30" t="str">
        <x:v>充电接口/供电站</x:v>
      </x:c>
      <x:c r="D32" s="30" t="str">
        <x:v>连接兼容、功率、服务位</x:v>
      </x:c>
      <x:c r="E32" s="30" t="str">
        <x:v>基础</x:v>
      </x:c>
      <x:c r="F32" s="30" t="str">
        <x:v>T043</x:v>
      </x:c>
      <x:c r="G32" s="30" t="str">
        <x:v>S18；S24</x:v>
      </x:c>
      <x:c r="H32" s="30" t="str">
        <x:v>https://www.nsnam.org/docs/models/html/energy.html</x:v>
      </x:c>
    </x:row>
    <x:row r="33" ht="106" customHeight="1">
      <x:c r="A33" s="30" t="str">
        <x:v>C29</x:v>
      </x:c>
      <x:c r="B33" s="30" t="str">
        <x:v>换电</x:v>
      </x:c>
      <x:c r="C33" s="30" t="str">
        <x:v>人工/自动换电服务</x:v>
      </x:c>
      <x:c r="D33" s="30" t="str">
        <x:v>可换电池、接口、备用电池和操作主体</x:v>
      </x:c>
      <x:c r="E33" s="30" t="str">
        <x:v>基础</x:v>
      </x:c>
      <x:c r="F33" s="30" t="str">
        <x:v>T044</x:v>
      </x:c>
      <x:c r="G33" s="30" t="str">
        <x:v>S24</x:v>
      </x:c>
      <x:c r="H33" s="30" t="str"/>
    </x:row>
    <x:row r="34" ht="106" customHeight="1">
      <x:c r="A34" s="30" t="str">
        <x:v>C30</x:v>
      </x:c>
      <x:c r="B34" s="30" t="str">
        <x:v>失效平台牵引/回收</x:v>
      </x:c>
      <x:c r="C34" s="30" t="str">
        <x:v>牵引车/回收队</x:v>
      </x:c>
      <x:c r="D34" s="30" t="str">
        <x:v>拖曳/吊运能力与负载约束</x:v>
      </x:c>
      <x:c r="E34" s="30" t="str">
        <x:v>扩展能力</x:v>
      </x:c>
      <x:c r="F34" s="30" t="str">
        <x:v>T046</x:v>
      </x:c>
      <x:c r="G34" s="30" t="str">
        <x:v>S01；S02</x:v>
      </x:c>
      <x:c r="H34" s="30" t="str">
        <x:v>https://insarag.org/wp-content/uploads/2021/06/INSARAG20Guidelines20Vol20II2C20Man20B.pdf
https://www.nist.gov/programs-projects/department-homeland-security-response-robot-performance-standards</x:v>
      </x:c>
    </x:row>
    <x:row r="35" ht="106" customHeight="1">
      <x:c r="A35" s="30" t="str">
        <x:v>C31</x:v>
      </x:c>
      <x:c r="B35" s="30" t="str">
        <x:v>业务无线收发</x:v>
      </x:c>
      <x:c r="C35" s="30" t="str">
        <x:v>无线网卡/协议适配</x:v>
      </x:c>
      <x:c r="D35" s="30" t="str">
        <x:v>实际字节、链路、队列与消息交付</x:v>
      </x:c>
      <x:c r="E35" s="30" t="str">
        <x:v>基础</x:v>
      </x:c>
      <x:c r="F35" s="30" t="str">
        <x:v>T001；T002；T003；T005；T006；T008；T009；T011；T012；T014；T015；T021；T023；T024；T025；T026；T027；T028；T029；T030；T031；T032；T035；T036；T037；T041；T046；T047；T048；T049；T050；T051；T052；T053；T054；T055；T056；T057；T060；T065；T073；T074；T077；T079；T080；T081；T082；T083；T085；T086；T087；T088；T089；T090；T092；T093；T095；T096</x:v>
      </x:c>
      <x:c r="G35" s="30" t="str">
        <x:v>S17；S24；S25</x:v>
      </x:c>
      <x:c r="H35" s="30" t="str">
        <x:v>https://www.nsnam.org/docs/models/html/wifi-design.html</x:v>
      </x:c>
    </x:row>
    <x:row r="36" ht="106" customHeight="1">
      <x:c r="A36" s="30" t="str">
        <x:v>C32</x:v>
      </x:c>
      <x:c r="B36" s="30" t="str">
        <x:v>无线中继/转发</x:v>
      </x:c>
      <x:c r="C36" s="30" t="str">
        <x:v>转发软件与无线节点</x:v>
      </x:c>
      <x:c r="D36" s="30" t="str">
        <x:v>路由/应用转发配置，逐跳因果</x:v>
      </x:c>
      <x:c r="E36" s="30" t="str">
        <x:v>基础</x:v>
      </x:c>
      <x:c r="F36" s="30" t="str">
        <x:v>T049；T051；T055；T056</x:v>
      </x:c>
      <x:c r="G36" s="30" t="str">
        <x:v>S04；S17；S25</x:v>
      </x:c>
      <x:c r="H36" s="30" t="str">
        <x:v>https://www.darpa.mil/research/programs/darpa-subterranean-challenge
https://www.nsnam.org/docs/models/html/wifi-design.html</x:v>
      </x:c>
    </x:row>
    <x:row r="37" ht="106" customHeight="1">
      <x:c r="A37" s="30" t="str">
        <x:v>C33</x:v>
      </x:c>
      <x:c r="B37" s="30" t="str">
        <x:v>部署通信节点</x:v>
      </x:c>
      <x:c r="C37" s="30" t="str">
        <x:v>可卸载中继/操作主体</x:v>
      </x:c>
      <x:c r="D37" s="30" t="str">
        <x:v>实体节点、电源、布放接口</x:v>
      </x:c>
      <x:c r="E37" s="30" t="str">
        <x:v>基础</x:v>
      </x:c>
      <x:c r="F37" s="30" t="str">
        <x:v>T050</x:v>
      </x:c>
      <x:c r="G37" s="30" t="str">
        <x:v>S04；S17</x:v>
      </x:c>
      <x:c r="H37" s="30" t="str">
        <x:v>https://www.darpa.mil/research/programs/darpa-subterranean-challenge
https://www.nsnam.org/docs/models/html/wifi-design.html</x:v>
      </x:c>
    </x:row>
    <x:row r="38" ht="106" customHeight="1">
      <x:c r="A38" s="30" t="str">
        <x:v>C34</x:v>
      </x:c>
      <x:c r="B38" s="30" t="str">
        <x:v>断联存储携带转发</x:v>
      </x:c>
      <x:c r="C38" s="30" t="str">
        <x:v>本地存储+移动+无线</x:v>
      </x:c>
      <x:c r="D38" s="30" t="str">
        <x:v>存储预算、过期、恢复后投递</x:v>
      </x:c>
      <x:c r="E38" s="30" t="str">
        <x:v>基础</x:v>
      </x:c>
      <x:c r="F38" s="30" t="str">
        <x:v>T054</x:v>
      </x:c>
      <x:c r="G38" s="30" t="str">
        <x:v>S04；S17；S24</x:v>
      </x:c>
      <x:c r="H38" s="30" t="str">
        <x:v>https://www.darpa.mil/research/programs/darpa-subterranean-challenge
https://www.nsnam.org/docs/models/html/wifi-design.html</x:v>
      </x:c>
    </x:row>
    <x:row r="39" ht="106" customHeight="1">
      <x:c r="A39" s="30" t="str">
        <x:v>C35</x:v>
      </x:c>
      <x:c r="B39" s="30" t="str">
        <x:v>CPU计算执行</x:v>
      </x:c>
      <x:c r="C39" s="30" t="str">
        <x:v>CPU/服务队列</x:v>
      </x:c>
      <x:c r="D39" s="30" t="str">
        <x:v>核数份额、内存、时延标定</x:v>
      </x:c>
      <x:c r="E39" s="30" t="str">
        <x:v>基础</x:v>
      </x:c>
      <x:c r="F39" s="30" t="str">
        <x:v>T001；T002；T006；T007；T009；T010；T011；T012；T013；T016；T017；T018；T019；T020；T058；T059；T060；T062；T064；T065；T066；T067；T068；T069；T072；T073；T077；T078；T080；T086；T089；T090；T092；T096</x:v>
      </x:c>
      <x:c r="G39" s="30" t="str">
        <x:v>S20；S21；S24</x:v>
      </x:c>
      <x:c r="H39" s="30" t="str">
        <x:v>https://kubernetes.io/docs/concepts/configuration/manage-resources-containers/
https://docs.mlcommons.org/inference/benchmarks/language/llama3_1-8b/</x:v>
      </x:c>
    </x:row>
    <x:row r="40" ht="106" customHeight="1">
      <x:c r="A40" s="30" t="str">
        <x:v>C36</x:v>
      </x:c>
      <x:c r="B40" s="30" t="str">
        <x:v>加速器计算执行</x:v>
      </x:c>
      <x:c r="C40" s="30" t="str">
        <x:v>GPU/NPU服务</x:v>
      </x:c>
      <x:c r="D40" s="30" t="str">
        <x:v>显存、并发、模型支持和时延profile</x:v>
      </x:c>
      <x:c r="E40" s="30" t="str">
        <x:v>基础</x:v>
      </x:c>
      <x:c r="F40" s="30" t="str">
        <x:v>T060；T067</x:v>
      </x:c>
      <x:c r="G40" s="30" t="str">
        <x:v>S20；S21；S24</x:v>
      </x:c>
      <x:c r="H40" s="30" t="str">
        <x:v>https://kubernetes.io/docs/concepts/configuration/manage-resources-containers/
https://docs.mlcommons.org/inference/benchmarks/language/llama3_1-8b/</x:v>
      </x:c>
    </x:row>
    <x:row r="41" ht="106" customHeight="1">
      <x:c r="A41" s="30" t="str">
        <x:v>C37</x:v>
      </x:c>
      <x:c r="B41" s="30" t="str">
        <x:v>模型服务生命周期管理</x:v>
      </x:c>
      <x:c r="C41" s="30" t="str">
        <x:v>服务加载器</x:v>
      </x:c>
      <x:c r="D41" s="30" t="str">
        <x:v>权重/权限、内存、加载成本</x:v>
      </x:c>
      <x:c r="E41" s="30" t="str">
        <x:v>基础</x:v>
      </x:c>
      <x:c r="F41" s="30" t="str">
        <x:v>T062；T063；T065；T066；T068</x:v>
      </x:c>
      <x:c r="G41" s="30" t="str">
        <x:v>S20；S24</x:v>
      </x:c>
      <x:c r="H41" s="30" t="str">
        <x:v>https://kubernetes.io/docs/concepts/configuration/manage-resources-containers/</x:v>
      </x:c>
    </x:row>
    <x:row r="42" ht="106" customHeight="1">
      <x:c r="A42" s="30" t="str">
        <x:v>C38</x:v>
      </x:c>
      <x:c r="B42" s="30" t="str">
        <x:v>远程推理/工具调用</x:v>
      </x:c>
      <x:c r="C42" s="30" t="str">
        <x:v>网络RPC与计算调度</x:v>
      </x:c>
      <x:c r="D42" s="30" t="str">
        <x:v>输入实际送达、执行、输出实际回传</x:v>
      </x:c>
      <x:c r="E42" s="30" t="str">
        <x:v>基础</x:v>
      </x:c>
      <x:c r="F42" s="30" t="str">
        <x:v>T057；T060；T061；T065</x:v>
      </x:c>
      <x:c r="G42" s="30" t="str">
        <x:v>S17；S20；S24</x:v>
      </x:c>
      <x:c r="H42" s="30" t="str">
        <x:v>https://www.nsnam.org/docs/models/html/wifi-design.html
https://kubernetes.io/docs/concepts/configuration/manage-resources-containers/</x:v>
      </x:c>
    </x:row>
    <x:row r="43" ht="106" customHeight="1">
      <x:c r="A43" s="30" t="str">
        <x:v>C39</x:v>
      </x:c>
      <x:c r="B43" s="30" t="str">
        <x:v>私有历史/证据/缓存检索</x:v>
      </x:c>
      <x:c r="C43" s="30" t="str">
        <x:v>本地数据库与存储</x:v>
      </x:c>
      <x:c r="D43" s="30" t="str">
        <x:v>所有权、索引、时间和版本</x:v>
      </x:c>
      <x:c r="E43" s="30" t="str">
        <x:v>基础</x:v>
      </x:c>
      <x:c r="F43" s="30" t="str">
        <x:v>T001；T002；T003；T004；T005；T006；T007；T008；T009；T010；T011；T012；T013；T014；T015；T016；T017；T018；T021；T027；T047；T054；T057；T058；T059；T060；T064；T067；T068；T069；T070；T071；T072；T073；T074；T075；T076；T077；T078；T080；T084；T086；T089；T090；T091；T096</x:v>
      </x:c>
      <x:c r="G43" s="30" t="str">
        <x:v>S05；S06；S24</x:v>
      </x:c>
      <x:c r="H43" s="30" t="str">
        <x:v>https://4amgodvzx.github.io/ESAR.github.io/
https://github.com/UnrealZoo/RescueBench</x:v>
      </x:c>
    </x:row>
    <x:row r="44" ht="106" customHeight="1">
      <x:c r="A44" s="30" t="str">
        <x:v>C40</x:v>
      </x:c>
      <x:c r="B44" s="30" t="str">
        <x:v>时间坐标对齐</x:v>
      </x:c>
      <x:c r="C44" s="30" t="str">
        <x:v>变换/同步软件</x:v>
      </x:c>
      <x:c r="D44" s="30" t="str">
        <x:v>坐标系、标定与采样时间</x:v>
      </x:c>
      <x:c r="E44" s="30" t="str">
        <x:v>基础</x:v>
      </x:c>
      <x:c r="F44" s="30" t="str">
        <x:v>T005；T009；T012；T013；T016；T017；T018；T069</x:v>
      </x:c>
      <x:c r="G44" s="30" t="str">
        <x:v>S05；S25</x:v>
      </x:c>
      <x:c r="H44" s="30" t="str">
        <x:v>https://4amgodvzx.github.io/ESAR.github.io/</x:v>
      </x:c>
    </x:row>
    <x:row r="45" ht="106" customHeight="1">
      <x:c r="A45" s="30" t="str">
        <x:v>C41</x:v>
      </x:c>
      <x:c r="B45" s="30" t="str">
        <x:v>裁剪编码与压缩</x:v>
      </x:c>
      <x:c r="C45" s="30" t="str">
        <x:v>证据处理脚本/编码器</x:v>
      </x:c>
      <x:c r="D45" s="30" t="str">
        <x:v>输入输出字节、成本与源证据链接</x:v>
      </x:c>
      <x:c r="E45" s="30" t="str">
        <x:v>基础</x:v>
      </x:c>
      <x:c r="F45" s="30" t="str">
        <x:v>T052；T071；T074</x:v>
      </x:c>
      <x:c r="G45" s="30" t="str">
        <x:v>S24；S25</x:v>
      </x:c>
      <x:c r="H45" s="30" t="str"/>
    </x:row>
    <x:row r="46" ht="106" customHeight="1">
      <x:c r="A46" s="30" t="str">
        <x:v>C42</x:v>
      </x:c>
      <x:c r="B46" s="30" t="str">
        <x:v>任务分解与分配</x:v>
      </x:c>
      <x:c r="C46" s="30" t="str">
        <x:v>Agent/规划求解服务</x:v>
      </x:c>
      <x:c r="D46" s="30" t="str">
        <x:v>本地已知事实、任务目标和设备/资源约束</x:v>
      </x:c>
      <x:c r="E46" s="30" t="str">
        <x:v>基础</x:v>
      </x:c>
      <x:c r="F46" s="30" t="str">
        <x:v>T060；T061；T066；T074；T078；T079；T080；T085；T086</x:v>
      </x:c>
      <x:c r="G46" s="30" t="str">
        <x:v>S03；S24</x:v>
      </x:c>
      <x:c r="H46" s="30" t="str">
        <x:v>https://roborescue.github.io/rcrs-server/rcrs-server/index.html</x:v>
      </x:c>
    </x:row>
    <x:row r="47" ht="106" customHeight="1">
      <x:c r="A47" s="30" t="str">
        <x:v>C43</x:v>
      </x:c>
      <x:c r="B47" s="30" t="str">
        <x:v>任务承诺/中断/恢复</x:v>
      </x:c>
      <x:c r="C47" s="30" t="str">
        <x:v>本机任务执行管理</x:v>
      </x:c>
      <x:c r="D47" s="30" t="str">
        <x:v>版本、动作取消反馈与恢复点</x:v>
      </x:c>
      <x:c r="E47" s="30" t="str">
        <x:v>基础</x:v>
      </x:c>
      <x:c r="F47" s="30" t="str">
        <x:v>T008；T014；T015；T019；T020；T022；T023；T024；T025；T026；T028；T029；T031；T032；T033；T034；T035；T037；T038；T039；T040；T041；T042；T043；T044；T045；T046；T061；T063；T066；T068；T077；T081；T082；T083；T084；T085；T087；T088；T090；T091；T092；T093；T094；T095</x:v>
      </x:c>
      <x:c r="G47" s="30" t="str">
        <x:v>S19；S24；S25</x:v>
      </x:c>
      <x:c r="H47" s="30" t="str">
        <x:v>https://design.ros2.org/articles/actions.html</x:v>
      </x:c>
    </x:row>
    <x:row r="48" ht="106" customHeight="1">
      <x:c r="A48" s="30" t="str">
        <x:v>C44</x:v>
      </x:c>
      <x:c r="B48" s="30" t="str">
        <x:v>多源证据融合/信念更新</x:v>
      </x:c>
      <x:c r="C48" s="30" t="str">
        <x:v>融合/记忆服务</x:v>
      </x:c>
      <x:c r="D48" s="30" t="str">
        <x:v>时间/来源/置信度/冲突处理</x:v>
      </x:c>
      <x:c r="E48" s="30" t="str">
        <x:v>基础</x:v>
      </x:c>
      <x:c r="F48" s="30" t="str">
        <x:v>T001；T002；T003；T004；T005；T006；T007；T009；T010；T011；T012；T013；T014；T015；T016；T017；T018；T021；T027；T047；T057；T058；T059；T060；T067；T069；T070；T072；T073；T075；T077；T086；T089；T090；T091</x:v>
      </x:c>
      <x:c r="G48" s="30" t="str">
        <x:v>S05；S24</x:v>
      </x:c>
      <x:c r="H48" s="30" t="str">
        <x:v>https://4amgodvzx.github.io/ESAR.github.io/</x:v>
      </x:c>
    </x:row>
    <x:row r="49" ht="106" customHeight="1">
      <x:c r="A49" s="30" t="str">
        <x:v>C45</x:v>
      </x:c>
      <x:c r="B49" s="30" t="str">
        <x:v>安全保持/中止/返航</x:v>
      </x:c>
      <x:c r="C49" s="30" t="str">
        <x:v>平台安全执行端</x:v>
      </x:c>
      <x:c r="D49" s="30" t="str">
        <x:v>不可被任务奖励覆盖的能力约束</x:v>
      </x:c>
      <x:c r="E49" s="30" t="str">
        <x:v>基础</x:v>
      </x:c>
      <x:c r="F49" s="30" t="str">
        <x:v>T001；T002；T003；T004；T005；T006；T009；T010；T011；T016；T018；T019；T027；T030；T039；T043；T044；T045；T048；T049；T050；T054；T056；T083；T084；T091</x:v>
      </x:c>
      <x:c r="G49" s="30" t="str">
        <x:v>S02；S05；S24</x:v>
      </x:c>
      <x:c r="H49" s="30" t="str">
        <x:v>https://www.nist.gov/programs-projects/department-homeland-security-response-robot-performance-standards
https://4amgodvzx.github.io/ESAR.github.io/</x:v>
      </x:c>
    </x:row>
    <x:row r="50" ht="106" customHeight="1">
      <x:c r="A50" s="30" t="str">
        <x:v>C46</x:v>
      </x:c>
      <x:c r="B50" s="30" t="str">
        <x:v>专业力量请求与移交</x:v>
      </x:c>
      <x:c r="C50" s="30" t="str">
        <x:v>通信+调度接口</x:v>
      </x:c>
      <x:c r="D50" s="30" t="str">
        <x:v>明确外部执行者及服务响应；非凭空成功事件</x:v>
      </x:c>
      <x:c r="E50" s="30" t="str">
        <x:v>基础</x:v>
      </x:c>
      <x:c r="F50" s="30" t="str">
        <x:v>T023；T024；T025；T026；T029；T031；T032；T035；T036；T037；T046；T087；T092；T093；T095</x:v>
      </x:c>
      <x:c r="G50" s="30" t="str">
        <x:v>S01；S24</x:v>
      </x:c>
      <x:c r="H50" s="30" t="str">
        <x:v>https://insarag.org/wp-content/uploads/2021/06/INSARAG20Guidelines20Vol20II2C20Man20B.pdf</x:v>
      </x:c>
    </x:row>
    <x:row r="51" ht="106" customHeight="1">
      <x:c r="A51" s="30" t="str">
        <x:v>C47</x:v>
      </x:c>
      <x:c r="B51" s="30" t="str">
        <x:v>消防灭火</x:v>
      </x:c>
      <x:c r="C51" s="30" t="str">
        <x:v>消防平台/专业队</x:v>
      </x:c>
      <x:c r="D51" s="30" t="str">
        <x:v>灭火介质、泵/喷头、距离及供水能力</x:v>
      </x:c>
      <x:c r="E51" s="30" t="str">
        <x:v>扩展能力</x:v>
      </x:c>
      <x:c r="F51" s="30" t="str">
        <x:v>T093</x:v>
      </x:c>
      <x:c r="G51" s="30" t="str">
        <x:v>S03</x:v>
      </x:c>
      <x:c r="H51" s="30" t="str">
        <x:v>https://roborescue.github.io/rcrs-server/rcrs-server/index.html</x:v>
      </x:c>
    </x:row>
    <x:row r="52" ht="106" customHeight="1">
      <x:c r="A52" s="30" t="str">
        <x:v>C48</x:v>
      </x:c>
      <x:c r="B52" s="30" t="str">
        <x:v>危险源隔离</x:v>
      </x:c>
      <x:c r="C52" s="30" t="str">
        <x:v>授权工程/专业人员</x:v>
      </x:c>
      <x:c r="D52" s="30" t="str">
        <x:v>隔离对象、权限、适用工具</x:v>
      </x:c>
      <x:c r="E52" s="30" t="str">
        <x:v>扩展能力</x:v>
      </x:c>
      <x:c r="F52" s="30" t="str">
        <x:v>T095</x:v>
      </x:c>
      <x:c r="G52" s="30" t="str">
        <x:v>S01；S02</x:v>
      </x:c>
      <x:c r="H52" s="30" t="str">
        <x:v>https://insarag.org/wp-content/uploads/2021/06/INSARAG20Guidelines20Vol20II2C20Man20B.pdf
https://www.nist.gov/programs-projects/department-homeland-security-response-robot-performance-standards</x:v>
      </x:c>
    </x:row>
    <x:row r="53" ht="106" customHeight="1">
      <x:c r="A53" s="30" t="str">
        <x:v>C49</x:v>
      </x:c>
      <x:c r="B53" s="30" t="str">
        <x:v>跨模型表示适配</x:v>
      </x:c>
      <x:c r="C53" s="30" t="str">
        <x:v>显式转换/对齐服务</x:v>
      </x:c>
      <x:c r="D53" s="30" t="str">
        <x:v>模型/层/维度/前缀/版本兼容证据；KV不能通用复制</x:v>
      </x:c>
      <x:c r="E53" s="30" t="str">
        <x:v>扩展能力</x:v>
      </x:c>
      <x:c r="F53" s="30" t="str">
        <x:v>T096</x:v>
      </x:c>
      <x:c r="G53" s="30" t="str">
        <x:v>S24</x:v>
      </x:c>
      <x:c r="H53" s="30" t="str"/>
    </x:row>
  </x:sheetData>
  <x:mergeCells>
    <x:mergeCell ref="A1:H1"/>
    <x:mergeCell ref="A2:H2"/>
  </x:mergeCells>
  <x:pageMargins left="0.7" right="0.7" top="0.75" bottom="0.75" header="0.3" footer="0.3"/>
  <x:tableParts count="1">
    <x:tablePart xmlns:r="http://schemas.openxmlformats.org/officeDocument/2006/relationships" r:id="R8a0d01e091e34cdc"/>
  </x:tableParts>
</x:worksheet>
</file>

<file path=xl/worksheets/sheet11.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28" hidden="0" customWidth="1"/>
    <x:col min="3" max="3" width="42" hidden="0" customWidth="1"/>
    <x:col min="4" max="4" width="34" hidden="0" customWidth="1"/>
    <x:col min="5" max="5" width="16" hidden="0" customWidth="1"/>
    <x:col min="6" max="6" width="16" hidden="0" customWidth="1"/>
    <x:col min="7" max="7" width="60" hidden="0" customWidth="1"/>
    <x:col min="8" max="8" width="38" hidden="0" customWidth="1"/>
    <x:col min="9" max="9" width="60" hidden="0" customWidth="1"/>
    <x:col min="10" max="10" width="66" hidden="0" customWidth="1"/>
    <x:col min="11" max="11" width="56" hidden="0" customWidth="1"/>
    <x:col min="12" max="12" width="14" hidden="0" customWidth="1"/>
    <x:col min="13" max="13" width="18" hidden="0" customWidth="1"/>
    <x:col min="14" max="14" width="55" hidden="0" customWidth="1"/>
  </x:cols>
  <x:sheetData>
    <x:row r="1" ht="33" customHeight="1">
      <x:c r="A1" s="8" t="str">
        <x:v>385个注册字段：全部逐项定义</x:v>
      </x:c>
      <x:c r="B1" s="8"/>
      <x:c r="C1" s="8"/>
      <x:c r="D1" s="8"/>
      <x:c r="E1" s="8"/>
      <x:c r="F1" s="8"/>
      <x:c r="G1" s="8"/>
      <x:c r="H1" s="8"/>
      <x:c r="I1" s="8"/>
      <x:c r="J1" s="8"/>
      <x:c r="K1" s="8"/>
      <x:c r="L1" s="8"/>
      <x:c r="M1" s="8"/>
      <x:c r="N1" s="8"/>
    </x:row>
    <x:row r="2" ht="34" customHeight="1">
      <x:c r="A2" s="15" t="str">
        <x:v>真正状态量209=158环境/任务状态+31派生+20认知；另128配置、28标识、20证据记录。嵌套record/map按本层字段计，不按枚举值膨胀数量</x:v>
      </x:c>
      <x:c r="B2" s="15"/>
      <x:c r="C2" s="15"/>
      <x:c r="D2" s="15"/>
      <x:c r="E2" s="15"/>
      <x:c r="F2" s="15"/>
      <x:c r="G2" s="15"/>
      <x:c r="H2" s="15"/>
      <x:c r="I2" s="15"/>
      <x:c r="J2" s="15"/>
      <x:c r="K2" s="15"/>
      <x:c r="L2" s="15"/>
      <x:c r="M2" s="15"/>
      <x:c r="N2" s="15"/>
    </x:row>
    <x:row r="3">
      <x:c r="A3" s="4"/>
      <x:c r="B3" s="4"/>
      <x:c r="C3" s="4"/>
      <x:c r="D3" s="4"/>
      <x:c r="E3" s="4"/>
      <x:c r="F3" s="4"/>
      <x:c r="G3" s="4"/>
      <x:c r="H3" s="4"/>
      <x:c r="I3" s="4"/>
      <x:c r="J3" s="4"/>
      <x:c r="K3" s="4"/>
      <x:c r="L3" s="4"/>
      <x:c r="M3" s="4"/>
      <x:c r="N3" s="4"/>
    </x:row>
    <x:row r="4" ht="29" customHeight="1">
      <x:c r="A4" s="23" t="str">
        <x:v>字段ID</x:v>
      </x:c>
      <x:c r="B4" s="23" t="str">
        <x:v>标签组</x:v>
      </x:c>
      <x:c r="C4" s="23" t="str">
        <x:v>完整字段名</x:v>
      </x:c>
      <x:c r="D4" s="23" t="str">
        <x:v>含义</x:v>
      </x:c>
      <x:c r="E4" s="23" t="str">
        <x:v>字段性质</x:v>
      </x:c>
      <x:c r="F4" s="23" t="str">
        <x:v>类型</x:v>
      </x:c>
      <x:c r="G4" s="23" t="str">
        <x:v>值域/单位/边界</x:v>
      </x:c>
      <x:c r="H4" s="23" t="str">
        <x:v>权威写入者</x:v>
      </x:c>
      <x:c r="I4" s="23" t="str">
        <x:v>可观察/权限边界</x:v>
      </x:c>
      <x:c r="J4" s="23" t="str">
        <x:v>使用该schema的操作</x:v>
      </x:c>
      <x:c r="K4" s="23" t="str">
        <x:v>关键直接写入者</x:v>
      </x:c>
      <x:c r="L4" s="23" t="str">
        <x:v>关联任务数</x:v>
      </x:c>
      <x:c r="M4" s="23" t="str">
        <x:v>来源ID</x:v>
      </x:c>
      <x:c r="N4" s="23" t="str">
        <x:v>来源URL</x:v>
      </x:c>
    </x:row>
    <x:row r="5" ht="120" customHeight="1">
      <x:c r="A5" s="30" t="str">
        <x:v>F001</x:v>
      </x:c>
      <x:c r="B5" s="30" t="str">
        <x:v>实体与空间基准</x:v>
      </x:c>
      <x:c r="C5" s="30" t="str">
        <x:v>entity.id</x:v>
      </x:c>
      <x:c r="D5" s="30" t="str">
        <x:v>唯一实体ID</x:v>
      </x:c>
      <x:c r="E5" s="30" t="str">
        <x:v>标识</x:v>
      </x:c>
      <x:c r="F5" s="30" t="str">
        <x:v>id</x:v>
      </x:c>
      <x:c r="G5" s="30" t="str">
        <x:v>运行内唯一，引用不跨命名空间</x:v>
      </x:c>
      <x:c r="H5" s="30" t="str">
        <x:v>场景/实体管理</x:v>
      </x:c>
      <x:c r="I5" s="30" t="str">
        <x:v>授权灾前底图可公开；灾后动态仅调试/相关观测</x:v>
      </x:c>
      <x:c r="J5" s="30" t="str">
        <x:v>A001；A002；A003；A005；A007；A034</x:v>
      </x:c>
      <x:c r="K5" s="30" t="str">
        <x:v>初始化/配置或相应状态所有者；不是任意Agent写入</x:v>
      </x:c>
      <x:c r="L5" s="30" t="n">
        <x:v>44</x:v>
      </x:c>
      <x:c r="M5" s="30" t="str">
        <x:v>S09；S24</x:v>
      </x:c>
      <x:c r="N5" s="30" t="str">
        <x:v>https://arxiv.org/abs/1911.09296</x:v>
      </x:c>
    </x:row>
    <x:row r="6" ht="120" customHeight="1">
      <x:c r="A6" s="30" t="str">
        <x:v>F002</x:v>
      </x:c>
      <x:c r="B6" s="30" t="str">
        <x:v>实体与空间基准</x:v>
      </x:c>
      <x:c r="C6" s="30" t="str">
        <x:v>entity.kind</x:v>
      </x:c>
      <x:c r="D6" s="30" t="str">
        <x:v>实体类型</x:v>
      </x:c>
      <x:c r="E6" s="30" t="str">
        <x:v>配置</x:v>
      </x:c>
      <x:c r="F6" s="30" t="str">
        <x:v>enum</x:v>
      </x:c>
      <x:c r="G6" s="30" t="str">
        <x:v>building/road/obstacle/human/cue/platform/equipment/item/station/vegetation/water/pool/grass/terrain/region/vehicle</x:v>
      </x:c>
      <x:c r="H6" s="30" t="str">
        <x:v>场景/实体管理</x:v>
      </x:c>
      <x:c r="I6" s="30" t="str">
        <x:v>授权灾前底图可公开；灾后动态仅调试/相关观测</x:v>
      </x:c>
      <x:c r="J6" s="30" t="str">
        <x:v>A001；A002；A003；A005；A007；A034</x:v>
      </x:c>
      <x:c r="K6" s="30" t="str">
        <x:v>初始化/配置或相应状态所有者；不是任意Agent写入</x:v>
      </x:c>
      <x:c r="L6" s="30" t="n">
        <x:v>44</x:v>
      </x:c>
      <x:c r="M6" s="30" t="str">
        <x:v>S09；S24</x:v>
      </x:c>
      <x:c r="N6" s="30" t="str">
        <x:v>https://arxiv.org/abs/1911.09296</x:v>
      </x:c>
    </x:row>
    <x:row r="7" ht="120" customHeight="1">
      <x:c r="A7" s="30" t="str">
        <x:v>F003</x:v>
      </x:c>
      <x:c r="B7" s="30" t="str">
        <x:v>实体与空间基准</x:v>
      </x:c>
      <x:c r="C7" s="30" t="str">
        <x:v>entity.parent_id</x:v>
      </x:c>
      <x:c r="D7" s="30" t="str">
        <x:v>所属实体</x:v>
      </x:c>
      <x:c r="E7" s="30" t="str">
        <x:v>配置</x:v>
      </x:c>
      <x:c r="F7" s="30" t="str">
        <x:v>id</x:v>
      </x:c>
      <x:c r="G7" s="30" t="str">
        <x:v>null或存在的父ID，禁止成环</x:v>
      </x:c>
      <x:c r="H7" s="30" t="str">
        <x:v>场景/实体管理</x:v>
      </x:c>
      <x:c r="I7" s="30" t="str">
        <x:v>授权灾前底图可公开；灾后动态仅调试/相关观测</x:v>
      </x:c>
      <x:c r="J7" s="30" t="str">
        <x:v>A001；A002；A003；A005；A007；A034</x:v>
      </x:c>
      <x:c r="K7" s="30" t="str">
        <x:v>初始化/配置或相应状态所有者；不是任意Agent写入</x:v>
      </x:c>
      <x:c r="L7" s="30" t="n">
        <x:v>44</x:v>
      </x:c>
      <x:c r="M7" s="30" t="str">
        <x:v>S09；S24</x:v>
      </x:c>
      <x:c r="N7" s="30" t="str">
        <x:v>https://arxiv.org/abs/1911.09296</x:v>
      </x:c>
    </x:row>
    <x:row r="8" ht="120" customHeight="1">
      <x:c r="A8" s="30" t="str">
        <x:v>F004</x:v>
      </x:c>
      <x:c r="B8" s="30" t="str">
        <x:v>实体与空间基准</x:v>
      </x:c>
      <x:c r="C8" s="30" t="str">
        <x:v>entity.pose</x:v>
      </x:c>
      <x:c r="D8" s="30" t="str">
        <x:v>真实空间位姿</x:v>
      </x:c>
      <x:c r="E8" s="30" t="str">
        <x:v>状态</x:v>
      </x:c>
      <x:c r="F8" s="30" t="str">
        <x:v>pose</x:v>
      </x:c>
      <x:c r="G8" s="30" t="str">
        <x:v>x,y,z[m]+旋转，统一坐标</x:v>
      </x:c>
      <x:c r="H8" s="30" t="str">
        <x:v>场景/实体管理</x:v>
      </x:c>
      <x:c r="I8" s="30" t="str">
        <x:v>授权灾前底图可公开；灾后动态仅调试/相关观测</x:v>
      </x:c>
      <x:c r="J8" s="30" t="str">
        <x:v>A001；A002；A003；A005；A007；A034</x:v>
      </x:c>
      <x:c r="K8" s="30" t="str">
        <x:v>A001；A002；A003；A016；A021；A031</x:v>
      </x:c>
      <x:c r="L8" s="30" t="n">
        <x:v>50</x:v>
      </x:c>
      <x:c r="M8" s="30" t="str">
        <x:v>S09；S24</x:v>
      </x:c>
      <x:c r="N8" s="30" t="str">
        <x:v>https://arxiv.org/abs/1911.09296</x:v>
      </x:c>
    </x:row>
    <x:row r="9" ht="120" customHeight="1">
      <x:c r="A9" s="30" t="str">
        <x:v>F005</x:v>
      </x:c>
      <x:c r="B9" s="30" t="str">
        <x:v>实体与空间基准</x:v>
      </x:c>
      <x:c r="C9" s="30" t="str">
        <x:v>entity.footprint</x:v>
      </x:c>
      <x:c r="D9" s="30" t="str">
        <x:v>二维占地</x:v>
      </x:c>
      <x:c r="E9" s="30" t="str">
        <x:v>配置</x:v>
      </x:c>
      <x:c r="F9" s="30" t="str">
        <x:v>polygon</x:v>
      </x:c>
      <x:c r="G9" s="30" t="str">
        <x:v>米制有效多边形</x:v>
      </x:c>
      <x:c r="H9" s="30" t="str">
        <x:v>场景/实体管理</x:v>
      </x:c>
      <x:c r="I9" s="30" t="str">
        <x:v>授权灾前底图可公开；灾后动态仅调试/相关观测</x:v>
      </x:c>
      <x:c r="J9" s="30" t="str">
        <x:v>A001；A002；A003；A005；A007；A034</x:v>
      </x:c>
      <x:c r="K9" s="30" t="str">
        <x:v>初始化/配置或相应状态所有者；不是任意Agent写入</x:v>
      </x:c>
      <x:c r="L9" s="30" t="n">
        <x:v>44</x:v>
      </x:c>
      <x:c r="M9" s="30" t="str">
        <x:v>S09；S24</x:v>
      </x:c>
      <x:c r="N9" s="30" t="str">
        <x:v>https://arxiv.org/abs/1911.09296</x:v>
      </x:c>
    </x:row>
    <x:row r="10" ht="120" customHeight="1">
      <x:c r="A10" s="30" t="str">
        <x:v>F006</x:v>
      </x:c>
      <x:c r="B10" s="30" t="str">
        <x:v>实体与空间基准</x:v>
      </x:c>
      <x:c r="C10" s="30" t="str">
        <x:v>entity.height_m</x:v>
      </x:c>
      <x:c r="D10" s="30" t="str">
        <x:v>物体高度</x:v>
      </x:c>
      <x:c r="E10" s="30" t="str">
        <x:v>配置</x:v>
      </x:c>
      <x:c r="F10" s="30" t="str">
        <x:v>float</x:v>
      </x:c>
      <x:c r="G10" s="30" t="str">
        <x:v>非负；地面高程固定不代表物体高为0</x:v>
      </x:c>
      <x:c r="H10" s="30" t="str">
        <x:v>场景/实体管理</x:v>
      </x:c>
      <x:c r="I10" s="30" t="str">
        <x:v>授权灾前底图可公开；灾后动态仅调试/相关观测</x:v>
      </x:c>
      <x:c r="J10" s="30" t="str">
        <x:v>A001；A002；A003；A005；A007；A034</x:v>
      </x:c>
      <x:c r="K10" s="30" t="str">
        <x:v>初始化/配置或相应状态所有者；不是任意Agent写入</x:v>
      </x:c>
      <x:c r="L10" s="30" t="n">
        <x:v>44</x:v>
      </x:c>
      <x:c r="M10" s="30" t="str">
        <x:v>S09；S24</x:v>
      </x:c>
      <x:c r="N10" s="30" t="str">
        <x:v>https://arxiv.org/abs/1911.09296</x:v>
      </x:c>
    </x:row>
    <x:row r="11" ht="120" customHeight="1">
      <x:c r="A11" s="30" t="str">
        <x:v>F007</x:v>
      </x:c>
      <x:c r="B11" s="30" t="str">
        <x:v>实体与空间基准</x:v>
      </x:c>
      <x:c r="C11" s="30" t="str">
        <x:v>entity.region_id</x:v>
      </x:c>
      <x:c r="D11" s="30" t="str">
        <x:v>区域归属</x:v>
      </x:c>
      <x:c r="E11" s="30" t="str">
        <x:v>配置</x:v>
      </x:c>
      <x:c r="F11" s="30" t="str">
        <x:v>id</x:v>
      </x:c>
      <x:c r="G11" s="30" t="str">
        <x:v>关联地块/任务区域</x:v>
      </x:c>
      <x:c r="H11" s="30" t="str">
        <x:v>场景/实体管理</x:v>
      </x:c>
      <x:c r="I11" s="30" t="str">
        <x:v>授权灾前底图可公开；灾后动态仅调试/相关观测</x:v>
      </x:c>
      <x:c r="J11" s="30" t="str">
        <x:v>A001；A002；A003；A005；A007；A034</x:v>
      </x:c>
      <x:c r="K11" s="30" t="str">
        <x:v>初始化/配置或相应状态所有者；不是任意Agent写入</x:v>
      </x:c>
      <x:c r="L11" s="30" t="n">
        <x:v>44</x:v>
      </x:c>
      <x:c r="M11" s="30" t="str">
        <x:v>S09；S24</x:v>
      </x:c>
      <x:c r="N11" s="30" t="str">
        <x:v>https://arxiv.org/abs/1911.09296</x:v>
      </x:c>
    </x:row>
    <x:row r="12" ht="120" customHeight="1">
      <x:c r="A12" s="30" t="str">
        <x:v>F008</x:v>
      </x:c>
      <x:c r="B12" s="30" t="str">
        <x:v>实体与空间基准</x:v>
      </x:c>
      <x:c r="C12" s="30" t="str">
        <x:v>entity.revision</x:v>
      </x:c>
      <x:c r="D12" s="30" t="str">
        <x:v>实体状态版本</x:v>
      </x:c>
      <x:c r="E12" s="30" t="str">
        <x:v>状态</x:v>
      </x:c>
      <x:c r="F12" s="30" t="str">
        <x:v>int</x:v>
      </x:c>
      <x:c r="G12" s="30" t="str">
        <x:v>非负递增</x:v>
      </x:c>
      <x:c r="H12" s="30" t="str">
        <x:v>场景/实体管理</x:v>
      </x:c>
      <x:c r="I12" s="30" t="str">
        <x:v>授权灾前底图可公开；灾后动态仅调试/相关观测</x:v>
      </x:c>
      <x:c r="J12" s="30" t="str">
        <x:v>A001；A002；A003；A005；A007；A034</x:v>
      </x:c>
      <x:c r="K12" s="30" t="str">
        <x:v>初始化/配置或相应状态所有者；不是任意Agent写入</x:v>
      </x:c>
      <x:c r="L12" s="30" t="n">
        <x:v>44</x:v>
      </x:c>
      <x:c r="M12" s="30" t="str">
        <x:v>S09；S24</x:v>
      </x:c>
      <x:c r="N12" s="30" t="str">
        <x:v>https://arxiv.org/abs/1911.09296</x:v>
      </x:c>
    </x:row>
    <x:row r="13" ht="120" customHeight="1">
      <x:c r="A13" s="30" t="str">
        <x:v>F009</x:v>
      </x:c>
      <x:c r="B13" s="30" t="str">
        <x:v>实体与空间基准</x:v>
      </x:c>
      <x:c r="C13" s="30" t="str">
        <x:v>entity.provenance</x:v>
      </x:c>
      <x:c r="D13" s="30" t="str">
        <x:v>生成来源</x:v>
      </x:c>
      <x:c r="E13" s="30" t="str">
        <x:v>标识</x:v>
      </x:c>
      <x:c r="F13" s="30" t="str">
        <x:v>record</x:v>
      </x:c>
      <x:c r="G13" s="30" t="str">
        <x:v>source_id/rule_id/seed/asset_revision</x:v>
      </x:c>
      <x:c r="H13" s="30" t="str">
        <x:v>场景/实体管理</x:v>
      </x:c>
      <x:c r="I13" s="30" t="str">
        <x:v>授权灾前底图可公开；灾后动态仅调试/相关观测</x:v>
      </x:c>
      <x:c r="J13" s="30" t="str">
        <x:v>A001；A002；A003；A005；A007；A034</x:v>
      </x:c>
      <x:c r="K13" s="30" t="str">
        <x:v>初始化/配置或相应状态所有者；不是任意Agent写入</x:v>
      </x:c>
      <x:c r="L13" s="30" t="n">
        <x:v>44</x:v>
      </x:c>
      <x:c r="M13" s="30" t="str">
        <x:v>S09；S24</x:v>
      </x:c>
      <x:c r="N13" s="30" t="str">
        <x:v>https://arxiv.org/abs/1911.09296</x:v>
      </x:c>
    </x:row>
    <x:row r="14" ht="120" customHeight="1">
      <x:c r="A14" s="30" t="str">
        <x:v>F010</x:v>
      </x:c>
      <x:c r="B14" s="30" t="str">
        <x:v>灾害与环境</x:v>
      </x:c>
      <x:c r="C14" s="30" t="str">
        <x:v>hazard.kind</x:v>
      </x:c>
      <x:c r="D14" s="30" t="str">
        <x:v>危险类型</x:v>
      </x:c>
      <x:c r="E14" s="30" t="str">
        <x:v>配置</x:v>
      </x:c>
      <x:c r="F14" s="30" t="str">
        <x:v>enum</x:v>
      </x:c>
      <x:c r="G14" s="30" t="str">
        <x:v>none/earthquake/wind/flood/tsunami/fire/landslide/volcano/gas</x:v>
      </x:c>
      <x:c r="H14" s="30" t="str">
        <x:v>环境演化器</x:v>
      </x:c>
      <x:c r="I14" s="30" t="str">
        <x:v>真值隐藏；感知产出估计；启动公开条件另配</x:v>
      </x:c>
      <x:c r="J14" s="30" t="str">
        <x:v>A001；A002；A003；A004；A005；A021；A023；A025；A062；A063</x:v>
      </x:c>
      <x:c r="K14" s="30" t="str">
        <x:v>初始化/配置或相应状态所有者；不是任意Agent写入</x:v>
      </x:c>
      <x:c r="L14" s="30" t="n">
        <x:v>47</x:v>
      </x:c>
      <x:c r="M14" s="30" t="str">
        <x:v>S01；S03；S05；S08；S22；S23</x:v>
      </x:c>
      <x:c r="N14"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15" ht="120" customHeight="1">
      <x:c r="A15" s="30" t="str">
        <x:v>F011</x:v>
      </x:c>
      <x:c r="B15" s="30" t="str">
        <x:v>灾害与环境</x:v>
      </x:c>
      <x:c r="C15" s="30" t="str">
        <x:v>hazard.footprint</x:v>
      </x:c>
      <x:c r="D15" s="30" t="str">
        <x:v>危险影响区</x:v>
      </x:c>
      <x:c r="E15" s="30" t="str">
        <x:v>状态</x:v>
      </x:c>
      <x:c r="F15" s="30" t="str">
        <x:v>polygon</x:v>
      </x:c>
      <x:c r="G15" s="30" t="str">
        <x:v>二维区域或强度栅格</x:v>
      </x:c>
      <x:c r="H15" s="30" t="str">
        <x:v>环境演化器</x:v>
      </x:c>
      <x:c r="I15" s="30" t="str">
        <x:v>真值隐藏；感知产出估计；启动公开条件另配</x:v>
      </x:c>
      <x:c r="J15" s="30" t="str">
        <x:v>A001；A002；A003；A004；A005；A021；A023；A025；A062；A063</x:v>
      </x:c>
      <x:c r="K15" s="30" t="str">
        <x:v>初始化/配置或相应状态所有者；不是任意Agent写入</x:v>
      </x:c>
      <x:c r="L15" s="30" t="n">
        <x:v>47</x:v>
      </x:c>
      <x:c r="M15" s="30" t="str">
        <x:v>S01；S03；S05；S08；S22；S23</x:v>
      </x:c>
      <x:c r="N15"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16" ht="120" customHeight="1">
      <x:c r="A16" s="30" t="str">
        <x:v>F012</x:v>
      </x:c>
      <x:c r="B16" s="30" t="str">
        <x:v>灾害与环境</x:v>
      </x:c>
      <x:c r="C16" s="30" t="str">
        <x:v>hazard.intensity</x:v>
      </x:c>
      <x:c r="D16" s="30" t="str">
        <x:v>危险强度</x:v>
      </x:c>
      <x:c r="E16" s="30" t="str">
        <x:v>状态</x:v>
      </x:c>
      <x:c r="F16" s="30" t="str">
        <x:v>record</x:v>
      </x:c>
      <x:c r="G16" s="30" t="str">
        <x:v>值+单位+模型ID；不同灾种不可共用无量纲阈值</x:v>
      </x:c>
      <x:c r="H16" s="30" t="str">
        <x:v>环境演化器</x:v>
      </x:c>
      <x:c r="I16" s="30" t="str">
        <x:v>真值隐藏；感知产出估计；启动公开条件另配</x:v>
      </x:c>
      <x:c r="J16" s="30" t="str">
        <x:v>A001；A002；A003；A004；A005；A021；A023；A025；A062；A063</x:v>
      </x:c>
      <x:c r="K16" s="30" t="str">
        <x:v>初始化/配置或相应状态所有者；不是任意Agent写入</x:v>
      </x:c>
      <x:c r="L16" s="30" t="n">
        <x:v>47</x:v>
      </x:c>
      <x:c r="M16" s="30" t="str">
        <x:v>S01；S03；S05；S08；S22；S23</x:v>
      </x:c>
      <x:c r="N16"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17" ht="120" customHeight="1">
      <x:c r="A17" s="30" t="str">
        <x:v>F013</x:v>
      </x:c>
      <x:c r="B17" s="30" t="str">
        <x:v>灾害与环境</x:v>
      </x:c>
      <x:c r="C17" s="30" t="str">
        <x:v>hazard.active</x:v>
      </x:c>
      <x:c r="D17" s="30" t="str">
        <x:v>是否仍活动</x:v>
      </x:c>
      <x:c r="E17" s="30" t="str">
        <x:v>状态</x:v>
      </x:c>
      <x:c r="F17" s="30" t="str">
        <x:v>bool</x:v>
      </x:c>
      <x:c r="G17" s="30" t="str">
        <x:v>true/false</x:v>
      </x:c>
      <x:c r="H17" s="30" t="str">
        <x:v>环境演化器</x:v>
      </x:c>
      <x:c r="I17" s="30" t="str">
        <x:v>真值隐藏；感知产出估计；启动公开条件另配</x:v>
      </x:c>
      <x:c r="J17" s="30" t="str">
        <x:v>A001；A002；A003；A004；A005；A021；A023；A025；A062；A063</x:v>
      </x:c>
      <x:c r="K17" s="30" t="str">
        <x:v>A062；A063</x:v>
      </x:c>
      <x:c r="L17" s="30" t="n">
        <x:v>47</x:v>
      </x:c>
      <x:c r="M17" s="30" t="str">
        <x:v>S01；S03；S05；S08；S22；S23</x:v>
      </x:c>
      <x:c r="N17"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18" ht="120" customHeight="1">
      <x:c r="A18" s="30" t="str">
        <x:v>F014</x:v>
      </x:c>
      <x:c r="B18" s="30" t="str">
        <x:v>灾害与环境</x:v>
      </x:c>
      <x:c r="C18" s="30" t="str">
        <x:v>hazard.water_depth_m</x:v>
      </x:c>
      <x:c r="D18" s="30" t="str">
        <x:v>水深</x:v>
      </x:c>
      <x:c r="E18" s="30" t="str">
        <x:v>状态</x:v>
      </x:c>
      <x:c r="F18" s="30" t="str">
        <x:v>float</x:v>
      </x:c>
      <x:c r="G18" s="30" t="str">
        <x:v>非负；未建模为null，不能从wet标签直接推出</x:v>
      </x:c>
      <x:c r="H18" s="30" t="str">
        <x:v>环境演化器</x:v>
      </x:c>
      <x:c r="I18" s="30" t="str">
        <x:v>真值隐藏；感知产出估计；启动公开条件另配</x:v>
      </x:c>
      <x:c r="J18" s="30" t="str">
        <x:v>A001；A002；A003；A004；A005；A021；A023；A025；A062；A063</x:v>
      </x:c>
      <x:c r="K18" s="30" t="str">
        <x:v>初始化/配置或相应状态所有者；不是任意Agent写入</x:v>
      </x:c>
      <x:c r="L18" s="30" t="n">
        <x:v>47</x:v>
      </x:c>
      <x:c r="M18" s="30" t="str">
        <x:v>S01；S03；S05；S08；S22；S23</x:v>
      </x:c>
      <x:c r="N18"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19" ht="120" customHeight="1">
      <x:c r="A19" s="30" t="str">
        <x:v>F015</x:v>
      </x:c>
      <x:c r="B19" s="30" t="str">
        <x:v>灾害与环境</x:v>
      </x:c>
      <x:c r="C19" s="30" t="str">
        <x:v>hazard.flow_speed_mps</x:v>
      </x:c>
      <x:c r="D19" s="30" t="str">
        <x:v>水流速度</x:v>
      </x:c>
      <x:c r="E19" s="30" t="str">
        <x:v>状态</x:v>
      </x:c>
      <x:c r="F19" s="30" t="str">
        <x:v>float</x:v>
      </x:c>
      <x:c r="G19" s="30" t="str">
        <x:v>null或非负</x:v>
      </x:c>
      <x:c r="H19" s="30" t="str">
        <x:v>环境演化器</x:v>
      </x:c>
      <x:c r="I19" s="30" t="str">
        <x:v>真值隐藏；感知产出估计；启动公开条件另配</x:v>
      </x:c>
      <x:c r="J19" s="30" t="str">
        <x:v>A001；A002；A003；A004；A005；A021；A023；A025；A062；A063</x:v>
      </x:c>
      <x:c r="K19" s="30" t="str">
        <x:v>初始化/配置或相应状态所有者；不是任意Agent写入</x:v>
      </x:c>
      <x:c r="L19" s="30" t="n">
        <x:v>47</x:v>
      </x:c>
      <x:c r="M19" s="30" t="str">
        <x:v>S01；S03；S05；S08；S22；S23</x:v>
      </x:c>
      <x:c r="N19"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20" ht="120" customHeight="1">
      <x:c r="A20" s="30" t="str">
        <x:v>F016</x:v>
      </x:c>
      <x:c r="B20" s="30" t="str">
        <x:v>灾害与环境</x:v>
      </x:c>
      <x:c r="C20" s="30" t="str">
        <x:v>hazard.smoke_density</x:v>
      </x:c>
      <x:c r="D20" s="30" t="str">
        <x:v>烟尘消光参数</x:v>
      </x:c>
      <x:c r="E20" s="30" t="str">
        <x:v>状态</x:v>
      </x:c>
      <x:c r="F20" s="30" t="str">
        <x:v>float</x:v>
      </x:c>
      <x:c r="G20" s="30" t="str">
        <x:v>null或选定模型的非负值</x:v>
      </x:c>
      <x:c r="H20" s="30" t="str">
        <x:v>环境演化器</x:v>
      </x:c>
      <x:c r="I20" s="30" t="str">
        <x:v>真值隐藏；感知产出估计；启动公开条件另配</x:v>
      </x:c>
      <x:c r="J20" s="30" t="str">
        <x:v>A001；A002；A003；A004；A005；A021；A023；A025；A062；A063</x:v>
      </x:c>
      <x:c r="K20" s="30" t="str">
        <x:v>初始化/配置或相应状态所有者；不是任意Agent写入</x:v>
      </x:c>
      <x:c r="L20" s="30" t="n">
        <x:v>47</x:v>
      </x:c>
      <x:c r="M20" s="30" t="str">
        <x:v>S01；S03；S05；S08；S22；S23</x:v>
      </x:c>
      <x:c r="N20"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21" ht="120" customHeight="1">
      <x:c r="A21" s="30" t="str">
        <x:v>F017</x:v>
      </x:c>
      <x:c r="B21" s="30" t="str">
        <x:v>灾害与环境</x:v>
      </x:c>
      <x:c r="C21" s="30" t="str">
        <x:v>hazard.fire_intensity</x:v>
      </x:c>
      <x:c r="D21" s="30" t="str">
        <x:v>火势强度</x:v>
      </x:c>
      <x:c r="E21" s="30" t="str">
        <x:v>状态</x:v>
      </x:c>
      <x:c r="F21" s="30" t="str">
        <x:v>float</x:v>
      </x:c>
      <x:c r="G21" s="30" t="str">
        <x:v>null或选择模型的非负值</x:v>
      </x:c>
      <x:c r="H21" s="30" t="str">
        <x:v>环境演化器</x:v>
      </x:c>
      <x:c r="I21" s="30" t="str">
        <x:v>真值隐藏；感知产出估计；启动公开条件另配</x:v>
      </x:c>
      <x:c r="J21" s="30" t="str">
        <x:v>A001；A002；A003；A004；A005；A021；A023；A025；A062；A063</x:v>
      </x:c>
      <x:c r="K21" s="30" t="str">
        <x:v>A062</x:v>
      </x:c>
      <x:c r="L21" s="30" t="n">
        <x:v>47</x:v>
      </x:c>
      <x:c r="M21" s="30" t="str">
        <x:v>S01；S03；S05；S08；S22；S23</x:v>
      </x:c>
      <x:c r="N21"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22" ht="120" customHeight="1">
      <x:c r="A22" s="30" t="str">
        <x:v>F018</x:v>
      </x:c>
      <x:c r="B22" s="30" t="str">
        <x:v>灾害与环境</x:v>
      </x:c>
      <x:c r="C22" s="30" t="str">
        <x:v>hazard.gas_level</x:v>
      </x:c>
      <x:c r="D22" s="30" t="str">
        <x:v>气体浓度</x:v>
      </x:c>
      <x:c r="E22" s="30" t="str">
        <x:v>状态</x:v>
      </x:c>
      <x:c r="F22" s="30" t="str">
        <x:v>record</x:v>
      </x:c>
      <x:c r="G22" s="30" t="str">
        <x:v>null或物质/浓度/单位</x:v>
      </x:c>
      <x:c r="H22" s="30" t="str">
        <x:v>环境演化器</x:v>
      </x:c>
      <x:c r="I22" s="30" t="str">
        <x:v>真值隐藏；感知产出估计；启动公开条件另配</x:v>
      </x:c>
      <x:c r="J22" s="30" t="str">
        <x:v>A001；A002；A003；A004；A005；A021；A023；A025；A062；A063</x:v>
      </x:c>
      <x:c r="K22" s="30" t="str">
        <x:v>初始化/配置或相应状态所有者；不是任意Agent写入</x:v>
      </x:c>
      <x:c r="L22" s="30" t="n">
        <x:v>47</x:v>
      </x:c>
      <x:c r="M22" s="30" t="str">
        <x:v>S01；S03；S05；S08；S22；S23</x:v>
      </x:c>
      <x:c r="N22"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23" ht="120" customHeight="1">
      <x:c r="A23" s="30" t="str">
        <x:v>F019</x:v>
      </x:c>
      <x:c r="B23" s="30" t="str">
        <x:v>灾害与环境</x:v>
      </x:c>
      <x:c r="C23" s="30" t="str">
        <x:v>hazard.wind_mps</x:v>
      </x:c>
      <x:c r="D23" s="30" t="str">
        <x:v>风速向量</x:v>
      </x:c>
      <x:c r="E23" s="30" t="str">
        <x:v>状态</x:v>
      </x:c>
      <x:c r="F23" s="30" t="str">
        <x:v>vector</x:v>
      </x:c>
      <x:c r="G23" s="30" t="str">
        <x:v>m/s</x:v>
      </x:c>
      <x:c r="H23" s="30" t="str">
        <x:v>环境演化器</x:v>
      </x:c>
      <x:c r="I23" s="30" t="str">
        <x:v>真值隐藏；感知产出估计；启动公开条件另配</x:v>
      </x:c>
      <x:c r="J23" s="30" t="str">
        <x:v>A001；A002；A003；A004；A005；A021；A023；A025；A062；A063</x:v>
      </x:c>
      <x:c r="K23" s="30" t="str">
        <x:v>初始化/配置或相应状态所有者；不是任意Agent写入</x:v>
      </x:c>
      <x:c r="L23" s="30" t="n">
        <x:v>47</x:v>
      </x:c>
      <x:c r="M23" s="30" t="str">
        <x:v>S01；S03；S05；S08；S22；S23</x:v>
      </x:c>
      <x:c r="N23"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24" ht="120" customHeight="1">
      <x:c r="A24" s="30" t="str">
        <x:v>F020</x:v>
      </x:c>
      <x:c r="B24" s="30" t="str">
        <x:v>灾害与环境</x:v>
      </x:c>
      <x:c r="C24" s="30" t="str">
        <x:v>hazard.visibility_m</x:v>
      </x:c>
      <x:c r="D24" s="30" t="str">
        <x:v>能见距离</x:v>
      </x:c>
      <x:c r="E24" s="30" t="str">
        <x:v>状态</x:v>
      </x:c>
      <x:c r="F24" s="30" t="str">
        <x:v>float</x:v>
      </x:c>
      <x:c r="G24" s="30" t="str">
        <x:v>非负</x:v>
      </x:c>
      <x:c r="H24" s="30" t="str">
        <x:v>环境演化器</x:v>
      </x:c>
      <x:c r="I24" s="30" t="str">
        <x:v>真值隐藏；感知产出估计；启动公开条件另配</x:v>
      </x:c>
      <x:c r="J24" s="30" t="str">
        <x:v>A001；A002；A003；A004；A005；A021；A023；A025；A062；A063</x:v>
      </x:c>
      <x:c r="K24" s="30" t="str">
        <x:v>初始化/配置或相应状态所有者；不是任意Agent写入</x:v>
      </x:c>
      <x:c r="L24" s="30" t="n">
        <x:v>47</x:v>
      </x:c>
      <x:c r="M24" s="30" t="str">
        <x:v>S01；S03；S05；S08；S22；S23</x:v>
      </x:c>
      <x:c r="N24"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25" ht="120" customHeight="1">
      <x:c r="A25" s="30" t="str">
        <x:v>F021</x:v>
      </x:c>
      <x:c r="B25" s="30" t="str">
        <x:v>灾害与环境</x:v>
      </x:c>
      <x:c r="C25" s="30" t="str">
        <x:v>hazard.weather</x:v>
      </x:c>
      <x:c r="D25" s="30" t="str">
        <x:v>天气</x:v>
      </x:c>
      <x:c r="E25" s="30" t="str">
        <x:v>状态</x:v>
      </x:c>
      <x:c r="F25" s="30" t="str">
        <x:v>enum</x:v>
      </x:c>
      <x:c r="G25" s="30" t="str">
        <x:v>clear/cloudy/fog/partly_cloudy/overcast/rain/rain_storm/rain_light/sandstorm/sandstorm_calm/snow/snow_storm/snow_light</x:v>
      </x:c>
      <x:c r="H25" s="30" t="str">
        <x:v>环境演化器</x:v>
      </x:c>
      <x:c r="I25" s="30" t="str">
        <x:v>真值隐藏；感知产出估计；启动公开条件另配</x:v>
      </x:c>
      <x:c r="J25" s="30" t="str">
        <x:v>A001；A002；A003；A004；A005；A021；A023；A025；A062；A063</x:v>
      </x:c>
      <x:c r="K25" s="30" t="str">
        <x:v>初始化/配置或相应状态所有者；不是任意Agent写入</x:v>
      </x:c>
      <x:c r="L25" s="30" t="n">
        <x:v>47</x:v>
      </x:c>
      <x:c r="M25" s="30" t="str">
        <x:v>S01；S03；S05；S08；S22；S23</x:v>
      </x:c>
      <x:c r="N25"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26" ht="120" customHeight="1">
      <x:c r="A26" s="30" t="str">
        <x:v>F022</x:v>
      </x:c>
      <x:c r="B26" s="30" t="str">
        <x:v>灾害与环境</x:v>
      </x:c>
      <x:c r="C26" s="30" t="str">
        <x:v>hazard.illumination</x:v>
      </x:c>
      <x:c r="D26" s="30" t="str">
        <x:v>照明条件</x:v>
      </x:c>
      <x:c r="E26" s="30" t="str">
        <x:v>状态</x:v>
      </x:c>
      <x:c r="F26" s="30" t="str">
        <x:v>record</x:v>
      </x:c>
      <x:c r="G26" s="30" t="str">
        <x:v>时刻/太阳/曝光或lux；来源必须明示</x:v>
      </x:c>
      <x:c r="H26" s="30" t="str">
        <x:v>环境演化器</x:v>
      </x:c>
      <x:c r="I26" s="30" t="str">
        <x:v>真值隐藏；感知产出估计；启动公开条件另配</x:v>
      </x:c>
      <x:c r="J26" s="30" t="str">
        <x:v>A001；A002；A003；A004；A005；A021；A023；A025；A062；A063</x:v>
      </x:c>
      <x:c r="K26" s="30" t="str">
        <x:v>初始化/配置或相应状态所有者；不是任意Agent写入</x:v>
      </x:c>
      <x:c r="L26" s="30" t="n">
        <x:v>47</x:v>
      </x:c>
      <x:c r="M26" s="30" t="str">
        <x:v>S01；S03；S05；S08；S22；S23</x:v>
      </x:c>
      <x:c r="N26"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27" ht="120" customHeight="1">
      <x:c r="A27" s="30" t="str">
        <x:v>F023</x:v>
      </x:c>
      <x:c r="B27" s="30" t="str">
        <x:v>灾害与环境</x:v>
      </x:c>
      <x:c r="C27" s="30" t="str">
        <x:v>hazard.secondary_event</x:v>
      </x:c>
      <x:c r="D27" s="30" t="str">
        <x:v>次生事件配置</x:v>
      </x:c>
      <x:c r="E27" s="30" t="str">
        <x:v>配置</x:v>
      </x:c>
      <x:c r="F27" s="30" t="str">
        <x:v>record</x:v>
      </x:c>
      <x:c r="G27" s="30" t="str">
        <x:v>余震/再阻塞/涨水等模型与随机流</x:v>
      </x:c>
      <x:c r="H27" s="30" t="str">
        <x:v>环境演化器</x:v>
      </x:c>
      <x:c r="I27" s="30" t="str">
        <x:v>真值隐藏；感知产出估计；启动公开条件另配</x:v>
      </x:c>
      <x:c r="J27" s="30" t="str">
        <x:v>A001；A002；A003；A004；A005；A021；A023；A025；A062；A063</x:v>
      </x:c>
      <x:c r="K27" s="30" t="str">
        <x:v>初始化/配置或相应状态所有者；不是任意Agent写入</x:v>
      </x:c>
      <x:c r="L27" s="30" t="n">
        <x:v>47</x:v>
      </x:c>
      <x:c r="M27" s="30" t="str">
        <x:v>S01；S03；S05；S08；S22；S23</x:v>
      </x:c>
      <x:c r="N27"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28" ht="120" customHeight="1">
      <x:c r="A28" s="30" t="str">
        <x:v>F024</x:v>
      </x:c>
      <x:c r="B28" s="30" t="str">
        <x:v>灾害与环境</x:v>
      </x:c>
      <x:c r="C28" s="30" t="str">
        <x:v>hazard.exclusion_zone</x:v>
      </x:c>
      <x:c r="D28" s="30" t="str">
        <x:v>禁止接近区域</x:v>
      </x:c>
      <x:c r="E28" s="30" t="str">
        <x:v>状态</x:v>
      </x:c>
      <x:c r="F28" s="30" t="str">
        <x:v>polygon</x:v>
      </x:c>
      <x:c r="G28" s="30" t="str">
        <x:v>权威规则或观测估计分开</x:v>
      </x:c>
      <x:c r="H28" s="30" t="str">
        <x:v>环境演化器</x:v>
      </x:c>
      <x:c r="I28" s="30" t="str">
        <x:v>真值隐藏；感知产出估计；启动公开条件另配</x:v>
      </x:c>
      <x:c r="J28" s="30" t="str">
        <x:v>A001；A002；A003；A004；A005；A021；A023；A025；A062；A063</x:v>
      </x:c>
      <x:c r="K28" s="30" t="str">
        <x:v>A063</x:v>
      </x:c>
      <x:c r="L28" s="30" t="n">
        <x:v>47</x:v>
      </x:c>
      <x:c r="M28" s="30" t="str">
        <x:v>S01；S03；S05；S08；S22；S23</x:v>
      </x:c>
      <x:c r="N28"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29" ht="120" customHeight="1">
      <x:c r="A29" s="30" t="str">
        <x:v>F025</x:v>
      </x:c>
      <x:c r="B29" s="30" t="str">
        <x:v>灾害与环境</x:v>
      </x:c>
      <x:c r="C29" s="30" t="str">
        <x:v>hazard.expiry_s</x:v>
      </x:c>
      <x:c r="D29" s="30" t="str">
        <x:v>危险/限制预计结束</x:v>
      </x:c>
      <x:c r="E29" s="30" t="str">
        <x:v>状态</x:v>
      </x:c>
      <x:c r="F29" s="30" t="str">
        <x:v>float</x:v>
      </x:c>
      <x:c r="G29" s="30" t="str">
        <x:v>null或仿真时间</x:v>
      </x:c>
      <x:c r="H29" s="30" t="str">
        <x:v>环境演化器</x:v>
      </x:c>
      <x:c r="I29" s="30" t="str">
        <x:v>真值隐藏；感知产出估计；启动公开条件另配</x:v>
      </x:c>
      <x:c r="J29" s="30" t="str">
        <x:v>A001；A002；A003；A004；A005；A021；A023；A025；A062；A063</x:v>
      </x:c>
      <x:c r="K29" s="30" t="str">
        <x:v>初始化/配置或相应状态所有者；不是任意Agent写入</x:v>
      </x:c>
      <x:c r="L29" s="30" t="n">
        <x:v>47</x:v>
      </x:c>
      <x:c r="M29" s="30" t="str">
        <x:v>S01；S03；S05；S08；S22；S23</x:v>
      </x:c>
      <x:c r="N29" s="30" t="str">
        <x:v>https://insarag.org/wp-content/uploads/2021/06/INSARAG20Guidelines20Vol20II2C20Man20B.pdf
https://roborescue.github.io/rcrs-server/rcrs-server/index.html
https://4amgodvzx.github.io/ESAR.github.io/
https://github.com/BinaLab/FloodNet-Supervised_v1.0
https://www.undrr.org/m/risk-and-resilience-maps/
https://github.com/prs-eth/xbd-s12/blob/main/DATASET.md</x:v>
      </x:c>
    </x:row>
    <x:row r="30" ht="120" customHeight="1">
      <x:c r="A30" s="30" t="str">
        <x:v>F026</x:v>
      </x:c>
      <x:c r="B30" s="30" t="str">
        <x:v>建筑与抽象室内</x:v>
      </x:c>
      <x:c r="C30" s="30" t="str">
        <x:v>building.use</x:v>
      </x:c>
      <x:c r="D30" s="30" t="str">
        <x:v>建筑用途</x:v>
      </x:c>
      <x:c r="E30" s="30" t="str">
        <x:v>配置</x:v>
      </x:c>
      <x:c r="F30" s="30" t="str">
        <x:v>enum</x:v>
      </x:c>
      <x:c r="G30" s="30" t="str">
        <x:v>residential/commercial/public/industrial/storage/shelter</x:v>
      </x:c>
      <x:c r="H30" s="30" t="str">
        <x:v>建筑状态/搜索执行器</x:v>
      </x:c>
      <x:c r="I30" s="30" t="str">
        <x:v>物理真值不直接交给Agent；可见损毁由画面判断</x:v>
      </x:c>
      <x:c r="J30" s="30" t="str">
        <x:v>A005；A008；A010；A014；A015</x:v>
      </x:c>
      <x:c r="K30" s="30" t="str">
        <x:v>初始化/配置或相应状态所有者；不是任意Agent写入</x:v>
      </x:c>
      <x:c r="L30" s="30" t="n">
        <x:v>29</x:v>
      </x:c>
      <x:c r="M30" s="30" t="str">
        <x:v>S01；S07；S08；S09；S24</x:v>
      </x:c>
      <x:c r="N30" s="30" t="str">
        <x:v>https://insarag.org/wp-content/uploads/2021/06/INSARAG20Guidelines20Vol20II2C20Man20B.pdf
https://github.com/BinaLab/RescueNet-A-High-Resolution-Post-Disaster-UAV-Dataset-for-Semantic-Segmentation
https://github.com/BinaLab/FloodNet-Supervised_v1.0
https://arxiv.org/abs/1911.09296</x:v>
      </x:c>
    </x:row>
    <x:row r="31" ht="120" customHeight="1">
      <x:c r="A31" s="30" t="str">
        <x:v>F027</x:v>
      </x:c>
      <x:c r="B31" s="30" t="str">
        <x:v>建筑与抽象室内</x:v>
      </x:c>
      <x:c r="C31" s="30" t="str">
        <x:v>building.structure</x:v>
      </x:c>
      <x:c r="D31" s="30" t="str">
        <x:v>结构体系</x:v>
      </x:c>
      <x:c r="E31" s="30" t="str">
        <x:v>配置</x:v>
      </x:c>
      <x:c r="F31" s="30" t="str">
        <x:v>enum</x:v>
      </x:c>
      <x:c r="G31" s="30" t="str">
        <x:v>timber/masonry/RC/steel/mixed</x:v>
      </x:c>
      <x:c r="H31" s="30" t="str">
        <x:v>建筑状态/搜索执行器</x:v>
      </x:c>
      <x:c r="I31" s="30" t="str">
        <x:v>物理真值不直接交给Agent；可见损毁由画面判断</x:v>
      </x:c>
      <x:c r="J31" s="30" t="str">
        <x:v>A005；A008；A010；A014；A015</x:v>
      </x:c>
      <x:c r="K31" s="30" t="str">
        <x:v>初始化/配置或相应状态所有者；不是任意Agent写入</x:v>
      </x:c>
      <x:c r="L31" s="30" t="n">
        <x:v>29</x:v>
      </x:c>
      <x:c r="M31" s="30" t="str">
        <x:v>S01；S07；S08；S09；S24</x:v>
      </x:c>
      <x:c r="N31" s="30" t="str">
        <x:v>https://insarag.org/wp-content/uploads/2021/06/INSARAG20Guidelines20Vol20II2C20Man20B.pdf
https://github.com/BinaLab/RescueNet-A-High-Resolution-Post-Disaster-UAV-Dataset-for-Semantic-Segmentation
https://github.com/BinaLab/FloodNet-Supervised_v1.0
https://arxiv.org/abs/1911.09296</x:v>
      </x:c>
    </x:row>
    <x:row r="32" ht="120" customHeight="1">
      <x:c r="A32" s="30" t="str">
        <x:v>F028</x:v>
      </x:c>
      <x:c r="B32" s="30" t="str">
        <x:v>建筑与抽象室内</x:v>
      </x:c>
      <x:c r="C32" s="30" t="str">
        <x:v>building.floors</x:v>
      </x:c>
      <x:c r="D32" s="30" t="str">
        <x:v>楼层数</x:v>
      </x:c>
      <x:c r="E32" s="30" t="str">
        <x:v>配置</x:v>
      </x:c>
      <x:c r="F32" s="30" t="str">
        <x:v>int</x:v>
      </x:c>
      <x:c r="G32" s="30" t="str">
        <x:v>正整数</x:v>
      </x:c>
      <x:c r="H32" s="30" t="str">
        <x:v>建筑状态/搜索执行器</x:v>
      </x:c>
      <x:c r="I32" s="30" t="str">
        <x:v>物理真值不直接交给Agent；可见损毁由画面判断</x:v>
      </x:c>
      <x:c r="J32" s="30" t="str">
        <x:v>A005；A008；A010；A014；A015</x:v>
      </x:c>
      <x:c r="K32" s="30" t="str">
        <x:v>初始化/配置或相应状态所有者；不是任意Agent写入</x:v>
      </x:c>
      <x:c r="L32" s="30" t="n">
        <x:v>29</x:v>
      </x:c>
      <x:c r="M32" s="30" t="str">
        <x:v>S01；S07；S08；S09；S24</x:v>
      </x:c>
      <x:c r="N32" s="30" t="str">
        <x:v>https://insarag.org/wp-content/uploads/2021/06/INSARAG20Guidelines20Vol20II2C20Man20B.pdf
https://github.com/BinaLab/RescueNet-A-High-Resolution-Post-Disaster-UAV-Dataset-for-Semantic-Segmentation
https://github.com/BinaLab/FloodNet-Supervised_v1.0
https://arxiv.org/abs/1911.09296</x:v>
      </x:c>
    </x:row>
    <x:row r="33" ht="120" customHeight="1">
      <x:c r="A33" s="30" t="str">
        <x:v>F029</x:v>
      </x:c>
      <x:c r="B33" s="30" t="str">
        <x:v>建筑与抽象室内</x:v>
      </x:c>
      <x:c r="C33" s="30" t="str">
        <x:v>building.capacity</x:v>
      </x:c>
      <x:c r="D33" s="30" t="str">
        <x:v>灾前容纳参数</x:v>
      </x:c>
      <x:c r="E33" s="30" t="str">
        <x:v>配置</x:v>
      </x:c>
      <x:c r="F33" s="30" t="str">
        <x:v>int</x:v>
      </x:c>
      <x:c r="G33" s="30" t="str">
        <x:v>非负，生成先验不是事实占用数</x:v>
      </x:c>
      <x:c r="H33" s="30" t="str">
        <x:v>建筑状态/搜索执行器</x:v>
      </x:c>
      <x:c r="I33" s="30" t="str">
        <x:v>物理真值不直接交给Agent；可见损毁由画面判断</x:v>
      </x:c>
      <x:c r="J33" s="30" t="str">
        <x:v>A005；A008；A010；A014；A015</x:v>
      </x:c>
      <x:c r="K33" s="30" t="str">
        <x:v>初始化/配置或相应状态所有者；不是任意Agent写入</x:v>
      </x:c>
      <x:c r="L33" s="30" t="n">
        <x:v>29</x:v>
      </x:c>
      <x:c r="M33" s="30" t="str">
        <x:v>S01；S07；S08；S09；S24</x:v>
      </x:c>
      <x:c r="N33" s="30" t="str">
        <x:v>https://insarag.org/wp-content/uploads/2021/06/INSARAG20Guidelines20Vol20II2C20Man20B.pdf
https://github.com/BinaLab/RescueNet-A-High-Resolution-Post-Disaster-UAV-Dataset-for-Semantic-Segmentation
https://github.com/BinaLab/FloodNet-Supervised_v1.0
https://arxiv.org/abs/1911.09296</x:v>
      </x:c>
    </x:row>
    <x:row r="34" ht="120" customHeight="1">
      <x:c r="A34" s="30" t="str">
        <x:v>F030</x:v>
      </x:c>
      <x:c r="B34" s="30" t="str">
        <x:v>建筑与抽象室内</x:v>
      </x:c>
      <x:c r="C34" s="30" t="str">
        <x:v>building.visual_damage</x:v>
      </x:c>
      <x:c r="D34" s="30" t="str">
        <x:v>外观损毁等级</x:v>
      </x:c>
      <x:c r="E34" s="30" t="str">
        <x:v>状态</x:v>
      </x:c>
      <x:c r="F34" s="30" t="str">
        <x:v>enum</x:v>
      </x:c>
      <x:c r="G34" s="30" t="str">
        <x:v>none/minor/major/destroyed</x:v>
      </x:c>
      <x:c r="H34" s="30" t="str">
        <x:v>建筑状态/搜索执行器</x:v>
      </x:c>
      <x:c r="I34" s="30" t="str">
        <x:v>物理真值不直接交给Agent；可见损毁由画面判断</x:v>
      </x:c>
      <x:c r="J34" s="30" t="str">
        <x:v>A005；A008；A010；A014；A015</x:v>
      </x:c>
      <x:c r="K34" s="30" t="str">
        <x:v>初始化/配置或相应状态所有者；不是任意Agent写入</x:v>
      </x:c>
      <x:c r="L34" s="30" t="n">
        <x:v>29</x:v>
      </x:c>
      <x:c r="M34" s="30" t="str">
        <x:v>S01；S07；S08；S09；S24</x:v>
      </x:c>
      <x:c r="N34" s="30" t="str">
        <x:v>https://insarag.org/wp-content/uploads/2021/06/INSARAG20Guidelines20Vol20II2C20Man20B.pdf
https://github.com/BinaLab/RescueNet-A-High-Resolution-Post-Disaster-UAV-Dataset-for-Semantic-Segmentation
https://github.com/BinaLab/FloodNet-Supervised_v1.0
https://arxiv.org/abs/1911.09296</x:v>
      </x:c>
    </x:row>
    <x:row r="35" ht="120" customHeight="1">
      <x:c r="A35" s="30" t="str">
        <x:v>F031</x:v>
      </x:c>
      <x:c r="B35" s="30" t="str">
        <x:v>建筑与抽象室内</x:v>
      </x:c>
      <x:c r="C35" s="30" t="str">
        <x:v>building.structural_condition</x:v>
      </x:c>
      <x:c r="D35" s="30" t="str">
        <x:v>结构状态</x:v>
      </x:c>
      <x:c r="E35" s="30" t="str">
        <x:v>状态</x:v>
      </x:c>
      <x:c r="F35" s="30" t="str">
        <x:v>enum</x:v>
      </x:c>
      <x:c r="G35" s="30" t="str">
        <x:v>stable/compromised/unstable/collapsed/not_modeled</x:v>
      </x:c>
      <x:c r="H35" s="30" t="str">
        <x:v>建筑状态/搜索执行器</x:v>
      </x:c>
      <x:c r="I35" s="30" t="str">
        <x:v>物理真值不直接交给Agent；可见损毁由画面判断</x:v>
      </x:c>
      <x:c r="J35" s="30" t="str">
        <x:v>A005；A008；A010；A014；A015</x:v>
      </x:c>
      <x:c r="K35" s="30" t="str">
        <x:v>初始化/配置或相应状态所有者；不是任意Agent写入</x:v>
      </x:c>
      <x:c r="L35" s="30" t="n">
        <x:v>29</x:v>
      </x:c>
      <x:c r="M35" s="30" t="str">
        <x:v>S01；S07；S08；S09；S24</x:v>
      </x:c>
      <x:c r="N35" s="30" t="str">
        <x:v>https://insarag.org/wp-content/uploads/2021/06/INSARAG20Guidelines20Vol20II2C20Man20B.pdf
https://github.com/BinaLab/RescueNet-A-High-Resolution-Post-Disaster-UAV-Dataset-for-Semantic-Segmentation
https://github.com/BinaLab/FloodNet-Supervised_v1.0
https://arxiv.org/abs/1911.09296</x:v>
      </x:c>
    </x:row>
    <x:row r="36" ht="120" customHeight="1">
      <x:c r="A36" s="30" t="str">
        <x:v>F032</x:v>
      </x:c>
      <x:c r="B36" s="30" t="str">
        <x:v>建筑与抽象室内</x:v>
      </x:c>
      <x:c r="C36" s="30" t="str">
        <x:v>building.roof_loss_ratio</x:v>
      </x:c>
      <x:c r="D36" s="30" t="str">
        <x:v>屋面缺失比例</x:v>
      </x:c>
      <x:c r="E36" s="30" t="str">
        <x:v>状态</x:v>
      </x:c>
      <x:c r="F36" s="30" t="str">
        <x:v>float</x:v>
      </x:c>
      <x:c r="G36" s="30" t="str">
        <x:v>[0,1]，与damage非固定等价</x:v>
      </x:c>
      <x:c r="H36" s="30" t="str">
        <x:v>建筑状态/搜索执行器</x:v>
      </x:c>
      <x:c r="I36" s="30" t="str">
        <x:v>物理真值不直接交给Agent；可见损毁由画面判断</x:v>
      </x:c>
      <x:c r="J36" s="30" t="str">
        <x:v>A005；A008；A010；A014；A015</x:v>
      </x:c>
      <x:c r="K36" s="30" t="str">
        <x:v>初始化/配置或相应状态所有者；不是任意Agent写入</x:v>
      </x:c>
      <x:c r="L36" s="30" t="n">
        <x:v>29</x:v>
      </x:c>
      <x:c r="M36" s="30" t="str">
        <x:v>S01；S07；S08；S09；S24</x:v>
      </x:c>
      <x:c r="N36" s="30" t="str">
        <x:v>https://insarag.org/wp-content/uploads/2021/06/INSARAG20Guidelines20Vol20II2C20Man20B.pdf
https://github.com/BinaLab/RescueNet-A-High-Resolution-Post-Disaster-UAV-Dataset-for-Semantic-Segmentation
https://github.com/BinaLab/FloodNet-Supervised_v1.0
https://arxiv.org/abs/1911.09296</x:v>
      </x:c>
    </x:row>
    <x:row r="37" ht="120" customHeight="1">
      <x:c r="A37" s="30" t="str">
        <x:v>F033</x:v>
      </x:c>
      <x:c r="B37" s="30" t="str">
        <x:v>建筑与抽象室内</x:v>
      </x:c>
      <x:c r="C37" s="30" t="str">
        <x:v>building.wall_damage</x:v>
      </x:c>
      <x:c r="D37" s="30" t="str">
        <x:v>外墙破坏特征</x:v>
      </x:c>
      <x:c r="E37" s="30" t="str">
        <x:v>状态</x:v>
      </x:c>
      <x:c r="F37" s="30" t="str">
        <x:v>record</x:v>
      </x:c>
      <x:c r="G37" s="30" t="str">
        <x:v>裂纹/缺口/侧向/几何引用</x:v>
      </x:c>
      <x:c r="H37" s="30" t="str">
        <x:v>建筑状态/搜索执行器</x:v>
      </x:c>
      <x:c r="I37" s="30" t="str">
        <x:v>物理真值不直接交给Agent；可见损毁由画面判断</x:v>
      </x:c>
      <x:c r="J37" s="30" t="str">
        <x:v>A005；A008；A010；A014；A015</x:v>
      </x:c>
      <x:c r="K37" s="30" t="str">
        <x:v>A014</x:v>
      </x:c>
      <x:c r="L37" s="30" t="n">
        <x:v>29</x:v>
      </x:c>
      <x:c r="M37" s="30" t="str">
        <x:v>S01；S07；S08；S09；S24</x:v>
      </x:c>
      <x:c r="N37" s="30" t="str">
        <x:v>https://insarag.org/wp-content/uploads/2021/06/INSARAG20Guidelines20Vol20II2C20Man20B.pdf
https://github.com/BinaLab/RescueNet-A-High-Resolution-Post-Disaster-UAV-Dataset-for-Semantic-Segmentation
https://github.com/BinaLab/FloodNet-Supervised_v1.0
https://arxiv.org/abs/1911.09296</x:v>
      </x:c>
    </x:row>
    <x:row r="38" ht="120" customHeight="1">
      <x:c r="A38" s="30" t="str">
        <x:v>F034</x:v>
      </x:c>
      <x:c r="B38" s="30" t="str">
        <x:v>建筑与抽象室内</x:v>
      </x:c>
      <x:c r="C38" s="30" t="str">
        <x:v>building.flood_exposure</x:v>
      </x:c>
      <x:c r="D38" s="30" t="str">
        <x:v>可见受淹状态</x:v>
      </x:c>
      <x:c r="E38" s="30" t="str">
        <x:v>状态</x:v>
      </x:c>
      <x:c r="F38" s="30" t="str">
        <x:v>enum</x:v>
      </x:c>
      <x:c r="G38" s="30" t="str">
        <x:v>not_flooded/flooded</x:v>
      </x:c>
      <x:c r="H38" s="30" t="str">
        <x:v>建筑状态/搜索执行器</x:v>
      </x:c>
      <x:c r="I38" s="30" t="str">
        <x:v>物理真值不直接交给Agent；可见损毁由画面判断</x:v>
      </x:c>
      <x:c r="J38" s="30" t="str">
        <x:v>A005；A008；A010；A014；A015</x:v>
      </x:c>
      <x:c r="K38" s="30" t="str">
        <x:v>初始化/配置或相应状态所有者；不是任意Agent写入</x:v>
      </x:c>
      <x:c r="L38" s="30" t="n">
        <x:v>29</x:v>
      </x:c>
      <x:c r="M38" s="30" t="str">
        <x:v>S01；S07；S08；S09；S24</x:v>
      </x:c>
      <x:c r="N38" s="30" t="str">
        <x:v>https://insarag.org/wp-content/uploads/2021/06/INSARAG20Guidelines20Vol20II2C20Man20B.pdf
https://github.com/BinaLab/RescueNet-A-High-Resolution-Post-Disaster-UAV-Dataset-for-Semantic-Segmentation
https://github.com/BinaLab/FloodNet-Supervised_v1.0
https://arxiv.org/abs/1911.09296</x:v>
      </x:c>
    </x:row>
    <x:row r="39" ht="120" customHeight="1">
      <x:c r="A39" s="30" t="str">
        <x:v>F035</x:v>
      </x:c>
      <x:c r="B39" s="30" t="str">
        <x:v>建筑与抽象室内</x:v>
      </x:c>
      <x:c r="C39" s="30" t="str">
        <x:v>building.entrance_ids</x:v>
      </x:c>
      <x:c r="D39" s="30" t="str">
        <x:v>入口集合</x:v>
      </x:c>
      <x:c r="E39" s="30" t="str">
        <x:v>配置</x:v>
      </x:c>
      <x:c r="F39" s="30" t="str">
        <x:v>list[id]</x:v>
      </x:c>
      <x:c r="G39" s="30" t="str">
        <x:v>必须落在建筑边界附近</x:v>
      </x:c>
      <x:c r="H39" s="30" t="str">
        <x:v>建筑状态/搜索执行器</x:v>
      </x:c>
      <x:c r="I39" s="30" t="str">
        <x:v>物理真值不直接交给Agent；可见损毁由画面判断</x:v>
      </x:c>
      <x:c r="J39" s="30" t="str">
        <x:v>A005；A008；A010；A014；A015</x:v>
      </x:c>
      <x:c r="K39" s="30" t="str">
        <x:v>初始化/配置或相应状态所有者；不是任意Agent写入</x:v>
      </x:c>
      <x:c r="L39" s="30" t="n">
        <x:v>29</x:v>
      </x:c>
      <x:c r="M39" s="30" t="str">
        <x:v>S01；S07；S08；S09；S24</x:v>
      </x:c>
      <x:c r="N39" s="30" t="str">
        <x:v>https://insarag.org/wp-content/uploads/2021/06/INSARAG20Guidelines20Vol20II2C20Man20B.pdf
https://github.com/BinaLab/RescueNet-A-High-Resolution-Post-Disaster-UAV-Dataset-for-Semantic-Segmentation
https://github.com/BinaLab/FloodNet-Supervised_v1.0
https://arxiv.org/abs/1911.09296</x:v>
      </x:c>
    </x:row>
    <x:row r="40" ht="120" customHeight="1">
      <x:c r="A40" s="30" t="str">
        <x:v>F036</x:v>
      </x:c>
      <x:c r="B40" s="30" t="str">
        <x:v>建筑与抽象室内</x:v>
      </x:c>
      <x:c r="C40" s="30" t="str">
        <x:v>building.interior_area_m2</x:v>
      </x:c>
      <x:c r="D40" s="30" t="str">
        <x:v>抽象室内搜索面积</x:v>
      </x:c>
      <x:c r="E40" s="30" t="str">
        <x:v>配置</x:v>
      </x:c>
      <x:c r="F40" s="30" t="str">
        <x:v>float</x:v>
      </x:c>
      <x:c r="G40" s="30" t="str">
        <x:v>非负</x:v>
      </x:c>
      <x:c r="H40" s="30" t="str">
        <x:v>建筑状态/搜索执行器</x:v>
      </x:c>
      <x:c r="I40" s="30" t="str">
        <x:v>物理真值不直接交给Agent；可见损毁由画面判断</x:v>
      </x:c>
      <x:c r="J40" s="30" t="str">
        <x:v>A005；A008；A010；A014；A015</x:v>
      </x:c>
      <x:c r="K40" s="30" t="str">
        <x:v>初始化/配置或相应状态所有者；不是任意Agent写入</x:v>
      </x:c>
      <x:c r="L40" s="30" t="n">
        <x:v>29</x:v>
      </x:c>
      <x:c r="M40" s="30" t="str">
        <x:v>S01；S07；S08；S09；S24</x:v>
      </x:c>
      <x:c r="N40" s="30" t="str">
        <x:v>https://insarag.org/wp-content/uploads/2021/06/INSARAG20Guidelines20Vol20II2C20Man20B.pdf
https://github.com/BinaLab/RescueNet-A-High-Resolution-Post-Disaster-UAV-Dataset-for-Semantic-Segmentation
https://github.com/BinaLab/FloodNet-Supervised_v1.0
https://arxiv.org/abs/1911.09296</x:v>
      </x:c>
    </x:row>
    <x:row r="41" ht="120" customHeight="1">
      <x:c r="A41" s="30" t="str">
        <x:v>F037</x:v>
      </x:c>
      <x:c r="B41" s="30" t="str">
        <x:v>建筑与抽象室内</x:v>
      </x:c>
      <x:c r="C41" s="30" t="str">
        <x:v>building.interior_mode</x:v>
      </x:c>
      <x:c r="D41" s="30" t="str">
        <x:v>室内执行精度</x:v>
      </x:c>
      <x:c r="E41" s="30" t="str">
        <x:v>配置</x:v>
      </x:c>
      <x:c r="F41" s="30" t="str">
        <x:v>enum</x:v>
      </x:c>
      <x:c r="G41" s="30" t="str">
        <x:v>abstract/visual/continuous；本期abstract</x:v>
      </x:c>
      <x:c r="H41" s="30" t="str">
        <x:v>建筑状态/搜索执行器</x:v>
      </x:c>
      <x:c r="I41" s="30" t="str">
        <x:v>物理真值不直接交给Agent；可见损毁由画面判断</x:v>
      </x:c>
      <x:c r="J41" s="30" t="str">
        <x:v>A005；A008；A010；A014；A015</x:v>
      </x:c>
      <x:c r="K41" s="30" t="str">
        <x:v>初始化/配置或相应状态所有者；不是任意Agent写入</x:v>
      </x:c>
      <x:c r="L41" s="30" t="n">
        <x:v>29</x:v>
      </x:c>
      <x:c r="M41" s="30" t="str">
        <x:v>S01；S07；S08；S09；S24</x:v>
      </x:c>
      <x:c r="N41" s="30" t="str">
        <x:v>https://insarag.org/wp-content/uploads/2021/06/INSARAG20Guidelines20Vol20II2C20Man20B.pdf
https://github.com/BinaLab/RescueNet-A-High-Resolution-Post-Disaster-UAV-Dataset-for-Semantic-Segmentation
https://github.com/BinaLab/FloodNet-Supervised_v1.0
https://arxiv.org/abs/1911.09296</x:v>
      </x:c>
    </x:row>
    <x:row r="42" ht="120" customHeight="1">
      <x:c r="A42" s="30" t="str">
        <x:v>F038</x:v>
      </x:c>
      <x:c r="B42" s="30" t="str">
        <x:v>建筑与抽象室内</x:v>
      </x:c>
      <x:c r="C42" s="30" t="str">
        <x:v>building.search_difficulty</x:v>
      </x:c>
      <x:c r="D42" s="30" t="str">
        <x:v>室内搜索工作量参数</x:v>
      </x:c>
      <x:c r="E42" s="30" t="str">
        <x:v>配置</x:v>
      </x:c>
      <x:c r="F42" s="30" t="str">
        <x:v>record</x:v>
      </x:c>
      <x:c r="G42" s="30" t="str">
        <x:v>模型ID+校准值；非任意损毁→耗时表</x:v>
      </x:c>
      <x:c r="H42" s="30" t="str">
        <x:v>建筑状态/搜索执行器</x:v>
      </x:c>
      <x:c r="I42" s="30" t="str">
        <x:v>物理真值不直接交给Agent；可见损毁由画面判断</x:v>
      </x:c>
      <x:c r="J42" s="30" t="str">
        <x:v>A005；A008；A010；A014；A015</x:v>
      </x:c>
      <x:c r="K42" s="30" t="str">
        <x:v>初始化/配置或相应状态所有者；不是任意Agent写入</x:v>
      </x:c>
      <x:c r="L42" s="30" t="n">
        <x:v>29</x:v>
      </x:c>
      <x:c r="M42" s="30" t="str">
        <x:v>S01；S07；S08；S09；S24</x:v>
      </x:c>
      <x:c r="N42" s="30" t="str">
        <x:v>https://insarag.org/wp-content/uploads/2021/06/INSARAG20Guidelines20Vol20II2C20Man20B.pdf
https://github.com/BinaLab/RescueNet-A-High-Resolution-Post-Disaster-UAV-Dataset-for-Semantic-Segmentation
https://github.com/BinaLab/FloodNet-Supervised_v1.0
https://arxiv.org/abs/1911.09296</x:v>
      </x:c>
    </x:row>
    <x:row r="43" ht="120" customHeight="1">
      <x:c r="A43" s="30" t="str">
        <x:v>F039</x:v>
      </x:c>
      <x:c r="B43" s="30" t="str">
        <x:v>建筑与抽象室内</x:v>
      </x:c>
      <x:c r="C43" s="30" t="str">
        <x:v>building.occupant_ids</x:v>
      </x:c>
      <x:c r="D43" s="30" t="str">
        <x:v>内部人员真值</x:v>
      </x:c>
      <x:c r="E43" s="30" t="str">
        <x:v>状态</x:v>
      </x:c>
      <x:c r="F43" s="30" t="str">
        <x:v>list[id]</x:v>
      </x:c>
      <x:c r="G43" s="30" t="str">
        <x:v>可为空；仅环境可查</x:v>
      </x:c>
      <x:c r="H43" s="30" t="str">
        <x:v>建筑状态/搜索执行器</x:v>
      </x:c>
      <x:c r="I43" s="30" t="str">
        <x:v>物理真值不直接交给Agent；可见损毁由画面判断</x:v>
      </x:c>
      <x:c r="J43" s="30" t="str">
        <x:v>A005；A008；A010；A014；A015</x:v>
      </x:c>
      <x:c r="K43" s="30" t="str">
        <x:v>初始化/配置或相应状态所有者；不是任意Agent写入</x:v>
      </x:c>
      <x:c r="L43" s="30" t="n">
        <x:v>29</x:v>
      </x:c>
      <x:c r="M43" s="30" t="str">
        <x:v>S01；S07；S08；S09；S24</x:v>
      </x:c>
      <x:c r="N43" s="30" t="str">
        <x:v>https://insarag.org/wp-content/uploads/2021/06/INSARAG20Guidelines20Vol20II2C20Man20B.pdf
https://github.com/BinaLab/RescueNet-A-High-Resolution-Post-Disaster-UAV-Dataset-for-Semantic-Segmentation
https://github.com/BinaLab/FloodNet-Supervised_v1.0
https://arxiv.org/abs/1911.09296</x:v>
      </x:c>
    </x:row>
    <x:row r="44" ht="120" customHeight="1">
      <x:c r="A44" s="30" t="str">
        <x:v>F040</x:v>
      </x:c>
      <x:c r="B44" s="30" t="str">
        <x:v>建筑与抽象室内</x:v>
      </x:c>
      <x:c r="C44" s="30" t="str">
        <x:v>building.search_coverage_truth</x:v>
      </x:c>
      <x:c r="D44" s="30" t="str">
        <x:v>真实搜索覆盖</x:v>
      </x:c>
      <x:c r="E44" s="30" t="str">
        <x:v>状态</x:v>
      </x:c>
      <x:c r="F44" s="30" t="str">
        <x:v>float</x:v>
      </x:c>
      <x:c r="G44" s="30" t="str">
        <x:v>[0,1]，不会直接发给所有Agent</x:v>
      </x:c>
      <x:c r="H44" s="30" t="str">
        <x:v>建筑状态/搜索执行器</x:v>
      </x:c>
      <x:c r="I44" s="30" t="str">
        <x:v>物理真值不直接交给Agent；可见损毁由画面判断</x:v>
      </x:c>
      <x:c r="J44" s="30" t="str">
        <x:v>A005；A008；A010；A014；A015</x:v>
      </x:c>
      <x:c r="K44" s="30" t="str">
        <x:v>A008</x:v>
      </x:c>
      <x:c r="L44" s="30" t="n">
        <x:v>29</x:v>
      </x:c>
      <x:c r="M44" s="30" t="str">
        <x:v>S01；S07；S08；S09；S24</x:v>
      </x:c>
      <x:c r="N44" s="30" t="str">
        <x:v>https://insarag.org/wp-content/uploads/2021/06/INSARAG20Guidelines20Vol20II2C20Man20B.pdf
https://github.com/BinaLab/RescueNet-A-High-Resolution-Post-Disaster-UAV-Dataset-for-Semantic-Segmentation
https://github.com/BinaLab/FloodNet-Supervised_v1.0
https://arxiv.org/abs/1911.09296</x:v>
      </x:c>
    </x:row>
    <x:row r="45" ht="120" customHeight="1">
      <x:c r="A45" s="30" t="str">
        <x:v>F041</x:v>
      </x:c>
      <x:c r="B45" s="30" t="str">
        <x:v>建筑与抽象室内</x:v>
      </x:c>
      <x:c r="C45" s="30" t="str">
        <x:v>building.worksite_record</x:v>
      </x:c>
      <x:c r="D45" s="30" t="str">
        <x:v>工作现场登记</x:v>
      </x:c>
      <x:c r="E45" s="30" t="str">
        <x:v>状态</x:v>
      </x:c>
      <x:c r="F45" s="30" t="str">
        <x:v>record</x:v>
      </x:c>
      <x:c r="G45" s="30" t="str">
        <x:v>执行队伍/级别/日期/已覆盖区域</x:v>
      </x:c>
      <x:c r="H45" s="30" t="str">
        <x:v>建筑状态/搜索执行器</x:v>
      </x:c>
      <x:c r="I45" s="30" t="str">
        <x:v>物理真值不直接交给Agent；可见损毁由画面判断</x:v>
      </x:c>
      <x:c r="J45" s="30" t="str">
        <x:v>A005；A008；A010；A014；A015</x:v>
      </x:c>
      <x:c r="K45" s="30" t="str">
        <x:v>A010</x:v>
      </x:c>
      <x:c r="L45" s="30" t="n">
        <x:v>29</x:v>
      </x:c>
      <x:c r="M45" s="30" t="str">
        <x:v>S01；S07；S08；S09；S24</x:v>
      </x:c>
      <x:c r="N45" s="30" t="str">
        <x:v>https://insarag.org/wp-content/uploads/2021/06/INSARAG20Guidelines20Vol20II2C20Man20B.pdf
https://github.com/BinaLab/RescueNet-A-High-Resolution-Post-Disaster-UAV-Dataset-for-Semantic-Segmentation
https://github.com/BinaLab/FloodNet-Supervised_v1.0
https://arxiv.org/abs/1911.09296</x:v>
      </x:c>
    </x:row>
    <x:row r="46" ht="120" customHeight="1">
      <x:c r="A46" s="30" t="str">
        <x:v>F042</x:v>
      </x:c>
      <x:c r="B46" s="30" t="str">
        <x:v>建筑与抽象室内</x:v>
      </x:c>
      <x:c r="C46" s="30" t="str">
        <x:v>building.remaining_hazard</x:v>
      </x:c>
      <x:c r="D46" s="30" t="str">
        <x:v>残余危险</x:v>
      </x:c>
      <x:c r="E46" s="30" t="str">
        <x:v>状态</x:v>
      </x:c>
      <x:c r="F46" s="30" t="str">
        <x:v>set</x:v>
      </x:c>
      <x:c r="G46" s="30" t="str">
        <x:v>fire/gas/collapse/electrical/water等</x:v>
      </x:c>
      <x:c r="H46" s="30" t="str">
        <x:v>建筑状态/搜索执行器</x:v>
      </x:c>
      <x:c r="I46" s="30" t="str">
        <x:v>物理真值不直接交给Agent；可见损毁由画面判断</x:v>
      </x:c>
      <x:c r="J46" s="30" t="str">
        <x:v>A005；A008；A010；A014；A015</x:v>
      </x:c>
      <x:c r="K46" s="30" t="str">
        <x:v>A015</x:v>
      </x:c>
      <x:c r="L46" s="30" t="n">
        <x:v>29</x:v>
      </x:c>
      <x:c r="M46" s="30" t="str">
        <x:v>S01；S07；S08；S09；S24</x:v>
      </x:c>
      <x:c r="N46" s="30" t="str">
        <x:v>https://insarag.org/wp-content/uploads/2021/06/INSARAG20Guidelines20Vol20II2C20Man20B.pdf
https://github.com/BinaLab/RescueNet-A-High-Resolution-Post-Disaster-UAV-Dataset-for-Semantic-Segmentation
https://github.com/BinaLab/FloodNet-Supervised_v1.0
https://arxiv.org/abs/1911.09296</x:v>
      </x:c>
    </x:row>
    <x:row r="47" ht="120" customHeight="1">
      <x:c r="A47" s="30" t="str">
        <x:v>F043</x:v>
      </x:c>
      <x:c r="B47" s="30" t="str">
        <x:v>建筑与抽象室内</x:v>
      </x:c>
      <x:c r="C47" s="30" t="str">
        <x:v>building.render_variant</x:v>
      </x:c>
      <x:c r="D47" s="30" t="str">
        <x:v>外观资产选择</x:v>
      </x:c>
      <x:c r="E47" s="30" t="str">
        <x:v>派生</x:v>
      </x:c>
      <x:c r="F47" s="30" t="str">
        <x:v>record</x:v>
      </x:c>
      <x:c r="G47" s="30" t="str">
        <x:v>asset_id+damage_variant+geometry_revision</x:v>
      </x:c>
      <x:c r="H47" s="30" t="str">
        <x:v>建筑状态/搜索执行器</x:v>
      </x:c>
      <x:c r="I47" s="30" t="str">
        <x:v>物理真值不直接交给Agent；可见损毁由画面判断</x:v>
      </x:c>
      <x:c r="J47" s="30" t="str">
        <x:v>A005；A008；A010；A014；A015</x:v>
      </x:c>
      <x:c r="K47" s="30" t="str">
        <x:v>初始化/配置或相应状态所有者；不是任意Agent写入</x:v>
      </x:c>
      <x:c r="L47" s="30" t="n">
        <x:v>29</x:v>
      </x:c>
      <x:c r="M47" s="30" t="str">
        <x:v>S01；S07；S08；S09；S24</x:v>
      </x:c>
      <x:c r="N47" s="30" t="str">
        <x:v>https://insarag.org/wp-content/uploads/2021/06/INSARAG20Guidelines20Vol20II2C20Man20B.pdf
https://github.com/BinaLab/RescueNet-A-High-Resolution-Post-Disaster-UAV-Dataset-for-Semantic-Segmentation
https://github.com/BinaLab/FloodNet-Supervised_v1.0
https://arxiv.org/abs/1911.09296</x:v>
      </x:c>
    </x:row>
    <x:row r="48" ht="120" customHeight="1">
      <x:c r="A48" s="30" t="str">
        <x:v>F044</x:v>
      </x:c>
      <x:c r="B48" s="30" t="str">
        <x:v>道路入口与可达性</x:v>
      </x:c>
      <x:c r="C48" s="30" t="str">
        <x:v>road.centerline</x:v>
      </x:c>
      <x:c r="D48" s="30" t="str">
        <x:v>道路中心线</x:v>
      </x:c>
      <x:c r="E48" s="30" t="str">
        <x:v>配置</x:v>
      </x:c>
      <x:c r="F48" s="30" t="str">
        <x:v>polyline</x:v>
      </x:c>
      <x:c r="G48" s="30" t="str">
        <x:v>连通的米制坐标线</x:v>
      </x:c>
      <x:c r="H48" s="30" t="str">
        <x:v>几何/通行适配器</x:v>
      </x:c>
      <x:c r="I48" s="30" t="str">
        <x:v>真值与Agent通行估计分开</x:v>
      </x:c>
      <x:c r="J48" s="30" t="str">
        <x:v>A001；A002；A003；A008；A011；A012；A013；A014；A016；A021；A026；A031；A057；A063；A066</x:v>
      </x:c>
      <x:c r="K48" s="30" t="str">
        <x:v>初始化/配置或相应状态所有者；不是任意Agent写入</x:v>
      </x:c>
      <x:c r="L48" s="30" t="n">
        <x:v>45</x:v>
      </x:c>
      <x:c r="M48" s="30" t="str">
        <x:v>S01；S03；S07；S08；S24</x:v>
      </x:c>
      <x:c r="N48"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49" ht="120" customHeight="1">
      <x:c r="A49" s="30" t="str">
        <x:v>F045</x:v>
      </x:c>
      <x:c r="B49" s="30" t="str">
        <x:v>道路入口与可达性</x:v>
      </x:c>
      <x:c r="C49" s="30" t="str">
        <x:v>road.width_m</x:v>
      </x:c>
      <x:c r="D49" s="30" t="str">
        <x:v>名义道路宽度</x:v>
      </x:c>
      <x:c r="E49" s="30" t="str">
        <x:v>配置</x:v>
      </x:c>
      <x:c r="F49" s="30" t="str">
        <x:v>float</x:v>
      </x:c>
      <x:c r="G49" s="30" t="str">
        <x:v>正数</x:v>
      </x:c>
      <x:c r="H49" s="30" t="str">
        <x:v>几何/通行适配器</x:v>
      </x:c>
      <x:c r="I49" s="30" t="str">
        <x:v>真值与Agent通行估计分开</x:v>
      </x:c>
      <x:c r="J49" s="30" t="str">
        <x:v>A001；A002；A003；A008；A011；A012；A013；A014；A016；A021；A026；A031；A057；A063；A066</x:v>
      </x:c>
      <x:c r="K49" s="30" t="str">
        <x:v>初始化/配置或相应状态所有者；不是任意Agent写入</x:v>
      </x:c>
      <x:c r="L49" s="30" t="n">
        <x:v>45</x:v>
      </x:c>
      <x:c r="M49" s="30" t="str">
        <x:v>S01；S03；S07；S08；S24</x:v>
      </x:c>
      <x:c r="N49"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50" ht="120" customHeight="1">
      <x:c r="A50" s="30" t="str">
        <x:v>F046</x:v>
      </x:c>
      <x:c r="B50" s="30" t="str">
        <x:v>道路入口与可达性</x:v>
      </x:c>
      <x:c r="C50" s="30" t="str">
        <x:v>road.surface</x:v>
      </x:c>
      <x:c r="D50" s="30" t="str">
        <x:v>路面类别</x:v>
      </x:c>
      <x:c r="E50" s="30" t="str">
        <x:v>状态</x:v>
      </x:c>
      <x:c r="F50" s="30" t="str">
        <x:v>enum</x:v>
      </x:c>
      <x:c r="G50" s="30" t="str">
        <x:v>asphalt/concrete/gravel/soil/mud/water/snow</x:v>
      </x:c>
      <x:c r="H50" s="30" t="str">
        <x:v>几何/通行适配器</x:v>
      </x:c>
      <x:c r="I50" s="30" t="str">
        <x:v>真值与Agent通行估计分开</x:v>
      </x:c>
      <x:c r="J50" s="30" t="str">
        <x:v>A001；A002；A003；A008；A011；A012；A013；A014；A016；A021；A026；A031；A057；A063</x:v>
      </x:c>
      <x:c r="K50" s="30" t="str">
        <x:v>初始化/配置或相应状态所有者；不是任意Agent写入</x:v>
      </x:c>
      <x:c r="L50" s="30" t="n">
        <x:v>45</x:v>
      </x:c>
      <x:c r="M50" s="30" t="str">
        <x:v>S01；S03；S07；S08；S24</x:v>
      </x:c>
      <x:c r="N50"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51" ht="120" customHeight="1">
      <x:c r="A51" s="30" t="str">
        <x:v>F047</x:v>
      </x:c>
      <x:c r="B51" s="30" t="str">
        <x:v>道路入口与可达性</x:v>
      </x:c>
      <x:c r="C51" s="30" t="str">
        <x:v>road.from_node</x:v>
      </x:c>
      <x:c r="D51" s="30" t="str">
        <x:v>道路起点</x:v>
      </x:c>
      <x:c r="E51" s="30" t="str">
        <x:v>配置</x:v>
      </x:c>
      <x:c r="F51" s="30" t="str">
        <x:v>id</x:v>
      </x:c>
      <x:c r="G51" s="30" t="str">
        <x:v>拓扑节点ID</x:v>
      </x:c>
      <x:c r="H51" s="30" t="str">
        <x:v>几何/通行适配器</x:v>
      </x:c>
      <x:c r="I51" s="30" t="str">
        <x:v>真值与Agent通行估计分开</x:v>
      </x:c>
      <x:c r="J51" s="30" t="str">
        <x:v>A001；A002；A003；A008；A011；A012；A013；A014；A016；A021；A026；A031；A057；A063；A066</x:v>
      </x:c>
      <x:c r="K51" s="30" t="str">
        <x:v>初始化/配置或相应状态所有者；不是任意Agent写入</x:v>
      </x:c>
      <x:c r="L51" s="30" t="n">
        <x:v>45</x:v>
      </x:c>
      <x:c r="M51" s="30" t="str">
        <x:v>S01；S03；S07；S08；S24</x:v>
      </x:c>
      <x:c r="N51"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52" ht="120" customHeight="1">
      <x:c r="A52" s="30" t="str">
        <x:v>F048</x:v>
      </x:c>
      <x:c r="B52" s="30" t="str">
        <x:v>道路入口与可达性</x:v>
      </x:c>
      <x:c r="C52" s="30" t="str">
        <x:v>road.to_node</x:v>
      </x:c>
      <x:c r="D52" s="30" t="str">
        <x:v>道路终点</x:v>
      </x:c>
      <x:c r="E52" s="30" t="str">
        <x:v>配置</x:v>
      </x:c>
      <x:c r="F52" s="30" t="str">
        <x:v>id</x:v>
      </x:c>
      <x:c r="G52" s="30" t="str">
        <x:v>拓扑节点ID</x:v>
      </x:c>
      <x:c r="H52" s="30" t="str">
        <x:v>几何/通行适配器</x:v>
      </x:c>
      <x:c r="I52" s="30" t="str">
        <x:v>真值与Agent通行估计分开</x:v>
      </x:c>
      <x:c r="J52" s="30" t="str">
        <x:v>A001；A002；A003；A008；A011；A012；A013；A014；A016；A021；A026；A031；A057；A063；A066</x:v>
      </x:c>
      <x:c r="K52" s="30" t="str">
        <x:v>初始化/配置或相应状态所有者；不是任意Agent写入</x:v>
      </x:c>
      <x:c r="L52" s="30" t="n">
        <x:v>45</x:v>
      </x:c>
      <x:c r="M52" s="30" t="str">
        <x:v>S01；S03；S07；S08；S24</x:v>
      </x:c>
      <x:c r="N52"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53" ht="120" customHeight="1">
      <x:c r="A53" s="30" t="str">
        <x:v>F049</x:v>
      </x:c>
      <x:c r="B53" s="30" t="str">
        <x:v>道路入口与可达性</x:v>
      </x:c>
      <x:c r="C53" s="30" t="str">
        <x:v>road.obstacle_ids</x:v>
      </x:c>
      <x:c r="D53" s="30" t="str">
        <x:v>相交障碍集合</x:v>
      </x:c>
      <x:c r="E53" s="30" t="str">
        <x:v>派生</x:v>
      </x:c>
      <x:c r="F53" s="30" t="str">
        <x:v>list[id]</x:v>
      </x:c>
      <x:c r="G53" s="30" t="str">
        <x:v>由空间相交生成</x:v>
      </x:c>
      <x:c r="H53" s="30" t="str">
        <x:v>几何/通行适配器</x:v>
      </x:c>
      <x:c r="I53" s="30" t="str">
        <x:v>真值与Agent通行估计分开</x:v>
      </x:c>
      <x:c r="J53" s="30" t="str">
        <x:v>A001；A002；A003；A008；A011；A012；A013；A014；A016；A021；A026；A031；A057；A063</x:v>
      </x:c>
      <x:c r="K53" s="30" t="str">
        <x:v>初始化/配置或相应状态所有者；不是任意Agent写入</x:v>
      </x:c>
      <x:c r="L53" s="30" t="n">
        <x:v>45</x:v>
      </x:c>
      <x:c r="M53" s="30" t="str">
        <x:v>S01；S03；S07；S08；S24</x:v>
      </x:c>
      <x:c r="N53"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54" ht="120" customHeight="1">
      <x:c r="A54" s="30" t="str">
        <x:v>F050</x:v>
      </x:c>
      <x:c r="B54" s="30" t="str">
        <x:v>道路入口与可达性</x:v>
      </x:c>
      <x:c r="C54" s="30" t="str">
        <x:v>road.clear_width_m</x:v>
      </x:c>
      <x:c r="D54" s="30" t="str">
        <x:v>最窄可通行宽度</x:v>
      </x:c>
      <x:c r="E54" s="30" t="str">
        <x:v>派生</x:v>
      </x:c>
      <x:c r="F54" s="30" t="str">
        <x:v>float</x:v>
      </x:c>
      <x:c r="G54" s="30" t="str">
        <x:v>非负；不能简单只减一个宽度处理复杂几何</x:v>
      </x:c>
      <x:c r="H54" s="30" t="str">
        <x:v>几何/通行适配器</x:v>
      </x:c>
      <x:c r="I54" s="30" t="str">
        <x:v>真值与Agent通行估计分开</x:v>
      </x:c>
      <x:c r="J54" s="30" t="str">
        <x:v>A001；A002；A003；A008；A011；A012；A013；A014；A016；A021；A026；A031；A057；A063</x:v>
      </x:c>
      <x:c r="K54" s="30" t="str">
        <x:v>初始化/配置或相应状态所有者；不是任意Agent写入</x:v>
      </x:c>
      <x:c r="L54" s="30" t="n">
        <x:v>45</x:v>
      </x:c>
      <x:c r="M54" s="30" t="str">
        <x:v>S01；S03；S07；S08；S24</x:v>
      </x:c>
      <x:c r="N54"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55" ht="120" customHeight="1">
      <x:c r="A55" s="30" t="str">
        <x:v>F051</x:v>
      </x:c>
      <x:c r="B55" s="30" t="str">
        <x:v>道路入口与可达性</x:v>
      </x:c>
      <x:c r="C55" s="30" t="str">
        <x:v>road.clear_height_m</x:v>
      </x:c>
      <x:c r="D55" s="30" t="str">
        <x:v>最小净高</x:v>
      </x:c>
      <x:c r="E55" s="30" t="str">
        <x:v>派生</x:v>
      </x:c>
      <x:c r="F55" s="30" t="str">
        <x:v>float</x:v>
      </x:c>
      <x:c r="G55" s="30" t="str">
        <x:v>非负或null开敞</x:v>
      </x:c>
      <x:c r="H55" s="30" t="str">
        <x:v>几何/通行适配器</x:v>
      </x:c>
      <x:c r="I55" s="30" t="str">
        <x:v>真值与Agent通行估计分开</x:v>
      </x:c>
      <x:c r="J55" s="30" t="str">
        <x:v>A001；A002；A003；A008；A011；A012；A013；A014；A016；A021；A026；A031；A057；A063</x:v>
      </x:c>
      <x:c r="K55" s="30" t="str">
        <x:v>初始化/配置或相应状态所有者；不是任意Agent写入</x:v>
      </x:c>
      <x:c r="L55" s="30" t="n">
        <x:v>45</x:v>
      </x:c>
      <x:c r="M55" s="30" t="str">
        <x:v>S01；S03；S07；S08；S24</x:v>
      </x:c>
      <x:c r="N55"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56" ht="120" customHeight="1">
      <x:c r="A56" s="30" t="str">
        <x:v>F052</x:v>
      </x:c>
      <x:c r="B56" s="30" t="str">
        <x:v>道路入口与可达性</x:v>
      </x:c>
      <x:c r="C56" s="30" t="str">
        <x:v>road.turn_radius_m</x:v>
      </x:c>
      <x:c r="D56" s="30" t="str">
        <x:v>可用转弯空间</x:v>
      </x:c>
      <x:c r="E56" s="30" t="str">
        <x:v>派生</x:v>
      </x:c>
      <x:c r="F56" s="30" t="str">
        <x:v>float</x:v>
      </x:c>
      <x:c r="G56" s="30" t="str">
        <x:v>非负；路径相关</x:v>
      </x:c>
      <x:c r="H56" s="30" t="str">
        <x:v>几何/通行适配器</x:v>
      </x:c>
      <x:c r="I56" s="30" t="str">
        <x:v>真值与Agent通行估计分开</x:v>
      </x:c>
      <x:c r="J56" s="30" t="str">
        <x:v>A001；A002；A003；A008；A011；A012；A013；A014；A016；A021；A026；A031；A057；A063</x:v>
      </x:c>
      <x:c r="K56" s="30" t="str">
        <x:v>初始化/配置或相应状态所有者；不是任意Agent写入</x:v>
      </x:c>
      <x:c r="L56" s="30" t="n">
        <x:v>45</x:v>
      </x:c>
      <x:c r="M56" s="30" t="str">
        <x:v>S01；S03；S07；S08；S24</x:v>
      </x:c>
      <x:c r="N56"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57" ht="120" customHeight="1">
      <x:c r="A57" s="30" t="str">
        <x:v>F053</x:v>
      </x:c>
      <x:c r="B57" s="30" t="str">
        <x:v>道路入口与可达性</x:v>
      </x:c>
      <x:c r="C57" s="30" t="str">
        <x:v>road.step_height_m</x:v>
      </x:c>
      <x:c r="D57" s="30" t="str">
        <x:v>局部台阶高度</x:v>
      </x:c>
      <x:c r="E57" s="30" t="str">
        <x:v>状态</x:v>
      </x:c>
      <x:c r="F57" s="30" t="str">
        <x:v>float</x:v>
      </x:c>
      <x:c r="G57" s="30" t="str">
        <x:v>非负；当前可设0但保留参数</x:v>
      </x:c>
      <x:c r="H57" s="30" t="str">
        <x:v>几何/通行适配器</x:v>
      </x:c>
      <x:c r="I57" s="30" t="str">
        <x:v>真值与Agent通行估计分开</x:v>
      </x:c>
      <x:c r="J57" s="30" t="str">
        <x:v>A001；A002；A003；A008；A011；A012；A013；A014；A016；A021；A026；A031；A057；A063</x:v>
      </x:c>
      <x:c r="K57" s="30" t="str">
        <x:v>初始化/配置或相应状态所有者；不是任意Agent写入</x:v>
      </x:c>
      <x:c r="L57" s="30" t="n">
        <x:v>45</x:v>
      </x:c>
      <x:c r="M57" s="30" t="str">
        <x:v>S01；S03；S07；S08；S24</x:v>
      </x:c>
      <x:c r="N57"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58" ht="120" customHeight="1">
      <x:c r="A58" s="30" t="str">
        <x:v>F054</x:v>
      </x:c>
      <x:c r="B58" s="30" t="str">
        <x:v>道路入口与可达性</x:v>
      </x:c>
      <x:c r="C58" s="30" t="str">
        <x:v>road.entry_state</x:v>
      </x:c>
      <x:c r="D58" s="30" t="str">
        <x:v>入口状态</x:v>
      </x:c>
      <x:c r="E58" s="30" t="str">
        <x:v>状态</x:v>
      </x:c>
      <x:c r="F58" s="30" t="str">
        <x:v>enum</x:v>
      </x:c>
      <x:c r="G58" s="30" t="str">
        <x:v>open/closed/blocked/unsafe</x:v>
      </x:c>
      <x:c r="H58" s="30" t="str">
        <x:v>几何/通行适配器</x:v>
      </x:c>
      <x:c r="I58" s="30" t="str">
        <x:v>真值与Agent通行估计分开</x:v>
      </x:c>
      <x:c r="J58" s="30" t="str">
        <x:v>A001；A002；A003；A008；A011；A012；A013；A014；A016；A021；A026；A031；A057；A063</x:v>
      </x:c>
      <x:c r="K58" s="30" t="str">
        <x:v>A014</x:v>
      </x:c>
      <x:c r="L58" s="30" t="n">
        <x:v>45</x:v>
      </x:c>
      <x:c r="M58" s="30" t="str">
        <x:v>S01；S03；S07；S08；S24</x:v>
      </x:c>
      <x:c r="N58"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59" ht="120" customHeight="1">
      <x:c r="A59" s="30" t="str">
        <x:v>F055</x:v>
      </x:c>
      <x:c r="B59" s="30" t="str">
        <x:v>道路入口与可达性</x:v>
      </x:c>
      <x:c r="C59" s="30" t="str">
        <x:v>road.water_depth_m</x:v>
      </x:c>
      <x:c r="D59" s="30" t="str">
        <x:v>路段水深</x:v>
      </x:c>
      <x:c r="E59" s="30" t="str">
        <x:v>派生</x:v>
      </x:c>
      <x:c r="F59" s="30" t="str">
        <x:v>float</x:v>
      </x:c>
      <x:c r="G59" s="30" t="str">
        <x:v>非负/未建模null</x:v>
      </x:c>
      <x:c r="H59" s="30" t="str">
        <x:v>几何/通行适配器</x:v>
      </x:c>
      <x:c r="I59" s="30" t="str">
        <x:v>真值与Agent通行估计分开</x:v>
      </x:c>
      <x:c r="J59" s="30" t="str">
        <x:v>A001；A002；A003；A008；A011；A012；A013；A014；A016；A021；A026；A031；A057；A063</x:v>
      </x:c>
      <x:c r="K59" s="30" t="str">
        <x:v>初始化/配置或相应状态所有者；不是任意Agent写入</x:v>
      </x:c>
      <x:c r="L59" s="30" t="n">
        <x:v>45</x:v>
      </x:c>
      <x:c r="M59" s="30" t="str">
        <x:v>S01；S03；S07；S08；S24</x:v>
      </x:c>
      <x:c r="N59"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60" ht="120" customHeight="1">
      <x:c r="A60" s="30" t="str">
        <x:v>F056</x:v>
      </x:c>
      <x:c r="B60" s="30" t="str">
        <x:v>道路入口与可达性</x:v>
      </x:c>
      <x:c r="C60" s="30" t="str">
        <x:v>road.passability</x:v>
      </x:c>
      <x:c r="D60" s="30" t="str">
        <x:v>按平台的可通行关系</x:v>
      </x:c>
      <x:c r="E60" s="30" t="str">
        <x:v>派生</x:v>
      </x:c>
      <x:c r="F60" s="30" t="str">
        <x:v>map</x:v>
      </x:c>
      <x:c r="G60" s="30" t="str">
        <x:v>platform_profile→pass/block/conditional +原因</x:v>
      </x:c>
      <x:c r="H60" s="30" t="str">
        <x:v>几何/通行适配器</x:v>
      </x:c>
      <x:c r="I60" s="30" t="str">
        <x:v>真值与Agent通行估计分开</x:v>
      </x:c>
      <x:c r="J60" s="30" t="str">
        <x:v>A001；A002；A003；A008；A011；A012；A013；A014；A016；A021；A026；A031；A057；A063</x:v>
      </x:c>
      <x:c r="K60" s="30" t="str">
        <x:v>初始化/配置或相应状态所有者；不是任意Agent写入</x:v>
      </x:c>
      <x:c r="L60" s="30" t="n">
        <x:v>45</x:v>
      </x:c>
      <x:c r="M60" s="30" t="str">
        <x:v>S01；S03；S07；S08；S24</x:v>
      </x:c>
      <x:c r="N60"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61" ht="120" customHeight="1">
      <x:c r="A61" s="30" t="str">
        <x:v>F057</x:v>
      </x:c>
      <x:c r="B61" s="30" t="str">
        <x:v>道路入口与可达性</x:v>
      </x:c>
      <x:c r="C61" s="30" t="str">
        <x:v>road.travel_cost</x:v>
      </x:c>
      <x:c r="D61" s="30" t="str">
        <x:v>按平台移动代价</x:v>
      </x:c>
      <x:c r="E61" s="30" t="str">
        <x:v>派生</x:v>
      </x:c>
      <x:c r="F61" s="30" t="str">
        <x:v>map</x:v>
      </x:c>
      <x:c r="G61" s="30" t="str">
        <x:v>时间/能耗/风险估计及模型版本</x:v>
      </x:c>
      <x:c r="H61" s="30" t="str">
        <x:v>几何/通行适配器</x:v>
      </x:c>
      <x:c r="I61" s="30" t="str">
        <x:v>真值与Agent通行估计分开</x:v>
      </x:c>
      <x:c r="J61" s="30" t="str">
        <x:v>A001；A002；A003；A008；A011；A012；A013；A014；A016；A021；A026；A031；A057；A063</x:v>
      </x:c>
      <x:c r="K61" s="30" t="str">
        <x:v>初始化/配置或相应状态所有者；不是任意Agent写入</x:v>
      </x:c>
      <x:c r="L61" s="30" t="n">
        <x:v>45</x:v>
      </x:c>
      <x:c r="M61" s="30" t="str">
        <x:v>S01；S03；S07；S08；S24</x:v>
      </x:c>
      <x:c r="N61"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62" ht="120" customHeight="1">
      <x:c r="A62" s="30" t="str">
        <x:v>F058</x:v>
      </x:c>
      <x:c r="B62" s="30" t="str">
        <x:v>道路入口与可达性</x:v>
      </x:c>
      <x:c r="C62" s="30" t="str">
        <x:v>road.topology_revision</x:v>
      </x:c>
      <x:c r="D62" s="30" t="str">
        <x:v>通行图版本</x:v>
      </x:c>
      <x:c r="E62" s="30" t="str">
        <x:v>状态</x:v>
      </x:c>
      <x:c r="F62" s="30" t="str">
        <x:v>int</x:v>
      </x:c>
      <x:c r="G62" s="30" t="str">
        <x:v>阻塞、清理或规则变化后更新</x:v>
      </x:c>
      <x:c r="H62" s="30" t="str">
        <x:v>几何/通行适配器</x:v>
      </x:c>
      <x:c r="I62" s="30" t="str">
        <x:v>真值与Agent通行估计分开</x:v>
      </x:c>
      <x:c r="J62" s="30" t="str">
        <x:v>A001；A002；A003；A008；A011；A012；A013；A014；A016；A021；A026；A031；A057；A063</x:v>
      </x:c>
      <x:c r="K62" s="30" t="str">
        <x:v>初始化/配置或相应状态所有者；不是任意Agent写入</x:v>
      </x:c>
      <x:c r="L62" s="30" t="n">
        <x:v>45</x:v>
      </x:c>
      <x:c r="M62" s="30" t="str">
        <x:v>S01；S03；S07；S08；S24</x:v>
      </x:c>
      <x:c r="N62" s="30" t="str">
        <x:v>https://insarag.org/wp-content/uploads/2021/06/INSARAG20Guidelines20Vol20II2C20Man20B.pdf
https://roborescue.github.io/rcrs-server/rcrs-server/index.html
https://github.com/BinaLab/RescueNet-A-High-Resolution-Post-Disaster-UAV-Dataset-for-Semantic-Segmentation
https://github.com/BinaLab/FloodNet-Supervised_v1.0</x:v>
      </x:c>
    </x:row>
    <x:row r="63" ht="120" customHeight="1">
      <x:c r="A63" s="30" t="str">
        <x:v>F059</x:v>
      </x:c>
      <x:c r="B63" s="30" t="str">
        <x:v>障碍与清障</x:v>
      </x:c>
      <x:c r="C63" s="30" t="str">
        <x:v>obstacle.kind</x:v>
      </x:c>
      <x:c r="D63" s="30" t="str">
        <x:v>障碍类别</x:v>
      </x:c>
      <x:c r="E63" s="30" t="str">
        <x:v>配置</x:v>
      </x:c>
      <x:c r="F63" s="30" t="str">
        <x:v>enum</x:v>
      </x:c>
      <x:c r="G63" s="30" t="str">
        <x:v>rubble/slab/tree/vehicle/wall/roof_sheet/cable/rock</x:v>
      </x:c>
      <x:c r="H63" s="30" t="str">
        <x:v>物理/工程动作执行器</x:v>
      </x:c>
      <x:c r="I63" s="30" t="str">
        <x:v>外观可见部分；材质和真实可清理性未必已知</x:v>
      </x:c>
      <x:c r="J63" s="30" t="str">
        <x:v>A005；A011；A012；A013；A014；A015；A016；A017</x:v>
      </x:c>
      <x:c r="K63" s="30" t="str">
        <x:v>初始化/配置或相应状态所有者；不是任意Agent写入</x:v>
      </x:c>
      <x:c r="L63" s="30" t="n">
        <x:v>28</x:v>
      </x:c>
      <x:c r="M63" s="30" t="str">
        <x:v>S01；S03；S07；S24</x:v>
      </x:c>
      <x:c r="N63" s="30" t="str">
        <x:v>https://insarag.org/wp-content/uploads/2021/06/INSARAG20Guidelines20Vol20II2C20Man20B.pdf
https://roborescue.github.io/rcrs-server/rcrs-server/index.html
https://github.com/BinaLab/RescueNet-A-High-Resolution-Post-Disaster-UAV-Dataset-for-Semantic-Segmentation</x:v>
      </x:c>
    </x:row>
    <x:row r="64" ht="120" customHeight="1">
      <x:c r="A64" s="30" t="str">
        <x:v>F060</x:v>
      </x:c>
      <x:c r="B64" s="30" t="str">
        <x:v>障碍与清障</x:v>
      </x:c>
      <x:c r="C64" s="30" t="str">
        <x:v>obstacle.material</x:v>
      </x:c>
      <x:c r="D64" s="30" t="str">
        <x:v>材料</x:v>
      </x:c>
      <x:c r="E64" s="30" t="str">
        <x:v>配置</x:v>
      </x:c>
      <x:c r="F64" s="30" t="str">
        <x:v>enum</x:v>
      </x:c>
      <x:c r="G64" s="30" t="str">
        <x:v>wood/masonry/concrete/steel/vegetation/mixed</x:v>
      </x:c>
      <x:c r="H64" s="30" t="str">
        <x:v>物理/工程动作执行器</x:v>
      </x:c>
      <x:c r="I64" s="30" t="str">
        <x:v>外观可见部分；材质和真实可清理性未必已知</x:v>
      </x:c>
      <x:c r="J64" s="30" t="str">
        <x:v>A005；A011；A012；A013；A014；A015；A016；A017</x:v>
      </x:c>
      <x:c r="K64" s="30" t="str">
        <x:v>初始化/配置或相应状态所有者；不是任意Agent写入</x:v>
      </x:c>
      <x:c r="L64" s="30" t="n">
        <x:v>28</x:v>
      </x:c>
      <x:c r="M64" s="30" t="str">
        <x:v>S01；S03；S07；S24</x:v>
      </x:c>
      <x:c r="N64" s="30" t="str">
        <x:v>https://insarag.org/wp-content/uploads/2021/06/INSARAG20Guidelines20Vol20II2C20Man20B.pdf
https://roborescue.github.io/rcrs-server/rcrs-server/index.html
https://github.com/BinaLab/RescueNet-A-High-Resolution-Post-Disaster-UAV-Dataset-for-Semantic-Segmentation</x:v>
      </x:c>
    </x:row>
    <x:row r="65" ht="120" customHeight="1">
      <x:c r="A65" s="30" t="str">
        <x:v>F061</x:v>
      </x:c>
      <x:c r="B65" s="30" t="str">
        <x:v>障碍与清障</x:v>
      </x:c>
      <x:c r="C65" s="30" t="str">
        <x:v>obstacle.source_id</x:v>
      </x:c>
      <x:c r="D65" s="30" t="str">
        <x:v>来源建筑或事件</x:v>
      </x:c>
      <x:c r="E65" s="30" t="str">
        <x:v>配置</x:v>
      </x:c>
      <x:c r="F65" s="30" t="str">
        <x:v>id</x:v>
      </x:c>
      <x:c r="G65" s="30" t="str">
        <x:v>null或父来源ID</x:v>
      </x:c>
      <x:c r="H65" s="30" t="str">
        <x:v>物理/工程动作执行器</x:v>
      </x:c>
      <x:c r="I65" s="30" t="str">
        <x:v>外观可见部分；材质和真实可清理性未必已知</x:v>
      </x:c>
      <x:c r="J65" s="30" t="str">
        <x:v>A005；A011；A012；A013；A014；A015；A016；A017</x:v>
      </x:c>
      <x:c r="K65" s="30" t="str">
        <x:v>初始化/配置或相应状态所有者；不是任意Agent写入</x:v>
      </x:c>
      <x:c r="L65" s="30" t="n">
        <x:v>28</x:v>
      </x:c>
      <x:c r="M65" s="30" t="str">
        <x:v>S01；S03；S07；S24</x:v>
      </x:c>
      <x:c r="N65" s="30" t="str">
        <x:v>https://insarag.org/wp-content/uploads/2021/06/INSARAG20Guidelines20Vol20II2C20Man20B.pdf
https://roborescue.github.io/rcrs-server/rcrs-server/index.html
https://github.com/BinaLab/RescueNet-A-High-Resolution-Post-Disaster-UAV-Dataset-for-Semantic-Segmentation</x:v>
      </x:c>
    </x:row>
    <x:row r="66" ht="120" customHeight="1">
      <x:c r="A66" s="30" t="str">
        <x:v>F062</x:v>
      </x:c>
      <x:c r="B66" s="30" t="str">
        <x:v>障碍与清障</x:v>
      </x:c>
      <x:c r="C66" s="30" t="str">
        <x:v>obstacle.height_m</x:v>
      </x:c>
      <x:c r="D66" s="30" t="str">
        <x:v>障碍高度</x:v>
      </x:c>
      <x:c r="E66" s="30" t="str">
        <x:v>状态</x:v>
      </x:c>
      <x:c r="F66" s="30" t="str">
        <x:v>float</x:v>
      </x:c>
      <x:c r="G66" s="30" t="str">
        <x:v>非负</x:v>
      </x:c>
      <x:c r="H66" s="30" t="str">
        <x:v>物理/工程动作执行器</x:v>
      </x:c>
      <x:c r="I66" s="30" t="str">
        <x:v>外观可见部分；材质和真实可清理性未必已知</x:v>
      </x:c>
      <x:c r="J66" s="30" t="str">
        <x:v>A005；A011；A012；A013；A014；A015；A016；A017</x:v>
      </x:c>
      <x:c r="K66" s="30" t="str">
        <x:v>初始化/配置或相应状态所有者；不是任意Agent写入</x:v>
      </x:c>
      <x:c r="L66" s="30" t="n">
        <x:v>28</x:v>
      </x:c>
      <x:c r="M66" s="30" t="str">
        <x:v>S01；S03；S07；S24</x:v>
      </x:c>
      <x:c r="N66" s="30" t="str">
        <x:v>https://insarag.org/wp-content/uploads/2021/06/INSARAG20Guidelines20Vol20II2C20Man20B.pdf
https://roborescue.github.io/rcrs-server/rcrs-server/index.html
https://github.com/BinaLab/RescueNet-A-High-Resolution-Post-Disaster-UAV-Dataset-for-Semantic-Segmentation</x:v>
      </x:c>
    </x:row>
    <x:row r="67" ht="120" customHeight="1">
      <x:c r="A67" s="30" t="str">
        <x:v>F063</x:v>
      </x:c>
      <x:c r="B67" s="30" t="str">
        <x:v>障碍与清障</x:v>
      </x:c>
      <x:c r="C67" s="30" t="str">
        <x:v>obstacle.mass_kg</x:v>
      </x:c>
      <x:c r="D67" s="30" t="str">
        <x:v>需要操作的质量</x:v>
      </x:c>
      <x:c r="E67" s="30" t="str">
        <x:v>配置</x:v>
      </x:c>
      <x:c r="F67" s="30" t="str">
        <x:v>float</x:v>
      </x:c>
      <x:c r="G67" s="30" t="str">
        <x:v>非负或抽象质量区间</x:v>
      </x:c>
      <x:c r="H67" s="30" t="str">
        <x:v>物理/工程动作执行器</x:v>
      </x:c>
      <x:c r="I67" s="30" t="str">
        <x:v>外观可见部分；材质和真实可清理性未必已知</x:v>
      </x:c>
      <x:c r="J67" s="30" t="str">
        <x:v>A005；A011；A012；A013；A014；A015；A016；A017</x:v>
      </x:c>
      <x:c r="K67" s="30" t="str">
        <x:v>初始化/配置或相应状态所有者；不是任意Agent写入</x:v>
      </x:c>
      <x:c r="L67" s="30" t="n">
        <x:v>28</x:v>
      </x:c>
      <x:c r="M67" s="30" t="str">
        <x:v>S01；S03；S07；S24</x:v>
      </x:c>
      <x:c r="N67" s="30" t="str">
        <x:v>https://insarag.org/wp-content/uploads/2021/06/INSARAG20Guidelines20Vol20II2C20Man20B.pdf
https://roborescue.github.io/rcrs-server/rcrs-server/index.html
https://github.com/BinaLab/RescueNet-A-High-Resolution-Post-Disaster-UAV-Dataset-for-Semantic-Segmentation</x:v>
      </x:c>
    </x:row>
    <x:row r="68" ht="120" customHeight="1">
      <x:c r="A68" s="30" t="str">
        <x:v>F064</x:v>
      </x:c>
      <x:c r="B68" s="30" t="str">
        <x:v>障碍与清障</x:v>
      </x:c>
      <x:c r="C68" s="30" t="str">
        <x:v>obstacle.volume_m3</x:v>
      </x:c>
      <x:c r="D68" s="30" t="str">
        <x:v>残骸体积</x:v>
      </x:c>
      <x:c r="E68" s="30" t="str">
        <x:v>状态</x:v>
      </x:c>
      <x:c r="F68" s="30" t="str">
        <x:v>float</x:v>
      </x:c>
      <x:c r="G68" s="30" t="str">
        <x:v>非负</x:v>
      </x:c>
      <x:c r="H68" s="30" t="str">
        <x:v>物理/工程动作执行器</x:v>
      </x:c>
      <x:c r="I68" s="30" t="str">
        <x:v>外观可见部分；材质和真实可清理性未必已知</x:v>
      </x:c>
      <x:c r="J68" s="30" t="str">
        <x:v>A005；A011；A012；A013；A014；A015；A016；A017</x:v>
      </x:c>
      <x:c r="K68" s="30" t="str">
        <x:v>A013</x:v>
      </x:c>
      <x:c r="L68" s="30" t="n">
        <x:v>28</x:v>
      </x:c>
      <x:c r="M68" s="30" t="str">
        <x:v>S01；S03；S07；S24</x:v>
      </x:c>
      <x:c r="N68" s="30" t="str">
        <x:v>https://insarag.org/wp-content/uploads/2021/06/INSARAG20Guidelines20Vol20II2C20Man20B.pdf
https://roborescue.github.io/rcrs-server/rcrs-server/index.html
https://github.com/BinaLab/RescueNet-A-High-Resolution-Post-Disaster-UAV-Dataset-for-Semantic-Segmentation</x:v>
      </x:c>
    </x:row>
    <x:row r="69" ht="120" customHeight="1">
      <x:c r="A69" s="30" t="str">
        <x:v>F065</x:v>
      </x:c>
      <x:c r="B69" s="30" t="str">
        <x:v>障碍与清障</x:v>
      </x:c>
      <x:c r="C69" s="30" t="str">
        <x:v>obstacle.state</x:v>
      </x:c>
      <x:c r="D69" s="30" t="str">
        <x:v>障碍处理状态</x:v>
      </x:c>
      <x:c r="E69" s="30" t="str">
        <x:v>状态</x:v>
      </x:c>
      <x:c r="F69" s="30" t="str">
        <x:v>enum</x:v>
      </x:c>
      <x:c r="G69" s="30" t="str">
        <x:v>present/partly_cleared/cleared/moved</x:v>
      </x:c>
      <x:c r="H69" s="30" t="str">
        <x:v>物理/工程动作执行器</x:v>
      </x:c>
      <x:c r="I69" s="30" t="str">
        <x:v>外观可见部分；材质和真实可清理性未必已知</x:v>
      </x:c>
      <x:c r="J69" s="30" t="str">
        <x:v>A005；A011；A012；A013；A014；A015；A016；A017</x:v>
      </x:c>
      <x:c r="K69" s="30" t="str">
        <x:v>A012；A013；A016</x:v>
      </x:c>
      <x:c r="L69" s="30" t="n">
        <x:v>28</x:v>
      </x:c>
      <x:c r="M69" s="30" t="str">
        <x:v>S01；S03；S07；S24</x:v>
      </x:c>
      <x:c r="N69" s="30" t="str">
        <x:v>https://insarag.org/wp-content/uploads/2021/06/INSARAG20Guidelines20Vol20II2C20Man20B.pdf
https://roborescue.github.io/rcrs-server/rcrs-server/index.html
https://github.com/BinaLab/RescueNet-A-High-Resolution-Post-Disaster-UAV-Dataset-for-Semantic-Segmentation</x:v>
      </x:c>
    </x:row>
    <x:row r="70" ht="120" customHeight="1">
      <x:c r="A70" s="30" t="str">
        <x:v>F066</x:v>
      </x:c>
      <x:c r="B70" s="30" t="str">
        <x:v>障碍与清障</x:v>
      </x:c>
      <x:c r="C70" s="30" t="str">
        <x:v>obstacle.stability</x:v>
      </x:c>
      <x:c r="D70" s="30" t="str">
        <x:v>支撑稳定性</x:v>
      </x:c>
      <x:c r="E70" s="30" t="str">
        <x:v>状态</x:v>
      </x:c>
      <x:c r="F70" s="30" t="str">
        <x:v>enum</x:v>
      </x:c>
      <x:c r="G70" s="30" t="str">
        <x:v>stable/unstable/secured</x:v>
      </x:c>
      <x:c r="H70" s="30" t="str">
        <x:v>物理/工程动作执行器</x:v>
      </x:c>
      <x:c r="I70" s="30" t="str">
        <x:v>外观可见部分；材质和真实可清理性未必已知</x:v>
      </x:c>
      <x:c r="J70" s="30" t="str">
        <x:v>A005；A011；A012；A013；A014；A015；A016；A017</x:v>
      </x:c>
      <x:c r="K70" s="30" t="str">
        <x:v>A015</x:v>
      </x:c>
      <x:c r="L70" s="30" t="n">
        <x:v>28</x:v>
      </x:c>
      <x:c r="M70" s="30" t="str">
        <x:v>S01；S03；S07；S24</x:v>
      </x:c>
      <x:c r="N70" s="30" t="str">
        <x:v>https://insarag.org/wp-content/uploads/2021/06/INSARAG20Guidelines20Vol20II2C20Man20B.pdf
https://roborescue.github.io/rcrs-server/rcrs-server/index.html
https://github.com/BinaLab/RescueNet-A-High-Resolution-Post-Disaster-UAV-Dataset-for-Semantic-Segmentation</x:v>
      </x:c>
    </x:row>
    <x:row r="71" ht="120" customHeight="1">
      <x:c r="A71" s="30" t="str">
        <x:v>F067</x:v>
      </x:c>
      <x:c r="B71" s="30" t="str">
        <x:v>障碍与清障</x:v>
      </x:c>
      <x:c r="C71" s="30" t="str">
        <x:v>obstacle.clear_method</x:v>
      </x:c>
      <x:c r="D71" s="30" t="str">
        <x:v>所需清理方法</x:v>
      </x:c>
      <x:c r="E71" s="30" t="str">
        <x:v>配置</x:v>
      </x:c>
      <x:c r="F71" s="30" t="str">
        <x:v>set</x:v>
      </x:c>
      <x:c r="G71" s="30" t="str">
        <x:v>hand_pick/cut/plow/lift/breach/shore</x:v>
      </x:c>
      <x:c r="H71" s="30" t="str">
        <x:v>物理/工程动作执行器</x:v>
      </x:c>
      <x:c r="I71" s="30" t="str">
        <x:v>外观可见部分；材质和真实可清理性未必已知</x:v>
      </x:c>
      <x:c r="J71" s="30" t="str">
        <x:v>A005；A011；A012；A013；A014；A015；A016；A017</x:v>
      </x:c>
      <x:c r="K71" s="30" t="str">
        <x:v>初始化/配置或相应状态所有者；不是任意Agent写入</x:v>
      </x:c>
      <x:c r="L71" s="30" t="n">
        <x:v>28</x:v>
      </x:c>
      <x:c r="M71" s="30" t="str">
        <x:v>S01；S03；S07；S24</x:v>
      </x:c>
      <x:c r="N71" s="30" t="str">
        <x:v>https://insarag.org/wp-content/uploads/2021/06/INSARAG20Guidelines20Vol20II2C20Man20B.pdf
https://roborescue.github.io/rcrs-server/rcrs-server/index.html
https://github.com/BinaLab/RescueNet-A-High-Resolution-Post-Disaster-UAV-Dataset-for-Semantic-Segmentation</x:v>
      </x:c>
    </x:row>
    <x:row r="72" ht="120" customHeight="1">
      <x:c r="A72" s="30" t="str">
        <x:v>F068</x:v>
      </x:c>
      <x:c r="B72" s="30" t="str">
        <x:v>障碍与清障</x:v>
      </x:c>
      <x:c r="C72" s="30" t="str">
        <x:v>obstacle.work_remaining</x:v>
      </x:c>
      <x:c r="D72" s="30" t="str">
        <x:v>剩余作业量</x:v>
      </x:c>
      <x:c r="E72" s="30" t="str">
        <x:v>状态</x:v>
      </x:c>
      <x:c r="F72" s="30" t="str">
        <x:v>float</x:v>
      </x:c>
      <x:c r="G72" s="30" t="str">
        <x:v>非负，工作量单位由模型给出</x:v>
      </x:c>
      <x:c r="H72" s="30" t="str">
        <x:v>物理/工程动作执行器</x:v>
      </x:c>
      <x:c r="I72" s="30" t="str">
        <x:v>外观可见部分；材质和真实可清理性未必已知</x:v>
      </x:c>
      <x:c r="J72" s="30" t="str">
        <x:v>A005；A011；A012；A013；A014；A015；A016；A017</x:v>
      </x:c>
      <x:c r="K72" s="30" t="str">
        <x:v>A012；A013</x:v>
      </x:c>
      <x:c r="L72" s="30" t="n">
        <x:v>28</x:v>
      </x:c>
      <x:c r="M72" s="30" t="str">
        <x:v>S01；S03；S07；S24</x:v>
      </x:c>
      <x:c r="N72" s="30" t="str">
        <x:v>https://insarag.org/wp-content/uploads/2021/06/INSARAG20Guidelines20Vol20II2C20Man20B.pdf
https://roborescue.github.io/rcrs-server/rcrs-server/index.html
https://github.com/BinaLab/RescueNet-A-High-Resolution-Post-Disaster-UAV-Dataset-for-Semantic-Segmentation</x:v>
      </x:c>
    </x:row>
    <x:row r="73" ht="120" customHeight="1">
      <x:c r="A73" s="30" t="str">
        <x:v>F069</x:v>
      </x:c>
      <x:c r="B73" s="30" t="str">
        <x:v>障碍与清障</x:v>
      </x:c>
      <x:c r="C73" s="30" t="str">
        <x:v>obstacle.blocks_ids</x:v>
      </x:c>
      <x:c r="D73" s="30" t="str">
        <x:v>阻挡实体或路径</x:v>
      </x:c>
      <x:c r="E73" s="30" t="str">
        <x:v>派生</x:v>
      </x:c>
      <x:c r="F73" s="30" t="str">
        <x:v>list[id]</x:v>
      </x:c>
      <x:c r="G73" s="30" t="str">
        <x:v>道路/入口/人员接近区</x:v>
      </x:c>
      <x:c r="H73" s="30" t="str">
        <x:v>物理/工程动作执行器</x:v>
      </x:c>
      <x:c r="I73" s="30" t="str">
        <x:v>外观可见部分；材质和真实可清理性未必已知</x:v>
      </x:c>
      <x:c r="J73" s="30" t="str">
        <x:v>A005；A011；A012；A013；A014；A015；A016；A017</x:v>
      </x:c>
      <x:c r="K73" s="30" t="str">
        <x:v>初始化/配置或相应状态所有者；不是任意Agent写入</x:v>
      </x:c>
      <x:c r="L73" s="30" t="n">
        <x:v>28</x:v>
      </x:c>
      <x:c r="M73" s="30" t="str">
        <x:v>S01；S03；S07；S24</x:v>
      </x:c>
      <x:c r="N73" s="30" t="str">
        <x:v>https://insarag.org/wp-content/uploads/2021/06/INSARAG20Guidelines20Vol20II2C20Man20B.pdf
https://roborescue.github.io/rcrs-server/rcrs-server/index.html
https://github.com/BinaLab/RescueNet-A-High-Resolution-Post-Disaster-UAV-Dataset-for-Semantic-Segmentation</x:v>
      </x:c>
    </x:row>
    <x:row r="74" ht="120" customHeight="1">
      <x:c r="A74" s="30" t="str">
        <x:v>F070</x:v>
      </x:c>
      <x:c r="B74" s="30" t="str">
        <x:v>障碍与清障</x:v>
      </x:c>
      <x:c r="C74" s="30" t="str">
        <x:v>obstacle.disposal_location</x:v>
      </x:c>
      <x:c r="D74" s="30" t="str">
        <x:v>清理后安放位置</x:v>
      </x:c>
      <x:c r="E74" s="30" t="str">
        <x:v>状态</x:v>
      </x:c>
      <x:c r="F74" s="30" t="str">
        <x:v>pose</x:v>
      </x:c>
      <x:c r="G74" s="30" t="str">
        <x:v>null或合法堆放区；不能凭空消失且留碰撞</x:v>
      </x:c>
      <x:c r="H74" s="30" t="str">
        <x:v>物理/工程动作执行器</x:v>
      </x:c>
      <x:c r="I74" s="30" t="str">
        <x:v>外观可见部分；材质和真实可清理性未必已知</x:v>
      </x:c>
      <x:c r="J74" s="30" t="str">
        <x:v>A005；A011；A012；A013；A014；A015；A016；A017</x:v>
      </x:c>
      <x:c r="K74" s="30" t="str">
        <x:v>A012；A016</x:v>
      </x:c>
      <x:c r="L74" s="30" t="n">
        <x:v>28</x:v>
      </x:c>
      <x:c r="M74" s="30" t="str">
        <x:v>S01；S03；S07；S24</x:v>
      </x:c>
      <x:c r="N74" s="30" t="str">
        <x:v>https://insarag.org/wp-content/uploads/2021/06/INSARAG20Guidelines20Vol20II2C20Man20B.pdf
https://roborescue.github.io/rcrs-server/rcrs-server/index.html
https://github.com/BinaLab/RescueNet-A-High-Resolution-Post-Disaster-UAV-Dataset-for-Semantic-Segmentation</x:v>
      </x:c>
    </x:row>
    <x:row r="75" ht="120" customHeight="1">
      <x:c r="A75" s="30" t="str">
        <x:v>F071</x:v>
      </x:c>
      <x:c r="B75" s="30" t="str">
        <x:v>人员与支援状态</x:v>
      </x:c>
      <x:c r="C75" s="30" t="str">
        <x:v>human.location_context</x:v>
      </x:c>
      <x:c r="D75" s="30" t="str">
        <x:v>所在位置类型</x:v>
      </x:c>
      <x:c r="E75" s="30" t="str">
        <x:v>状态</x:v>
      </x:c>
      <x:c r="F75" s="30" t="str">
        <x:v>enum</x:v>
      </x:c>
      <x:c r="G75" s="30" t="str">
        <x:v>outside/roof/interior/rubble/water/on_carrier/safe_point</x:v>
      </x:c>
      <x:c r="H75" s="30" t="str">
        <x:v>人员/交付/专业服务执行器</x:v>
      </x:c>
      <x:c r="I75" s="30" t="str">
        <x:v>隐藏真值；报告仅含可观察/被授权的部分</x:v>
      </x:c>
      <x:c r="J75" s="30" t="str">
        <x:v>A008；A009；A017；A018；A019；A020；A021；A022；A023；A027</x:v>
      </x:c>
      <x:c r="K75" s="30" t="str">
        <x:v>A020；A023</x:v>
      </x:c>
      <x:c r="L75" s="30" t="n">
        <x:v>14</x:v>
      </x:c>
      <x:c r="M75" s="30" t="str">
        <x:v>S01；S03；S06；S11；S12；S24</x:v>
      </x:c>
      <x:c r="N75" s="30" t="str">
        <x:v>https://insarag.org/wp-content/uploads/2021/06/INSARAG20Guidelines20Vol20II2C20Man20B.pdf
https://roborescue.github.io/rcrs-server/rcrs-server/index.html
https://github.com/UnrealZoo/RescueBench
https://arxiv.org/abs/2309.09518
https://seadronessee.cs.uni-tuebingen.de/leaderboard</x:v>
      </x:c>
    </x:row>
    <x:row r="76" ht="120" customHeight="1">
      <x:c r="A76" s="30" t="str">
        <x:v>F072</x:v>
      </x:c>
      <x:c r="B76" s="30" t="str">
        <x:v>人员与支援状态</x:v>
      </x:c>
      <x:c r="C76" s="30" t="str">
        <x:v>human.alive</x:v>
      </x:c>
      <x:c r="D76" s="30" t="str">
        <x:v>存活状态</x:v>
      </x:c>
      <x:c r="E76" s="30" t="str">
        <x:v>状态</x:v>
      </x:c>
      <x:c r="F76" s="30" t="str">
        <x:v>bool</x:v>
      </x:c>
      <x:c r="G76" s="30" t="str">
        <x:v>null仅不建模；真值与认知分开</x:v>
      </x:c>
      <x:c r="H76" s="30" t="str">
        <x:v>人员/交付/专业服务执行器</x:v>
      </x:c>
      <x:c r="I76" s="30" t="str">
        <x:v>隐藏真值；报告仅含可观察/被授权的部分</x:v>
      </x:c>
      <x:c r="J76" s="30" t="str">
        <x:v>A008；A009；A017；A018；A019；A020；A021；A022；A023；A027</x:v>
      </x:c>
      <x:c r="K76" s="30" t="str">
        <x:v>初始化/配置或相应状态所有者；不是任意Agent写入</x:v>
      </x:c>
      <x:c r="L76" s="30" t="n">
        <x:v>14</x:v>
      </x:c>
      <x:c r="M76" s="30" t="str">
        <x:v>S01；S03；S06；S11；S12；S24</x:v>
      </x:c>
      <x:c r="N76" s="30" t="str">
        <x:v>https://insarag.org/wp-content/uploads/2021/06/INSARAG20Guidelines20Vol20II2C20Man20B.pdf
https://roborescue.github.io/rcrs-server/rcrs-server/index.html
https://github.com/UnrealZoo/RescueBench
https://arxiv.org/abs/2309.09518
https://seadronessee.cs.uni-tuebingen.de/leaderboard</x:v>
      </x:c>
    </x:row>
    <x:row r="77" ht="120" customHeight="1">
      <x:c r="A77" s="30" t="str">
        <x:v>F073</x:v>
      </x:c>
      <x:c r="B77" s="30" t="str">
        <x:v>人员与支援状态</x:v>
      </x:c>
      <x:c r="C77" s="30" t="str">
        <x:v>human.injury</x:v>
      </x:c>
      <x:c r="D77" s="30" t="str">
        <x:v>伤情等级</x:v>
      </x:c>
      <x:c r="E77" s="30" t="str">
        <x:v>状态</x:v>
      </x:c>
      <x:c r="F77" s="30" t="str">
        <x:v>enum</x:v>
      </x:c>
      <x:c r="G77" s="30" t="str">
        <x:v>none/minor/serious/critical/not_modeled</x:v>
      </x:c>
      <x:c r="H77" s="30" t="str">
        <x:v>人员/交付/专业服务执行器</x:v>
      </x:c>
      <x:c r="I77" s="30" t="str">
        <x:v>隐藏真值；报告仅含可观察/被授权的部分</x:v>
      </x:c>
      <x:c r="J77" s="30" t="str">
        <x:v>A008；A009；A017；A018；A019；A020；A021；A022；A023；A027</x:v>
      </x:c>
      <x:c r="K77" s="30" t="str">
        <x:v>初始化/配置或相应状态所有者；不是任意Agent写入</x:v>
      </x:c>
      <x:c r="L77" s="30" t="n">
        <x:v>14</x:v>
      </x:c>
      <x:c r="M77" s="30" t="str">
        <x:v>S01；S03；S06；S11；S12；S24</x:v>
      </x:c>
      <x:c r="N77" s="30" t="str">
        <x:v>https://insarag.org/wp-content/uploads/2021/06/INSARAG20Guidelines20Vol20II2C20Man20B.pdf
https://roborescue.github.io/rcrs-server/rcrs-server/index.html
https://github.com/UnrealZoo/RescueBench
https://arxiv.org/abs/2309.09518
https://seadronessee.cs.uni-tuebingen.de/leaderboard</x:v>
      </x:c>
    </x:row>
    <x:row r="78" ht="120" customHeight="1">
      <x:c r="A78" s="30" t="str">
        <x:v>F074</x:v>
      </x:c>
      <x:c r="B78" s="30" t="str">
        <x:v>人员与支援状态</x:v>
      </x:c>
      <x:c r="C78" s="30" t="str">
        <x:v>human.mobility</x:v>
      </x:c>
      <x:c r="D78" s="30" t="str">
        <x:v>行动能力</x:v>
      </x:c>
      <x:c r="E78" s="30" t="str">
        <x:v>状态</x:v>
      </x:c>
      <x:c r="F78" s="30" t="str">
        <x:v>enum</x:v>
      </x:c>
      <x:c r="G78" s="30" t="str">
        <x:v>mobile/limited/immobile/trapped</x:v>
      </x:c>
      <x:c r="H78" s="30" t="str">
        <x:v>人员/交付/专业服务执行器</x:v>
      </x:c>
      <x:c r="I78" s="30" t="str">
        <x:v>隐藏真值；报告仅含可观察/被授权的部分</x:v>
      </x:c>
      <x:c r="J78" s="30" t="str">
        <x:v>A008；A009；A017；A018；A019；A020；A021；A022；A023；A027</x:v>
      </x:c>
      <x:c r="K78" s="30" t="str">
        <x:v>A017</x:v>
      </x:c>
      <x:c r="L78" s="30" t="n">
        <x:v>14</x:v>
      </x:c>
      <x:c r="M78" s="30" t="str">
        <x:v>S01；S03；S06；S11；S12；S24</x:v>
      </x:c>
      <x:c r="N78" s="30" t="str">
        <x:v>https://insarag.org/wp-content/uploads/2021/06/INSARAG20Guidelines20Vol20II2C20Man20B.pdf
https://roborescue.github.io/rcrs-server/rcrs-server/index.html
https://github.com/UnrealZoo/RescueBench
https://arxiv.org/abs/2309.09518
https://seadronessee.cs.uni-tuebingen.de/leaderboard</x:v>
      </x:c>
    </x:row>
    <x:row r="79" ht="120" customHeight="1">
      <x:c r="A79" s="30" t="str">
        <x:v>F075</x:v>
      </x:c>
      <x:c r="B79" s="30" t="str">
        <x:v>人员与支援状态</x:v>
      </x:c>
      <x:c r="C79" s="30" t="str">
        <x:v>human.buriedness</x:v>
      </x:c>
      <x:c r="D79" s="30" t="str">
        <x:v>压埋/受困作业量</x:v>
      </x:c>
      <x:c r="E79" s="30" t="str">
        <x:v>状态</x:v>
      </x:c>
      <x:c r="F79" s="30" t="str">
        <x:v>float</x:v>
      </x:c>
      <x:c r="G79" s="30" t="str">
        <x:v>非负；仿真尺度非医学数值</x:v>
      </x:c>
      <x:c r="H79" s="30" t="str">
        <x:v>人员/交付/专业服务执行器</x:v>
      </x:c>
      <x:c r="I79" s="30" t="str">
        <x:v>隐藏真值；报告仅含可观察/被授权的部分</x:v>
      </x:c>
      <x:c r="J79" s="30" t="str">
        <x:v>A008；A009；A017；A018；A019；A020；A021；A022；A023；A027</x:v>
      </x:c>
      <x:c r="K79" s="30" t="str">
        <x:v>A017</x:v>
      </x:c>
      <x:c r="L79" s="30" t="n">
        <x:v>14</x:v>
      </x:c>
      <x:c r="M79" s="30" t="str">
        <x:v>S01；S03；S06；S11；S12；S24</x:v>
      </x:c>
      <x:c r="N79" s="30" t="str">
        <x:v>https://insarag.org/wp-content/uploads/2021/06/INSARAG20Guidelines20Vol20II2C20Man20B.pdf
https://roborescue.github.io/rcrs-server/rcrs-server/index.html
https://github.com/UnrealZoo/RescueBench
https://arxiv.org/abs/2309.09518
https://seadronessee.cs.uni-tuebingen.de/leaderboard</x:v>
      </x:c>
    </x:row>
    <x:row r="80" ht="120" customHeight="1">
      <x:c r="A80" s="30" t="str">
        <x:v>F076</x:v>
      </x:c>
      <x:c r="B80" s="30" t="str">
        <x:v>人员与支援状态</x:v>
      </x:c>
      <x:c r="C80" s="30" t="str">
        <x:v>human.needs</x:v>
      </x:c>
      <x:c r="D80" s="30" t="str">
        <x:v>所需支援</x:v>
      </x:c>
      <x:c r="E80" s="30" t="str">
        <x:v>状态</x:v>
      </x:c>
      <x:c r="F80" s="30" t="str">
        <x:v>set</x:v>
      </x:c>
      <x:c r="G80" s="30" t="str">
        <x:v>water/food/medical_supplies/guidance/extrication/transport</x:v>
      </x:c>
      <x:c r="H80" s="30" t="str">
        <x:v>人员/交付/专业服务执行器</x:v>
      </x:c>
      <x:c r="I80" s="30" t="str">
        <x:v>隐藏真值；报告仅含可观察/被授权的部分</x:v>
      </x:c>
      <x:c r="J80" s="30" t="str">
        <x:v>A008；A009；A017；A018；A019；A020；A021；A022；A023；A027</x:v>
      </x:c>
      <x:c r="K80" s="30" t="str">
        <x:v>初始化/配置或相应状态所有者；不是任意Agent写入</x:v>
      </x:c>
      <x:c r="L80" s="30" t="n">
        <x:v>14</x:v>
      </x:c>
      <x:c r="M80" s="30" t="str">
        <x:v>S01；S03；S06；S11；S12；S24</x:v>
      </x:c>
      <x:c r="N80" s="30" t="str">
        <x:v>https://insarag.org/wp-content/uploads/2021/06/INSARAG20Guidelines20Vol20II2C20Man20B.pdf
https://roborescue.github.io/rcrs-server/rcrs-server/index.html
https://github.com/UnrealZoo/RescueBench
https://arxiv.org/abs/2309.09518
https://seadronessee.cs.uni-tuebingen.de/leaderboard</x:v>
      </x:c>
    </x:row>
    <x:row r="81" ht="120" customHeight="1">
      <x:c r="A81" s="30" t="str">
        <x:v>F077</x:v>
      </x:c>
      <x:c r="B81" s="30" t="str">
        <x:v>人员与支援状态</x:v>
      </x:c>
      <x:c r="C81" s="30" t="str">
        <x:v>human.pose</x:v>
      </x:c>
      <x:c r="D81" s="30" t="str">
        <x:v>可见姿态</x:v>
      </x:c>
      <x:c r="E81" s="30" t="str">
        <x:v>状态</x:v>
      </x:c>
      <x:c r="F81" s="30" t="str">
        <x:v>enum</x:v>
      </x:c>
      <x:c r="G81" s="30" t="str">
        <x:v>standing/sitting/crouching/lying_prone/lying_supine/waving/floating</x:v>
      </x:c>
      <x:c r="H81" s="30" t="str">
        <x:v>人员/交付/专业服务执行器</x:v>
      </x:c>
      <x:c r="I81" s="30" t="str">
        <x:v>隐藏真值；报告仅含可观察/被授权的部分</x:v>
      </x:c>
      <x:c r="J81" s="30" t="str">
        <x:v>A008；A009；A017；A018；A019；A020；A021；A022；A023；A027</x:v>
      </x:c>
      <x:c r="K81" s="30" t="str">
        <x:v>初始化/配置或相应状态所有者；不是任意Agent写入</x:v>
      </x:c>
      <x:c r="L81" s="30" t="n">
        <x:v>14</x:v>
      </x:c>
      <x:c r="M81" s="30" t="str">
        <x:v>S01；S03；S06；S11；S12；S24</x:v>
      </x:c>
      <x:c r="N81" s="30" t="str">
        <x:v>https://insarag.org/wp-content/uploads/2021/06/INSARAG20Guidelines20Vol20II2C20Man20B.pdf
https://roborescue.github.io/rcrs-server/rcrs-server/index.html
https://github.com/UnrealZoo/RescueBench
https://arxiv.org/abs/2309.09518
https://seadronessee.cs.uni-tuebingen.de/leaderboard</x:v>
      </x:c>
    </x:row>
    <x:row r="82" ht="120" customHeight="1">
      <x:c r="A82" s="30" t="str">
        <x:v>F078</x:v>
      </x:c>
      <x:c r="B82" s="30" t="str">
        <x:v>人员与支援状态</x:v>
      </x:c>
      <x:c r="C82" s="30" t="str">
        <x:v>human.visibility_context</x:v>
      </x:c>
      <x:c r="D82" s="30" t="str">
        <x:v>可见/遮挡条件</x:v>
      </x:c>
      <x:c r="E82" s="30" t="str">
        <x:v>派生</x:v>
      </x:c>
      <x:c r="F82" s="30" t="str">
        <x:v>record</x:v>
      </x:c>
      <x:c r="G82" s="30" t="str">
        <x:v>遮挡物/暴露面积/传感器条件，随几何计算</x:v>
      </x:c>
      <x:c r="H82" s="30" t="str">
        <x:v>人员/交付/专业服务执行器</x:v>
      </x:c>
      <x:c r="I82" s="30" t="str">
        <x:v>隐藏真值；报告仅含可观察/被授权的部分</x:v>
      </x:c>
      <x:c r="J82" s="30" t="str">
        <x:v>A008；A009；A017；A018；A019；A020；A021；A022；A023；A027</x:v>
      </x:c>
      <x:c r="K82" s="30" t="str">
        <x:v>初始化/配置或相应状态所有者；不是任意Agent写入</x:v>
      </x:c>
      <x:c r="L82" s="30" t="n">
        <x:v>14</x:v>
      </x:c>
      <x:c r="M82" s="30" t="str">
        <x:v>S01；S03；S06；S11；S12；S24</x:v>
      </x:c>
      <x:c r="N82" s="30" t="str">
        <x:v>https://insarag.org/wp-content/uploads/2021/06/INSARAG20Guidelines20Vol20II2C20Man20B.pdf
https://roborescue.github.io/rcrs-server/rcrs-server/index.html
https://github.com/UnrealZoo/RescueBench
https://arxiv.org/abs/2309.09518
https://seadronessee.cs.uni-tuebingen.de/leaderboard</x:v>
      </x:c>
    </x:row>
    <x:row r="83" ht="120" customHeight="1">
      <x:c r="A83" s="30" t="str">
        <x:v>F079</x:v>
      </x:c>
      <x:c r="B83" s="30" t="str">
        <x:v>人员与支援状态</x:v>
      </x:c>
      <x:c r="C83" s="30" t="str">
        <x:v>human.distress_signal</x:v>
      </x:c>
      <x:c r="D83" s="30" t="str">
        <x:v>求救线索</x:v>
      </x:c>
      <x:c r="E83" s="30" t="str">
        <x:v>状态</x:v>
      </x:c>
      <x:c r="F83" s="30" t="str">
        <x:v>set</x:v>
      </x:c>
      <x:c r="G83" s="30" t="str">
        <x:v>visual/voice/thermal/phone/none</x:v>
      </x:c>
      <x:c r="H83" s="30" t="str">
        <x:v>人员/交付/专业服务执行器</x:v>
      </x:c>
      <x:c r="I83" s="30" t="str">
        <x:v>隐藏真值；报告仅含可观察/被授权的部分</x:v>
      </x:c>
      <x:c r="J83" s="30" t="str">
        <x:v>A008；A009；A017；A018；A019；A020；A021；A022；A023；A027</x:v>
      </x:c>
      <x:c r="K83" s="30" t="str">
        <x:v>初始化/配置或相应状态所有者；不是任意Agent写入</x:v>
      </x:c>
      <x:c r="L83" s="30" t="n">
        <x:v>14</x:v>
      </x:c>
      <x:c r="M83" s="30" t="str">
        <x:v>S01；S03；S06；S11；S12；S24</x:v>
      </x:c>
      <x:c r="N83" s="30" t="str">
        <x:v>https://insarag.org/wp-content/uploads/2021/06/INSARAG20Guidelines20Vol20II2C20Man20B.pdf
https://roborescue.github.io/rcrs-server/rcrs-server/index.html
https://github.com/UnrealZoo/RescueBench
https://arxiv.org/abs/2309.09518
https://seadronessee.cs.uni-tuebingen.de/leaderboard</x:v>
      </x:c>
    </x:row>
    <x:row r="84" ht="120" customHeight="1">
      <x:c r="A84" s="30" t="str">
        <x:v>F080</x:v>
      </x:c>
      <x:c r="B84" s="30" t="str">
        <x:v>人员与支援状态</x:v>
      </x:c>
      <x:c r="C84" s="30" t="str">
        <x:v>human.health_model</x:v>
      </x:c>
      <x:c r="D84" s="30" t="str">
        <x:v>伤情演化模型</x:v>
      </x:c>
      <x:c r="E84" s="30" t="str">
        <x:v>配置</x:v>
      </x:c>
      <x:c r="F84" s="30" t="str">
        <x:v>record</x:v>
      </x:c>
      <x:c r="G84" s="30" t="str">
        <x:v>model_id/参数/来源；默认不模拟临床</x:v>
      </x:c>
      <x:c r="H84" s="30" t="str">
        <x:v>人员/交付/专业服务执行器</x:v>
      </x:c>
      <x:c r="I84" s="30" t="str">
        <x:v>隐藏真值；报告仅含可观察/被授权的部分</x:v>
      </x:c>
      <x:c r="J84" s="30" t="str">
        <x:v>A008；A009；A017；A018；A019；A020；A021；A022；A023；A027</x:v>
      </x:c>
      <x:c r="K84" s="30" t="str">
        <x:v>初始化/配置或相应状态所有者；不是任意Agent写入</x:v>
      </x:c>
      <x:c r="L84" s="30" t="n">
        <x:v>14</x:v>
      </x:c>
      <x:c r="M84" s="30" t="str">
        <x:v>S01；S03；S06；S11；S12；S24</x:v>
      </x:c>
      <x:c r="N84" s="30" t="str">
        <x:v>https://insarag.org/wp-content/uploads/2021/06/INSARAG20Guidelines20Vol20II2C20Man20B.pdf
https://roborescue.github.io/rcrs-server/rcrs-server/index.html
https://github.com/UnrealZoo/RescueBench
https://arxiv.org/abs/2309.09518
https://seadronessee.cs.uni-tuebingen.de/leaderboard</x:v>
      </x:c>
    </x:row>
    <x:row r="85" ht="120" customHeight="1">
      <x:c r="A85" s="30" t="str">
        <x:v>F081</x:v>
      </x:c>
      <x:c r="B85" s="30" t="str">
        <x:v>人员与支援状态</x:v>
      </x:c>
      <x:c r="C85" s="30" t="str">
        <x:v>human.health_value</x:v>
      </x:c>
      <x:c r="D85" s="30" t="str">
        <x:v>抽象健康指标</x:v>
      </x:c>
      <x:c r="E85" s="30" t="str">
        <x:v>状态</x:v>
      </x:c>
      <x:c r="F85" s="30" t="str">
        <x:v>float</x:v>
      </x:c>
      <x:c r="G85" s="30" t="str">
        <x:v>null或模型定义；不可称临床生命值</x:v>
      </x:c>
      <x:c r="H85" s="30" t="str">
        <x:v>人员/交付/专业服务执行器</x:v>
      </x:c>
      <x:c r="I85" s="30" t="str">
        <x:v>隐藏真值；报告仅含可观察/被授权的部分</x:v>
      </x:c>
      <x:c r="J85" s="30" t="str">
        <x:v>A008；A009；A017；A018；A019；A020；A021；A022；A023；A027</x:v>
      </x:c>
      <x:c r="K85" s="30" t="str">
        <x:v>A019</x:v>
      </x:c>
      <x:c r="L85" s="30" t="n">
        <x:v>14</x:v>
      </x:c>
      <x:c r="M85" s="30" t="str">
        <x:v>S01；S03；S06；S11；S12；S24</x:v>
      </x:c>
      <x:c r="N85" s="30" t="str">
        <x:v>https://insarag.org/wp-content/uploads/2021/06/INSARAG20Guidelines20Vol20II2C20Man20B.pdf
https://roborescue.github.io/rcrs-server/rcrs-server/index.html
https://github.com/UnrealZoo/RescueBench
https://arxiv.org/abs/2309.09518
https://seadronessee.cs.uni-tuebingen.de/leaderboard</x:v>
      </x:c>
    </x:row>
    <x:row r="86" ht="120" customHeight="1">
      <x:c r="A86" s="30" t="str">
        <x:v>F082</x:v>
      </x:c>
      <x:c r="B86" s="30" t="str">
        <x:v>人员与支援状态</x:v>
      </x:c>
      <x:c r="C86" s="30" t="str">
        <x:v>human.support_received</x:v>
      </x:c>
      <x:c r="D86" s="30" t="str">
        <x:v>已获得支援</x:v>
      </x:c>
      <x:c r="E86" s="30" t="str">
        <x:v>状态</x:v>
      </x:c>
      <x:c r="F86" s="30" t="str">
        <x:v>set</x:v>
      </x:c>
      <x:c r="G86" s="30" t="str">
        <x:v>supplies/guided/treated/extricated</x:v>
      </x:c>
      <x:c r="H86" s="30" t="str">
        <x:v>人员/交付/专业服务执行器</x:v>
      </x:c>
      <x:c r="I86" s="30" t="str">
        <x:v>隐藏真值；报告仅含可观察/被授权的部分</x:v>
      </x:c>
      <x:c r="J86" s="30" t="str">
        <x:v>A008；A009；A017；A018；A019；A020；A021；A022；A023；A027</x:v>
      </x:c>
      <x:c r="K86" s="30" t="str">
        <x:v>A009；A017；A019；A023；A027</x:v>
      </x:c>
      <x:c r="L86" s="30" t="n">
        <x:v>14</x:v>
      </x:c>
      <x:c r="M86" s="30" t="str">
        <x:v>S01；S03；S06；S11；S12；S24</x:v>
      </x:c>
      <x:c r="N86" s="30" t="str">
        <x:v>https://insarag.org/wp-content/uploads/2021/06/INSARAG20Guidelines20Vol20II2C20Man20B.pdf
https://roborescue.github.io/rcrs-server/rcrs-server/index.html
https://github.com/UnrealZoo/RescueBench
https://arxiv.org/abs/2309.09518
https://seadronessee.cs.uni-tuebingen.de/leaderboard</x:v>
      </x:c>
    </x:row>
    <x:row r="87" ht="120" customHeight="1">
      <x:c r="A87" s="30" t="str">
        <x:v>F083</x:v>
      </x:c>
      <x:c r="B87" s="30" t="str">
        <x:v>人员与支援状态</x:v>
      </x:c>
      <x:c r="C87" s="30" t="str">
        <x:v>human.carrier_id</x:v>
      </x:c>
      <x:c r="D87" s="30" t="str">
        <x:v>当前运输者</x:v>
      </x:c>
      <x:c r="E87" s="30" t="str">
        <x:v>状态</x:v>
      </x:c>
      <x:c r="F87" s="30" t="str">
        <x:v>id</x:v>
      </x:c>
      <x:c r="G87" s="30" t="str">
        <x:v>null或有运输能力平台</x:v>
      </x:c>
      <x:c r="H87" s="30" t="str">
        <x:v>人员/交付/专业服务执行器</x:v>
      </x:c>
      <x:c r="I87" s="30" t="str">
        <x:v>隐藏真值；报告仅含可观察/被授权的部分</x:v>
      </x:c>
      <x:c r="J87" s="30" t="str">
        <x:v>A008；A009；A017；A018；A019；A020；A021；A022；A023；A027</x:v>
      </x:c>
      <x:c r="K87" s="30" t="str">
        <x:v>A020；A022；A023</x:v>
      </x:c>
      <x:c r="L87" s="30" t="n">
        <x:v>14</x:v>
      </x:c>
      <x:c r="M87" s="30" t="str">
        <x:v>S01；S03；S06；S11；S12；S24</x:v>
      </x:c>
      <x:c r="N87" s="30" t="str">
        <x:v>https://insarag.org/wp-content/uploads/2021/06/INSARAG20Guidelines20Vol20II2C20Man20B.pdf
https://roborescue.github.io/rcrs-server/rcrs-server/index.html
https://github.com/UnrealZoo/RescueBench
https://arxiv.org/abs/2309.09518
https://seadronessee.cs.uni-tuebingen.de/leaderboard</x:v>
      </x:c>
    </x:row>
    <x:row r="88" ht="120" customHeight="1">
      <x:c r="A88" s="30" t="str">
        <x:v>F084</x:v>
      </x:c>
      <x:c r="B88" s="30" t="str">
        <x:v>人员与支援状态</x:v>
      </x:c>
      <x:c r="C88" s="30" t="str">
        <x:v>human.destination_id</x:v>
      </x:c>
      <x:c r="D88" s="30" t="str">
        <x:v>已移交地点</x:v>
      </x:c>
      <x:c r="E88" s="30" t="str">
        <x:v>状态</x:v>
      </x:c>
      <x:c r="F88" s="30" t="str">
        <x:v>id</x:v>
      </x:c>
      <x:c r="G88" s="30" t="str">
        <x:v>null或救援/医疗接收点</x:v>
      </x:c>
      <x:c r="H88" s="30" t="str">
        <x:v>人员/交付/专业服务执行器</x:v>
      </x:c>
      <x:c r="I88" s="30" t="str">
        <x:v>隐藏真值；报告仅含可观察/被授权的部分</x:v>
      </x:c>
      <x:c r="J88" s="30" t="str">
        <x:v>A008；A009；A017；A018；A019；A020；A021；A022；A023；A027</x:v>
      </x:c>
      <x:c r="K88" s="30" t="str">
        <x:v>A022</x:v>
      </x:c>
      <x:c r="L88" s="30" t="n">
        <x:v>14</x:v>
      </x:c>
      <x:c r="M88" s="30" t="str">
        <x:v>S01；S03；S06；S11；S12；S24</x:v>
      </x:c>
      <x:c r="N88" s="30" t="str">
        <x:v>https://insarag.org/wp-content/uploads/2021/06/INSARAG20Guidelines20Vol20II2C20Man20B.pdf
https://roborescue.github.io/rcrs-server/rcrs-server/index.html
https://github.com/UnrealZoo/RescueBench
https://arxiv.org/abs/2309.09518
https://seadronessee.cs.uni-tuebingen.de/leaderboard</x:v>
      </x:c>
    </x:row>
    <x:row r="89" ht="120" customHeight="1">
      <x:c r="A89" s="30" t="str">
        <x:v>F085</x:v>
      </x:c>
      <x:c r="B89" s="30" t="str">
        <x:v>人员与支援状态</x:v>
      </x:c>
      <x:c r="C89" s="30" t="str">
        <x:v>human.handover_status</x:v>
      </x:c>
      <x:c r="D89" s="30" t="str">
        <x:v>移交状态</x:v>
      </x:c>
      <x:c r="E89" s="30" t="str">
        <x:v>状态</x:v>
      </x:c>
      <x:c r="F89" s="30" t="str">
        <x:v>enum</x:v>
      </x:c>
      <x:c r="G89" s="30" t="str">
        <x:v>not_started/in_transit/arrived/acknowledged</x:v>
      </x:c>
      <x:c r="H89" s="30" t="str">
        <x:v>人员/交付/专业服务执行器</x:v>
      </x:c>
      <x:c r="I89" s="30" t="str">
        <x:v>隐藏真值；报告仅含可观察/被授权的部分</x:v>
      </x:c>
      <x:c r="J89" s="30" t="str">
        <x:v>A008；A009；A017；A018；A019；A020；A021；A022；A023；A027</x:v>
      </x:c>
      <x:c r="K89" s="30" t="str">
        <x:v>A021；A022</x:v>
      </x:c>
      <x:c r="L89" s="30" t="n">
        <x:v>14</x:v>
      </x:c>
      <x:c r="M89" s="30" t="str">
        <x:v>S01；S03；S06；S11；S12；S24</x:v>
      </x:c>
      <x:c r="N89" s="30" t="str">
        <x:v>https://insarag.org/wp-content/uploads/2021/06/INSARAG20Guidelines20Vol20II2C20Man20B.pdf
https://roborescue.github.io/rcrs-server/rcrs-server/index.html
https://github.com/UnrealZoo/RescueBench
https://arxiv.org/abs/2309.09518
https://seadronessee.cs.uni-tuebingen.de/leaderboard</x:v>
      </x:c>
    </x:row>
    <x:row r="90" ht="120" customHeight="1">
      <x:c r="A90" s="30" t="str">
        <x:v>F086</x:v>
      </x:c>
      <x:c r="B90" s="30" t="str">
        <x:v>人员与支援状态</x:v>
      </x:c>
      <x:c r="C90" s="30" t="str">
        <x:v>human.last_assessed_s</x:v>
      </x:c>
      <x:c r="D90" s="30" t="str">
        <x:v>最后专业评估时间</x:v>
      </x:c>
      <x:c r="E90" s="30" t="str">
        <x:v>状态</x:v>
      </x:c>
      <x:c r="F90" s="30" t="str">
        <x:v>float</x:v>
      </x:c>
      <x:c r="G90" s="30" t="str">
        <x:v>null或仿真时刻</x:v>
      </x:c>
      <x:c r="H90" s="30" t="str">
        <x:v>人员/交付/专业服务执行器</x:v>
      </x:c>
      <x:c r="I90" s="30" t="str">
        <x:v>隐藏真值；报告仅含可观察/被授权的部分</x:v>
      </x:c>
      <x:c r="J90" s="30" t="str">
        <x:v>A008；A009；A017；A018；A019；A020；A021；A022；A023；A027</x:v>
      </x:c>
      <x:c r="K90" s="30" t="str">
        <x:v>A018</x:v>
      </x:c>
      <x:c r="L90" s="30" t="n">
        <x:v>14</x:v>
      </x:c>
      <x:c r="M90" s="30" t="str">
        <x:v>S01；S03；S06；S11；S12；S24</x:v>
      </x:c>
      <x:c r="N90" s="30" t="str">
        <x:v>https://insarag.org/wp-content/uploads/2021/06/INSARAG20Guidelines20Vol20II2C20Man20B.pdf
https://roborescue.github.io/rcrs-server/rcrs-server/index.html
https://github.com/UnrealZoo/RescueBench
https://arxiv.org/abs/2309.09518
https://seadronessee.cs.uni-tuebingen.de/leaderboard</x:v>
      </x:c>
    </x:row>
    <x:row r="91" ht="120" customHeight="1">
      <x:c r="A91" s="30" t="str">
        <x:v>F087</x:v>
      </x:c>
      <x:c r="B91" s="30" t="str">
        <x:v>人员与支援状态</x:v>
      </x:c>
      <x:c r="C91" s="30" t="str">
        <x:v>human.identity_association</x:v>
      </x:c>
      <x:c r="D91" s="30" t="str">
        <x:v>人员实体关联</x:v>
      </x:c>
      <x:c r="E91" s="30" t="str">
        <x:v>标识</x:v>
      </x:c>
      <x:c r="F91" s="30" t="str">
        <x:v>record</x:v>
      </x:c>
      <x:c r="G91" s="30" t="str">
        <x:v>真实ID/感知track的映射仅评估器持有</x:v>
      </x:c>
      <x:c r="H91" s="30" t="str">
        <x:v>人员/交付/专业服务执行器</x:v>
      </x:c>
      <x:c r="I91" s="30" t="str">
        <x:v>隐藏真值；报告仅含可观察/被授权的部分</x:v>
      </x:c>
      <x:c r="J91" s="30" t="str">
        <x:v>A008；A009；A017；A018；A019；A020；A021；A022；A023；A027</x:v>
      </x:c>
      <x:c r="K91" s="30" t="str">
        <x:v>初始化/配置或相应状态所有者；不是任意Agent写入</x:v>
      </x:c>
      <x:c r="L91" s="30" t="n">
        <x:v>14</x:v>
      </x:c>
      <x:c r="M91" s="30" t="str">
        <x:v>S01；S03；S06；S11；S12；S24</x:v>
      </x:c>
      <x:c r="N91" s="30" t="str">
        <x:v>https://insarag.org/wp-content/uploads/2021/06/INSARAG20Guidelines20Vol20II2C20Man20B.pdf
https://roborescue.github.io/rcrs-server/rcrs-server/index.html
https://github.com/UnrealZoo/RescueBench
https://arxiv.org/abs/2309.09518
https://seadronessee.cs.uni-tuebingen.de/leaderboard</x:v>
      </x:c>
    </x:row>
    <x:row r="92" ht="120" customHeight="1">
      <x:c r="A92" s="30" t="str">
        <x:v>F088</x:v>
      </x:c>
      <x:c r="B92" s="30" t="str">
        <x:v>可搜索线索</x:v>
      </x:c>
      <x:c r="C92" s="30" t="str">
        <x:v>cue.kind</x:v>
      </x:c>
      <x:c r="D92" s="30" t="str">
        <x:v>线索类别</x:v>
      </x:c>
      <x:c r="E92" s="30" t="str">
        <x:v>配置</x:v>
      </x:c>
      <x:c r="F92" s="30" t="str">
        <x:v>enum</x:v>
      </x:c>
      <x:c r="G92" s="30" t="str">
        <x:v>Backpack/Bottle/Campfire/Flashlight/Jacket/PlasticBag/Powerbank/Shoe/SleepingBag/Tent/Fire/Flare/phone/drill/extinguisher/vent/gas/helmet/rope/cube</x:v>
      </x:c>
      <x:c r="H92" s="30" t="str">
        <x:v>场景/感知</x:v>
      </x:c>
      <x:c r="I92" s="30" t="str">
        <x:v>只经画面/传感器可见，不等同受困人员</x:v>
      </x:c>
      <x:c r="J92" s="30" t="str">
        <x:v>A005</x:v>
      </x:c>
      <x:c r="K92" s="30" t="str">
        <x:v>初始化/配置或相应状态所有者；不是任意Agent写入</x:v>
      </x:c>
      <x:c r="L92" s="30" t="n">
        <x:v>20</x:v>
      </x:c>
      <x:c r="M92" s="30" t="str">
        <x:v>S04；S05；S26</x:v>
      </x:c>
      <x:c r="N92" s="30" t="str">
        <x:v>https://www.darpa.mil/research/programs/darpa-subterranean-challenge
https://4amgodvzx.github.io/ESAR.github.io/
https://raw.githubusercontent.com/4amGodvzx/ESAR/main/data/cue_list.json</x:v>
      </x:c>
    </x:row>
    <x:row r="93" ht="120" customHeight="1">
      <x:c r="A93" s="30" t="str">
        <x:v>F089</x:v>
      </x:c>
      <x:c r="B93" s="30" t="str">
        <x:v>可搜索线索</x:v>
      </x:c>
      <x:c r="C93" s="30" t="str">
        <x:v>cue.related_human_id</x:v>
      </x:c>
      <x:c r="D93" s="30" t="str">
        <x:v>真实关联人员</x:v>
      </x:c>
      <x:c r="E93" s="30" t="str">
        <x:v>状态</x:v>
      </x:c>
      <x:c r="F93" s="30" t="str">
        <x:v>id</x:v>
      </x:c>
      <x:c r="G93" s="30" t="str">
        <x:v>null或人ID，隐藏</x:v>
      </x:c>
      <x:c r="H93" s="30" t="str">
        <x:v>场景/感知</x:v>
      </x:c>
      <x:c r="I93" s="30" t="str">
        <x:v>只经画面/传感器可见，不等同受困人员</x:v>
      </x:c>
      <x:c r="J93" s="30" t="str">
        <x:v>A005</x:v>
      </x:c>
      <x:c r="K93" s="30" t="str">
        <x:v>初始化/配置或相应状态所有者；不是任意Agent写入</x:v>
      </x:c>
      <x:c r="L93" s="30" t="n">
        <x:v>20</x:v>
      </x:c>
      <x:c r="M93" s="30" t="str">
        <x:v>S04；S05；S26</x:v>
      </x:c>
      <x:c r="N93" s="30" t="str">
        <x:v>https://www.darpa.mil/research/programs/darpa-subterranean-challenge
https://4amgodvzx.github.io/ESAR.github.io/
https://raw.githubusercontent.com/4amGodvzx/ESAR/main/data/cue_list.json</x:v>
      </x:c>
    </x:row>
    <x:row r="94" ht="120" customHeight="1">
      <x:c r="A94" s="30" t="str">
        <x:v>F090</x:v>
      </x:c>
      <x:c r="B94" s="30" t="str">
        <x:v>可搜索线索</x:v>
      </x:c>
      <x:c r="C94" s="30" t="str">
        <x:v>cue.location</x:v>
      </x:c>
      <x:c r="D94" s="30" t="str">
        <x:v>真实线索位置</x:v>
      </x:c>
      <x:c r="E94" s="30" t="str">
        <x:v>状态</x:v>
      </x:c>
      <x:c r="F94" s="30" t="str">
        <x:v>pose</x:v>
      </x:c>
      <x:c r="G94" s="30" t="str">
        <x:v>统一坐标</x:v>
      </x:c>
      <x:c r="H94" s="30" t="str">
        <x:v>场景/感知</x:v>
      </x:c>
      <x:c r="I94" s="30" t="str">
        <x:v>只经画面/传感器可见，不等同受困人员</x:v>
      </x:c>
      <x:c r="J94" s="30" t="str">
        <x:v>A005</x:v>
      </x:c>
      <x:c r="K94" s="30" t="str">
        <x:v>初始化/配置或相应状态所有者；不是任意Agent写入</x:v>
      </x:c>
      <x:c r="L94" s="30" t="n">
        <x:v>20</x:v>
      </x:c>
      <x:c r="M94" s="30" t="str">
        <x:v>S04；S05；S26</x:v>
      </x:c>
      <x:c r="N94" s="30" t="str">
        <x:v>https://www.darpa.mil/research/programs/darpa-subterranean-challenge
https://4amgodvzx.github.io/ESAR.github.io/
https://raw.githubusercontent.com/4amGodvzx/ESAR/main/data/cue_list.json</x:v>
      </x:c>
    </x:row>
    <x:row r="95" ht="120" customHeight="1">
      <x:c r="A95" s="30" t="str">
        <x:v>F091</x:v>
      </x:c>
      <x:c r="B95" s="30" t="str">
        <x:v>可搜索线索</x:v>
      </x:c>
      <x:c r="C95" s="30" t="str">
        <x:v>cue.age_s</x:v>
      </x:c>
      <x:c r="D95" s="30" t="str">
        <x:v>线索年代/经过时间</x:v>
      </x:c>
      <x:c r="E95" s="30" t="str">
        <x:v>状态</x:v>
      </x:c>
      <x:c r="F95" s="30" t="str">
        <x:v>float</x:v>
      </x:c>
      <x:c r="G95" s="30" t="str">
        <x:v>null或非负</x:v>
      </x:c>
      <x:c r="H95" s="30" t="str">
        <x:v>场景/感知</x:v>
      </x:c>
      <x:c r="I95" s="30" t="str">
        <x:v>只经画面/传感器可见，不等同受困人员</x:v>
      </x:c>
      <x:c r="J95" s="30" t="str">
        <x:v>A005</x:v>
      </x:c>
      <x:c r="K95" s="30" t="str">
        <x:v>初始化/配置或相应状态所有者；不是任意Agent写入</x:v>
      </x:c>
      <x:c r="L95" s="30" t="n">
        <x:v>20</x:v>
      </x:c>
      <x:c r="M95" s="30" t="str">
        <x:v>S04；S05；S26</x:v>
      </x:c>
      <x:c r="N95" s="30" t="str">
        <x:v>https://www.darpa.mil/research/programs/darpa-subterranean-challenge
https://4amgodvzx.github.io/ESAR.github.io/
https://raw.githubusercontent.com/4amGodvzx/ESAR/main/data/cue_list.json</x:v>
      </x:c>
    </x:row>
    <x:row r="96" ht="120" customHeight="1">
      <x:c r="A96" s="30" t="str">
        <x:v>F092</x:v>
      </x:c>
      <x:c r="B96" s="30" t="str">
        <x:v>可搜索线索</x:v>
      </x:c>
      <x:c r="C96" s="30" t="str">
        <x:v>cue.signal_state</x:v>
      </x:c>
      <x:c r="D96" s="30" t="str">
        <x:v>信号活动状态</x:v>
      </x:c>
      <x:c r="E96" s="30" t="str">
        <x:v>状态</x:v>
      </x:c>
      <x:c r="F96" s="30" t="str">
        <x:v>enum</x:v>
      </x:c>
      <x:c r="G96" s="30" t="str">
        <x:v>active/inactive/intermittent</x:v>
      </x:c>
      <x:c r="H96" s="30" t="str">
        <x:v>场景/感知</x:v>
      </x:c>
      <x:c r="I96" s="30" t="str">
        <x:v>只经画面/传感器可见，不等同受困人员</x:v>
      </x:c>
      <x:c r="J96" s="30" t="str">
        <x:v>A005</x:v>
      </x:c>
      <x:c r="K96" s="30" t="str">
        <x:v>初始化/配置或相应状态所有者；不是任意Agent写入</x:v>
      </x:c>
      <x:c r="L96" s="30" t="n">
        <x:v>20</x:v>
      </x:c>
      <x:c r="M96" s="30" t="str">
        <x:v>S04；S05；S26</x:v>
      </x:c>
      <x:c r="N96" s="30" t="str">
        <x:v>https://www.darpa.mil/research/programs/darpa-subterranean-challenge
https://4amgodvzx.github.io/ESAR.github.io/
https://raw.githubusercontent.com/4amGodvzx/ESAR/main/data/cue_list.json</x:v>
      </x:c>
    </x:row>
    <x:row r="97" ht="120" customHeight="1">
      <x:c r="A97" s="30" t="str">
        <x:v>F093</x:v>
      </x:c>
      <x:c r="B97" s="30" t="str">
        <x:v>可搜索线索</x:v>
      </x:c>
      <x:c r="C97" s="30" t="str">
        <x:v>cue.detectability</x:v>
      </x:c>
      <x:c r="D97" s="30" t="str">
        <x:v>可探测条件</x:v>
      </x:c>
      <x:c r="E97" s="30" t="str">
        <x:v>配置</x:v>
      </x:c>
      <x:c r="F97" s="30" t="str">
        <x:v>record</x:v>
      </x:c>
      <x:c r="G97" s="30" t="str">
        <x:v>外观尺寸/热/音频/RF特性</x:v>
      </x:c>
      <x:c r="H97" s="30" t="str">
        <x:v>场景/感知</x:v>
      </x:c>
      <x:c r="I97" s="30" t="str">
        <x:v>只经画面/传感器可见，不等同受困人员</x:v>
      </x:c>
      <x:c r="J97" s="30" t="str">
        <x:v>A005</x:v>
      </x:c>
      <x:c r="K97" s="30" t="str">
        <x:v>初始化/配置或相应状态所有者；不是任意Agent写入</x:v>
      </x:c>
      <x:c r="L97" s="30" t="n">
        <x:v>20</x:v>
      </x:c>
      <x:c r="M97" s="30" t="str">
        <x:v>S04；S05；S26</x:v>
      </x:c>
      <x:c r="N97" s="30" t="str">
        <x:v>https://www.darpa.mil/research/programs/darpa-subterranean-challenge
https://4amgodvzx.github.io/ESAR.github.io/
https://raw.githubusercontent.com/4amGodvzx/ESAR/main/data/cue_list.json</x:v>
      </x:c>
    </x:row>
    <x:row r="98" ht="120" customHeight="1">
      <x:c r="A98" s="30" t="str">
        <x:v>F094</x:v>
      </x:c>
      <x:c r="B98" s="30" t="str">
        <x:v>可搜索线索</x:v>
      </x:c>
      <x:c r="C98" s="30" t="str">
        <x:v>cue.source_local_id</x:v>
      </x:c>
      <x:c r="D98" s="30" t="str">
        <x:v>数据源地图内编号</x:v>
      </x:c>
      <x:c r="E98" s="30" t="str">
        <x:v>标识</x:v>
      </x:c>
      <x:c r="F98" s="30" t="str">
        <x:v>record</x:v>
      </x:c>
      <x:c r="G98" s="30" t="str">
        <x:v>dataset/map/id；不能跨地图碰撞</x:v>
      </x:c>
      <x:c r="H98" s="30" t="str">
        <x:v>场景/感知</x:v>
      </x:c>
      <x:c r="I98" s="30" t="str">
        <x:v>只经画面/传感器可见，不等同受困人员</x:v>
      </x:c>
      <x:c r="J98" s="30" t="str">
        <x:v>A005</x:v>
      </x:c>
      <x:c r="K98" s="30" t="str">
        <x:v>初始化/配置或相应状态所有者；不是任意Agent写入</x:v>
      </x:c>
      <x:c r="L98" s="30" t="n">
        <x:v>20</x:v>
      </x:c>
      <x:c r="M98" s="30" t="str">
        <x:v>S04；S05；S26</x:v>
      </x:c>
      <x:c r="N98" s="30" t="str">
        <x:v>https://www.darpa.mil/research/programs/darpa-subterranean-challenge
https://4amgodvzx.github.io/ESAR.github.io/
https://raw.githubusercontent.com/4amGodvzx/ESAR/main/data/cue_list.json</x:v>
      </x:c>
    </x:row>
    <x:row r="99" ht="120" customHeight="1">
      <x:c r="A99" s="30" t="str">
        <x:v>F095</x:v>
      </x:c>
      <x:c r="B99" s="30" t="str">
        <x:v>平台能力与即时资源</x:v>
      </x:c>
      <x:c r="C99" s="30" t="str">
        <x:v>platform.kind</x:v>
      </x:c>
      <x:c r="D99" s="30" t="str">
        <x:v>平台类别</x:v>
      </x:c>
      <x:c r="E99" s="30" t="str">
        <x:v>配置</x:v>
      </x:c>
      <x:c r="F99" s="30" t="str">
        <x:v>enum</x:v>
      </x:c>
      <x:c r="G99" s="30" t="str">
        <x:v>uav/dog/wheeled/boat/human_team/engineering/medical</x:v>
      </x:c>
      <x:c r="H99" s="30" t="str">
        <x:v>平台状态所有者</x:v>
      </x:c>
      <x:c r="I99" s="30" t="str">
        <x:v>本机遥测可读；队友只读已送达报告</x:v>
      </x:c>
      <x:c r="J99" s="30" t="str">
        <x:v>A001；A002；A003；A004；A005；A008；A011；A012；A013；A016；A017；A020；A021；A023；A024；A025；A026；A028；A029；A030；A031；A032；A033；A034；A051；A053；A055；A056；A057；A059；A061；A062；A063；A066</x:v>
      </x:c>
      <x:c r="K99" s="30" t="str">
        <x:v>初始化/配置或相应状态所有者；不是任意Agent写入</x:v>
      </x:c>
      <x:c r="L99" s="30" t="n">
        <x:v>67</x:v>
      </x:c>
      <x:c r="M99" s="30" t="str">
        <x:v>S02；S18；S24；S25</x:v>
      </x:c>
      <x:c r="N99" s="30" t="str">
        <x:v>https://www.nist.gov/programs-projects/department-homeland-security-response-robot-performance-standards
https://www.nsnam.org/docs/models/html/energy.html</x:v>
      </x:c>
    </x:row>
    <x:row r="100" ht="120" customHeight="1">
      <x:c r="A100" s="30" t="str">
        <x:v>F096</x:v>
      </x:c>
      <x:c r="B100" s="30" t="str">
        <x:v>平台能力与即时资源</x:v>
      </x:c>
      <x:c r="C100" s="30" t="str">
        <x:v>platform.capability_ids</x:v>
      </x:c>
      <x:c r="D100" s="30" t="str">
        <x:v>能力清单</x:v>
      </x:c>
      <x:c r="E100" s="30" t="str">
        <x:v>配置</x:v>
      </x:c>
      <x:c r="F100" s="30" t="str">
        <x:v>set[id]</x:v>
      </x:c>
      <x:c r="G100" s="30" t="str">
        <x:v>必须有已配置设备/软件或外部服务支持</x:v>
      </x:c>
      <x:c r="H100" s="30" t="str">
        <x:v>平台状态所有者</x:v>
      </x:c>
      <x:c r="I100" s="30" t="str">
        <x:v>本机遥测可读；队友只读已送达报告</x:v>
      </x:c>
      <x:c r="J100" s="30" t="str">
        <x:v>A001；A002；A003；A004；A005；A008；A011；A012；A013；A016；A017；A020；A021；A023；A024；A025；A026；A028；A029；A030；A031；A032；A033；A034；A051；A053；A055；A056；A057；A059；A061；A062；A063；A066</x:v>
      </x:c>
      <x:c r="K100" s="30" t="str">
        <x:v>初始化/配置或相应状态所有者；不是任意Agent写入</x:v>
      </x:c>
      <x:c r="L100" s="30" t="n">
        <x:v>67</x:v>
      </x:c>
      <x:c r="M100" s="30" t="str">
        <x:v>S02；S18；S24；S25</x:v>
      </x:c>
      <x:c r="N100" s="30" t="str">
        <x:v>https://www.nist.gov/programs-projects/department-homeland-security-response-robot-performance-standards
https://www.nsnam.org/docs/models/html/energy.html</x:v>
      </x:c>
    </x:row>
    <x:row r="101" ht="120" customHeight="1">
      <x:c r="A101" s="30" t="str">
        <x:v>F097</x:v>
      </x:c>
      <x:c r="B101" s="30" t="str">
        <x:v>平台能力与即时资源</x:v>
      </x:c>
      <x:c r="C101" s="30" t="str">
        <x:v>platform.equipment_ids</x:v>
      </x:c>
      <x:c r="D101" s="30" t="str">
        <x:v>实际安装装备</x:v>
      </x:c>
      <x:c r="E101" s="30" t="str">
        <x:v>配置</x:v>
      </x:c>
      <x:c r="F101" s="30" t="str">
        <x:v>list[id]</x:v>
      </x:c>
      <x:c r="G101" s="30" t="str">
        <x:v>感知/操纵/释放/运输/通信/计算设备</x:v>
      </x:c>
      <x:c r="H101" s="30" t="str">
        <x:v>平台状态所有者</x:v>
      </x:c>
      <x:c r="I101" s="30" t="str">
        <x:v>本机遥测可读；队友只读已送达报告</x:v>
      </x:c>
      <x:c r="J101" s="30" t="str">
        <x:v>A001；A002；A003；A004；A005；A008；A011；A012；A013；A016；A017；A020；A021；A023；A024；A025；A026；A028；A029；A030；A031；A032；A033；A034；A051；A053；A055；A056；A057；A059；A061；A062；A063；A066</x:v>
      </x:c>
      <x:c r="K101" s="30" t="str">
        <x:v>初始化/配置或相应状态所有者；不是任意Agent写入</x:v>
      </x:c>
      <x:c r="L101" s="30" t="n">
        <x:v>67</x:v>
      </x:c>
      <x:c r="M101" s="30" t="str">
        <x:v>S02；S18；S24；S25</x:v>
      </x:c>
      <x:c r="N101" s="30" t="str">
        <x:v>https://www.nist.gov/programs-projects/department-homeland-security-response-robot-performance-standards
https://www.nsnam.org/docs/models/html/energy.html</x:v>
      </x:c>
    </x:row>
    <x:row r="102" ht="120" customHeight="1">
      <x:c r="A102" s="30" t="str">
        <x:v>F098</x:v>
      </x:c>
      <x:c r="B102" s="30" t="str">
        <x:v>平台能力与即时资源</x:v>
      </x:c>
      <x:c r="C102" s="30" t="str">
        <x:v>platform.width_m</x:v>
      </x:c>
      <x:c r="D102" s="30" t="str">
        <x:v>机体宽度</x:v>
      </x:c>
      <x:c r="E102" s="30" t="str">
        <x:v>配置</x:v>
      </x:c>
      <x:c r="F102" s="30" t="str">
        <x:v>float</x:v>
      </x:c>
      <x:c r="G102" s="30" t="str">
        <x:v>正数，含载荷附件</x:v>
      </x:c>
      <x:c r="H102" s="30" t="str">
        <x:v>平台状态所有者</x:v>
      </x:c>
      <x:c r="I102" s="30" t="str">
        <x:v>本机遥测可读；队友只读已送达报告</x:v>
      </x:c>
      <x:c r="J102" s="30" t="str">
        <x:v>A001；A002；A003；A004；A005；A008；A011；A012；A013；A016；A017；A020；A021；A023；A024；A025；A026；A028；A029；A030；A031；A032；A033；A034；A051；A053；A055；A056；A057；A059；A061；A062；A063；A066</x:v>
      </x:c>
      <x:c r="K102" s="30" t="str">
        <x:v>初始化/配置或相应状态所有者；不是任意Agent写入</x:v>
      </x:c>
      <x:c r="L102" s="30" t="n">
        <x:v>67</x:v>
      </x:c>
      <x:c r="M102" s="30" t="str">
        <x:v>S02；S18；S24；S25</x:v>
      </x:c>
      <x:c r="N102" s="30" t="str">
        <x:v>https://www.nist.gov/programs-projects/department-homeland-security-response-robot-performance-standards
https://www.nsnam.org/docs/models/html/energy.html</x:v>
      </x:c>
    </x:row>
    <x:row r="103" ht="120" customHeight="1">
      <x:c r="A103" s="30" t="str">
        <x:v>F099</x:v>
      </x:c>
      <x:c r="B103" s="30" t="str">
        <x:v>平台能力与即时资源</x:v>
      </x:c>
      <x:c r="C103" s="30" t="str">
        <x:v>platform.height_m</x:v>
      </x:c>
      <x:c r="D103" s="30" t="str">
        <x:v>机体高度</x:v>
      </x:c>
      <x:c r="E103" s="30" t="str">
        <x:v>配置</x:v>
      </x:c>
      <x:c r="F103" s="30" t="str">
        <x:v>float</x:v>
      </x:c>
      <x:c r="G103" s="30" t="str">
        <x:v>正数</x:v>
      </x:c>
      <x:c r="H103" s="30" t="str">
        <x:v>平台状态所有者</x:v>
      </x:c>
      <x:c r="I103" s="30" t="str">
        <x:v>本机遥测可读；队友只读已送达报告</x:v>
      </x:c>
      <x:c r="J103" s="30" t="str">
        <x:v>A001；A002；A003；A004；A005；A008；A011；A012；A013；A016；A017；A020；A021；A023；A024；A025；A026；A028；A029；A030；A031；A032；A033；A034；A051；A053；A055；A056；A057；A059；A061；A062；A063；A066</x:v>
      </x:c>
      <x:c r="K103" s="30" t="str">
        <x:v>初始化/配置或相应状态所有者；不是任意Agent写入</x:v>
      </x:c>
      <x:c r="L103" s="30" t="n">
        <x:v>67</x:v>
      </x:c>
      <x:c r="M103" s="30" t="str">
        <x:v>S02；S18；S24；S25</x:v>
      </x:c>
      <x:c r="N103" s="30" t="str">
        <x:v>https://www.nist.gov/programs-projects/department-homeland-security-response-robot-performance-standards
https://www.nsnam.org/docs/models/html/energy.html</x:v>
      </x:c>
    </x:row>
    <x:row r="104" ht="120" customHeight="1">
      <x:c r="A104" s="30" t="str">
        <x:v>F100</x:v>
      </x:c>
      <x:c r="B104" s="30" t="str">
        <x:v>平台能力与即时资源</x:v>
      </x:c>
      <x:c r="C104" s="30" t="str">
        <x:v>platform.swept_radius_m</x:v>
      </x:c>
      <x:c r="D104" s="30" t="str">
        <x:v>运动扫掠范围</x:v>
      </x:c>
      <x:c r="E104" s="30" t="str">
        <x:v>配置</x:v>
      </x:c>
      <x:c r="F104" s="30" t="str">
        <x:v>float</x:v>
      </x:c>
      <x:c r="G104" s="30" t="str">
        <x:v>旋翼/步态/转弯包络</x:v>
      </x:c>
      <x:c r="H104" s="30" t="str">
        <x:v>平台状态所有者</x:v>
      </x:c>
      <x:c r="I104" s="30" t="str">
        <x:v>本机遥测可读；队友只读已送达报告</x:v>
      </x:c>
      <x:c r="J104" s="30" t="str">
        <x:v>A001；A002；A003；A004；A005；A008；A011；A012；A013；A016；A017；A020；A021；A023；A024；A025；A026；A028；A029；A030；A031；A032；A033；A034；A051；A053；A055；A056；A057；A059；A061；A062；A063；A066</x:v>
      </x:c>
      <x:c r="K104" s="30" t="str">
        <x:v>初始化/配置或相应状态所有者；不是任意Agent写入</x:v>
      </x:c>
      <x:c r="L104" s="30" t="n">
        <x:v>67</x:v>
      </x:c>
      <x:c r="M104" s="30" t="str">
        <x:v>S02；S18；S24；S25</x:v>
      </x:c>
      <x:c r="N104" s="30" t="str">
        <x:v>https://www.nist.gov/programs-projects/department-homeland-security-response-robot-performance-standards
https://www.nsnam.org/docs/models/html/energy.html</x:v>
      </x:c>
    </x:row>
    <x:row r="105" ht="120" customHeight="1">
      <x:c r="A105" s="30" t="str">
        <x:v>F101</x:v>
      </x:c>
      <x:c r="B105" s="30" t="str">
        <x:v>平台能力与即时资源</x:v>
      </x:c>
      <x:c r="C105" s="30" t="str">
        <x:v>platform.payload_capacity_kg</x:v>
      </x:c>
      <x:c r="D105" s="30" t="str">
        <x:v>最大有效载荷</x:v>
      </x:c>
      <x:c r="E105" s="30" t="str">
        <x:v>配置</x:v>
      </x:c>
      <x:c r="F105" s="30" t="str">
        <x:v>float</x:v>
      </x:c>
      <x:c r="G105" s="30" t="str">
        <x:v>非负且对应当前构型</x:v>
      </x:c>
      <x:c r="H105" s="30" t="str">
        <x:v>平台状态所有者</x:v>
      </x:c>
      <x:c r="I105" s="30" t="str">
        <x:v>本机遥测可读；队友只读已送达报告</x:v>
      </x:c>
      <x:c r="J105" s="30" t="str">
        <x:v>A001；A002；A003；A004；A005；A008；A011；A012；A013；A016；A017；A020；A021；A023；A024；A025；A026；A028；A029；A030；A031；A032；A033；A034；A051；A053；A055；A056；A057；A059；A061；A062；A063；A066</x:v>
      </x:c>
      <x:c r="K105" s="30" t="str">
        <x:v>初始化/配置或相应状态所有者；不是任意Agent写入</x:v>
      </x:c>
      <x:c r="L105" s="30" t="n">
        <x:v>67</x:v>
      </x:c>
      <x:c r="M105" s="30" t="str">
        <x:v>S02；S18；S24；S25</x:v>
      </x:c>
      <x:c r="N105" s="30" t="str">
        <x:v>https://www.nist.gov/programs-projects/department-homeland-security-response-robot-performance-standards
https://www.nsnam.org/docs/models/html/energy.html</x:v>
      </x:c>
    </x:row>
    <x:row r="106" ht="120" customHeight="1">
      <x:c r="A106" s="30" t="str">
        <x:v>F102</x:v>
      </x:c>
      <x:c r="B106" s="30" t="str">
        <x:v>平台能力与即时资源</x:v>
      </x:c>
      <x:c r="C106" s="30" t="str">
        <x:v>platform.payload_used_kg</x:v>
      </x:c>
      <x:c r="D106" s="30" t="str">
        <x:v>当前载荷质量</x:v>
      </x:c>
      <x:c r="E106" s="30" t="str">
        <x:v>派生</x:v>
      </x:c>
      <x:c r="F106" s="30" t="str">
        <x:v>float</x:v>
      </x:c>
      <x:c r="G106" s="30" t="str">
        <x:v>载物+装配的统一计费口径</x:v>
      </x:c>
      <x:c r="H106" s="30" t="str">
        <x:v>平台状态所有者</x:v>
      </x:c>
      <x:c r="I106" s="30" t="str">
        <x:v>本机遥测可读；队友只读已送达报告</x:v>
      </x:c>
      <x:c r="J106" s="30" t="str">
        <x:v>A001；A002；A003；A004；A005；A008；A011；A012；A013；A016；A017；A020；A021；A023；A024；A025；A026；A028；A029；A030；A031；A032；A033；A034；A051；A053；A055；A056；A057；A059；A061；A062；A063；A066</x:v>
      </x:c>
      <x:c r="K106" s="30" t="str">
        <x:v>初始化/配置或相应状态所有者；不是任意Agent写入</x:v>
      </x:c>
      <x:c r="L106" s="30" t="n">
        <x:v>67</x:v>
      </x:c>
      <x:c r="M106" s="30" t="str">
        <x:v>S02；S18；S24；S25</x:v>
      </x:c>
      <x:c r="N106" s="30" t="str">
        <x:v>https://www.nist.gov/programs-projects/department-homeland-security-response-robot-performance-standards
https://www.nsnam.org/docs/models/html/energy.html</x:v>
      </x:c>
    </x:row>
    <x:row r="107" ht="120" customHeight="1">
      <x:c r="A107" s="30" t="str">
        <x:v>F103</x:v>
      </x:c>
      <x:c r="B107" s="30" t="str">
        <x:v>平台能力与即时资源</x:v>
      </x:c>
      <x:c r="C107" s="30" t="str">
        <x:v>platform.payload_item_ids</x:v>
      </x:c>
      <x:c r="D107" s="30" t="str">
        <x:v>当前载荷实例</x:v>
      </x:c>
      <x:c r="E107" s="30" t="str">
        <x:v>状态</x:v>
      </x:c>
      <x:c r="F107" s="30" t="str">
        <x:v>list[id]</x:v>
      </x:c>
      <x:c r="G107" s="30" t="str">
        <x:v>真实已挂载物品</x:v>
      </x:c>
      <x:c r="H107" s="30" t="str">
        <x:v>平台状态所有者</x:v>
      </x:c>
      <x:c r="I107" s="30" t="str">
        <x:v>本机遥测可读；队友只读已送达报告</x:v>
      </x:c>
      <x:c r="J107" s="30" t="str">
        <x:v>A001；A002；A003；A004；A005；A008；A011；A012；A013；A016；A017；A020；A021；A023；A024；A025；A026；A028；A029；A030；A031；A032；A033；A034；A051；A053；A055；A056；A057；A059；A061；A062；A063；A066</x:v>
      </x:c>
      <x:c r="K107" s="30" t="str">
        <x:v>A024；A025；A026</x:v>
      </x:c>
      <x:c r="L107" s="30" t="n">
        <x:v>67</x:v>
      </x:c>
      <x:c r="M107" s="30" t="str">
        <x:v>S02；S18；S24；S25</x:v>
      </x:c>
      <x:c r="N107" s="30" t="str">
        <x:v>https://www.nist.gov/programs-projects/department-homeland-security-response-robot-performance-standards
https://www.nsnam.org/docs/models/html/energy.html</x:v>
      </x:c>
    </x:row>
    <x:row r="108" ht="120" customHeight="1">
      <x:c r="A108" s="30" t="str">
        <x:v>F104</x:v>
      </x:c>
      <x:c r="B108" s="30" t="str">
        <x:v>平台能力与即时资源</x:v>
      </x:c>
      <x:c r="C108" s="30" t="str">
        <x:v>platform.battery_capacity_Wh</x:v>
      </x:c>
      <x:c r="D108" s="30" t="str">
        <x:v>可用电池容量</x:v>
      </x:c>
      <x:c r="E108" s="30" t="str">
        <x:v>配置</x:v>
      </x:c>
      <x:c r="F108" s="30" t="str">
        <x:v>float</x:v>
      </x:c>
      <x:c r="G108" s="30" t="str">
        <x:v>正数</x:v>
      </x:c>
      <x:c r="H108" s="30" t="str">
        <x:v>平台状态所有者</x:v>
      </x:c>
      <x:c r="I108" s="30" t="str">
        <x:v>本机遥测可读；队友只读已送达报告</x:v>
      </x:c>
      <x:c r="J108" s="30" t="str">
        <x:v>A001；A002；A003；A004；A005；A008；A011；A012；A013；A016；A017；A020；A021；A023；A024；A025；A026；A028；A029；A030；A031；A032；A033；A034；A051；A053；A055；A056；A057；A059；A061；A062；A063；A066</x:v>
      </x:c>
      <x:c r="K108" s="30" t="str">
        <x:v>初始化/配置或相应状态所有者；不是任意Agent写入</x:v>
      </x:c>
      <x:c r="L108" s="30" t="n">
        <x:v>67</x:v>
      </x:c>
      <x:c r="M108" s="30" t="str">
        <x:v>S02；S18；S24；S25</x:v>
      </x:c>
      <x:c r="N108" s="30" t="str">
        <x:v>https://www.nist.gov/programs-projects/department-homeland-security-response-robot-performance-standards
https://www.nsnam.org/docs/models/html/energy.html</x:v>
      </x:c>
    </x:row>
    <x:row r="109" ht="120" customHeight="1">
      <x:c r="A109" s="30" t="str">
        <x:v>F105</x:v>
      </x:c>
      <x:c r="B109" s="30" t="str">
        <x:v>平台能力与即时资源</x:v>
      </x:c>
      <x:c r="C109" s="30" t="str">
        <x:v>platform.battery_remaining_Wh</x:v>
      </x:c>
      <x:c r="D109" s="30" t="str">
        <x:v>剩余电量</x:v>
      </x:c>
      <x:c r="E109" s="30" t="str">
        <x:v>状态</x:v>
      </x:c>
      <x:c r="F109" s="30" t="str">
        <x:v>float</x:v>
      </x:c>
      <x:c r="G109" s="30" t="str">
        <x:v>[0,capacity]</x:v>
      </x:c>
      <x:c r="H109" s="30" t="str">
        <x:v>平台状态所有者</x:v>
      </x:c>
      <x:c r="I109" s="30" t="str">
        <x:v>本机遥测可读；队友只读已送达报告</x:v>
      </x:c>
      <x:c r="J109" s="30" t="str">
        <x:v>A001；A002；A003；A004；A005；A008；A011；A012；A013；A016；A017；A020；A021；A023；A024；A025；A026；A028；A029；A030；A031；A032；A033；A034；A051；A053；A055；A056；A057；A059；A061；A062；A063；A066</x:v>
      </x:c>
      <x:c r="K109" s="30" t="str">
        <x:v>A001；A002；A003；A004；A008；A029；A030</x:v>
      </x:c>
      <x:c r="L109" s="30" t="n">
        <x:v>67</x:v>
      </x:c>
      <x:c r="M109" s="30" t="str">
        <x:v>S02；S18；S24；S25</x:v>
      </x:c>
      <x:c r="N109" s="30" t="str">
        <x:v>https://www.nist.gov/programs-projects/department-homeland-security-response-robot-performance-standards
https://www.nsnam.org/docs/models/html/energy.html</x:v>
      </x:c>
    </x:row>
    <x:row r="110" ht="120" customHeight="1">
      <x:c r="A110" s="30" t="str">
        <x:v>F106</x:v>
      </x:c>
      <x:c r="B110" s="30" t="str">
        <x:v>平台能力与即时资源</x:v>
      </x:c>
      <x:c r="C110" s="30" t="str">
        <x:v>platform.reserve_Wh</x:v>
      </x:c>
      <x:c r="D110" s="30" t="str">
        <x:v>保留安全电量</x:v>
      </x:c>
      <x:c r="E110" s="30" t="str">
        <x:v>配置</x:v>
      </x:c>
      <x:c r="F110" s="30" t="str">
        <x:v>float</x:v>
      </x:c>
      <x:c r="G110" s="30" t="str">
        <x:v>非负，规则参数</x:v>
      </x:c>
      <x:c r="H110" s="30" t="str">
        <x:v>平台状态所有者</x:v>
      </x:c>
      <x:c r="I110" s="30" t="str">
        <x:v>本机遥测可读；队友只读已送达报告</x:v>
      </x:c>
      <x:c r="J110" s="30" t="str">
        <x:v>A001；A002；A003；A004；A005；A008；A011；A012；A013；A016；A017；A020；A021；A023；A024；A025；A026；A028；A029；A030；A031；A032；A033；A034；A051；A053；A055；A056；A057；A059；A061；A062；A063；A066</x:v>
      </x:c>
      <x:c r="K110" s="30" t="str">
        <x:v>初始化/配置或相应状态所有者；不是任意Agent写入</x:v>
      </x:c>
      <x:c r="L110" s="30" t="n">
        <x:v>67</x:v>
      </x:c>
      <x:c r="M110" s="30" t="str">
        <x:v>S02；S18；S24；S25</x:v>
      </x:c>
      <x:c r="N110" s="30" t="str">
        <x:v>https://www.nist.gov/programs-projects/department-homeland-security-response-robot-performance-standards
https://www.nsnam.org/docs/models/html/energy.html</x:v>
      </x:c>
    </x:row>
    <x:row r="111" ht="120" customHeight="1">
      <x:c r="A111" s="30" t="str">
        <x:v>F107</x:v>
      </x:c>
      <x:c r="B111" s="30" t="str">
        <x:v>平台能力与即时资源</x:v>
      </x:c>
      <x:c r="C111" s="30" t="str">
        <x:v>platform.speed_limit_mps</x:v>
      </x:c>
      <x:c r="D111" s="30" t="str">
        <x:v>当前速度限制</x:v>
      </x:c>
      <x:c r="E111" s="30" t="str">
        <x:v>派生</x:v>
      </x:c>
      <x:c r="F111" s="30" t="str">
        <x:v>float</x:v>
      </x:c>
      <x:c r="G111" s="30" t="str">
        <x:v>非负；环境/载荷可能修正</x:v>
      </x:c>
      <x:c r="H111" s="30" t="str">
        <x:v>平台状态所有者</x:v>
      </x:c>
      <x:c r="I111" s="30" t="str">
        <x:v>本机遥测可读；队友只读已送达报告</x:v>
      </x:c>
      <x:c r="J111" s="30" t="str">
        <x:v>A001；A002；A003；A004；A005；A008；A011；A012；A013；A016；A017；A020；A021；A023；A024；A025；A026；A028；A029；A030；A031；A032；A033；A034；A051；A053；A055；A056；A057；A059；A061；A062；A063；A066</x:v>
      </x:c>
      <x:c r="K111" s="30" t="str">
        <x:v>初始化/配置或相应状态所有者；不是任意Agent写入</x:v>
      </x:c>
      <x:c r="L111" s="30" t="n">
        <x:v>67</x:v>
      </x:c>
      <x:c r="M111" s="30" t="str">
        <x:v>S02；S18；S24；S25</x:v>
      </x:c>
      <x:c r="N111" s="30" t="str">
        <x:v>https://www.nist.gov/programs-projects/department-homeland-security-response-robot-performance-standards
https://www.nsnam.org/docs/models/html/energy.html</x:v>
      </x:c>
    </x:row>
    <x:row r="112" ht="120" customHeight="1">
      <x:c r="A112" s="30" t="str">
        <x:v>F108</x:v>
      </x:c>
      <x:c r="B112" s="30" t="str">
        <x:v>平台能力与即时资源</x:v>
      </x:c>
      <x:c r="C112" s="30" t="str">
        <x:v>platform.energy_model</x:v>
      </x:c>
      <x:c r="D112" s="30" t="str">
        <x:v>能耗模型</x:v>
      </x:c>
      <x:c r="E112" s="30" t="str">
        <x:v>配置</x:v>
      </x:c>
      <x:c r="F112" s="30" t="str">
        <x:v>record</x:v>
      </x:c>
      <x:c r="G112" s="30" t="str">
        <x:v>移动/等待/计算/通信范围及防重复计费说明</x:v>
      </x:c>
      <x:c r="H112" s="30" t="str">
        <x:v>平台状态所有者</x:v>
      </x:c>
      <x:c r="I112" s="30" t="str">
        <x:v>本机遥测可读；队友只读已送达报告</x:v>
      </x:c>
      <x:c r="J112" s="30" t="str">
        <x:v>A001；A002；A003；A004；A005；A008；A011；A012；A013；A016；A017；A020；A021；A023；A024；A025；A026；A028；A029；A030；A031；A032；A033；A034；A051；A053；A055；A056；A057；A059；A061；A062；A063；A066</x:v>
      </x:c>
      <x:c r="K112" s="30" t="str">
        <x:v>初始化/配置或相应状态所有者；不是任意Agent写入</x:v>
      </x:c>
      <x:c r="L112" s="30" t="n">
        <x:v>67</x:v>
      </x:c>
      <x:c r="M112" s="30" t="str">
        <x:v>S02；S18；S24；S25</x:v>
      </x:c>
      <x:c r="N112" s="30" t="str">
        <x:v>https://www.nist.gov/programs-projects/department-homeland-security-response-robot-performance-standards
https://www.nsnam.org/docs/models/html/energy.html</x:v>
      </x:c>
    </x:row>
    <x:row r="113" ht="120" customHeight="1">
      <x:c r="A113" s="30" t="str">
        <x:v>F109</x:v>
      </x:c>
      <x:c r="B113" s="30" t="str">
        <x:v>平台能力与即时资源</x:v>
      </x:c>
      <x:c r="C113" s="30" t="str">
        <x:v>platform.motion_state</x:v>
      </x:c>
      <x:c r="D113" s="30" t="str">
        <x:v>运动执行状态</x:v>
      </x:c>
      <x:c r="E113" s="30" t="str">
        <x:v>状态</x:v>
      </x:c>
      <x:c r="F113" s="30" t="str">
        <x:v>enum</x:v>
      </x:c>
      <x:c r="G113" s="30" t="str">
        <x:v>idle/moving/holding/landed/blocked/disabled</x:v>
      </x:c>
      <x:c r="H113" s="30" t="str">
        <x:v>平台状态所有者</x:v>
      </x:c>
      <x:c r="I113" s="30" t="str">
        <x:v>本机遥测可读；队友只读已送达报告</x:v>
      </x:c>
      <x:c r="J113" s="30" t="str">
        <x:v>A001；A002；A003；A004；A005；A008；A011；A012；A013；A016；A017；A020；A021；A023；A024；A025；A026；A028；A029；A030；A031；A032；A033；A034；A051；A053；A055；A056；A057；A059；A061；A062；A063；A066</x:v>
      </x:c>
      <x:c r="K113" s="30" t="str">
        <x:v>A001；A002；A003；A004；A031；A055</x:v>
      </x:c>
      <x:c r="L113" s="30" t="n">
        <x:v>67</x:v>
      </x:c>
      <x:c r="M113" s="30" t="str">
        <x:v>S02；S18；S24；S25</x:v>
      </x:c>
      <x:c r="N113" s="30" t="str">
        <x:v>https://www.nist.gov/programs-projects/department-homeland-security-response-robot-performance-standards
https://www.nsnam.org/docs/models/html/energy.html</x:v>
      </x:c>
    </x:row>
    <x:row r="114" ht="120" customHeight="1">
      <x:c r="A114" s="30" t="str">
        <x:v>F110</x:v>
      </x:c>
      <x:c r="B114" s="30" t="str">
        <x:v>平台能力与即时资源</x:v>
      </x:c>
      <x:c r="C114" s="30" t="str">
        <x:v>platform.health_state</x:v>
      </x:c>
      <x:c r="D114" s="30" t="str">
        <x:v>设备健康</x:v>
      </x:c>
      <x:c r="E114" s="30" t="str">
        <x:v>状态</x:v>
      </x:c>
      <x:c r="F114" s="30" t="str">
        <x:v>enum</x:v>
      </x:c>
      <x:c r="G114" s="30" t="str">
        <x:v>nominal/degraded/failed/recovering</x:v>
      </x:c>
      <x:c r="H114" s="30" t="str">
        <x:v>平台状态所有者</x:v>
      </x:c>
      <x:c r="I114" s="30" t="str">
        <x:v>本机遥测可读；队友只读已送达报告</x:v>
      </x:c>
      <x:c r="J114" s="30" t="str">
        <x:v>A001；A002；A003；A004；A005；A008；A011；A012；A013；A016；A017；A020；A021；A023；A024；A025；A026；A028；A029；A030；A031；A032；A033；A034；A051；A053；A055；A056；A057；A059；A061；A062；A063；A066</x:v>
      </x:c>
      <x:c r="K114" s="30" t="str">
        <x:v>A061</x:v>
      </x:c>
      <x:c r="L114" s="30" t="n">
        <x:v>67</x:v>
      </x:c>
      <x:c r="M114" s="30" t="str">
        <x:v>S02；S18；S24；S25</x:v>
      </x:c>
      <x:c r="N114" s="30" t="str">
        <x:v>https://www.nist.gov/programs-projects/department-homeland-security-response-robot-performance-standards
https://www.nsnam.org/docs/models/html/energy.html</x:v>
      </x:c>
    </x:row>
    <x:row r="115" ht="120" customHeight="1">
      <x:c r="A115" s="30" t="str">
        <x:v>F111</x:v>
      </x:c>
      <x:c r="B115" s="30" t="str">
        <x:v>平台能力与即时资源</x:v>
      </x:c>
      <x:c r="C115" s="30" t="str">
        <x:v>platform.current_action_id</x:v>
      </x:c>
      <x:c r="D115" s="30" t="str">
        <x:v>当前互斥物理动作</x:v>
      </x:c>
      <x:c r="E115" s="30" t="str">
        <x:v>状态</x:v>
      </x:c>
      <x:c r="F115" s="30" t="str">
        <x:v>id</x:v>
      </x:c>
      <x:c r="G115" s="30" t="str">
        <x:v>null或动作实例</x:v>
      </x:c>
      <x:c r="H115" s="30" t="str">
        <x:v>平台状态所有者</x:v>
      </x:c>
      <x:c r="I115" s="30" t="str">
        <x:v>本机遥测可读；队友只读已送达报告</x:v>
      </x:c>
      <x:c r="J115" s="30" t="str">
        <x:v>A001；A002；A003；A004；A005；A008；A011；A012；A013；A016；A017；A020；A021；A023；A024；A025；A026；A028；A029；A030；A031；A032；A033；A034；A051；A053；A055；A056；A057；A059；A061；A062；A063；A066</x:v>
      </x:c>
      <x:c r="K115" s="30" t="str">
        <x:v>初始化/配置或相应状态所有者；不是任意Agent写入</x:v>
      </x:c>
      <x:c r="L115" s="30" t="n">
        <x:v>67</x:v>
      </x:c>
      <x:c r="M115" s="30" t="str">
        <x:v>S02；S18；S24；S25</x:v>
      </x:c>
      <x:c r="N115" s="30" t="str">
        <x:v>https://www.nist.gov/programs-projects/department-homeland-security-response-robot-performance-standards
https://www.nsnam.org/docs/models/html/energy.html</x:v>
      </x:c>
    </x:row>
    <x:row r="116" ht="120" customHeight="1">
      <x:c r="A116" s="30" t="str">
        <x:v>F112</x:v>
      </x:c>
      <x:c r="B116" s="30" t="str">
        <x:v>平台能力与即时资源</x:v>
      </x:c>
      <x:c r="C116" s="30" t="str">
        <x:v>platform.busy_until_est_s</x:v>
      </x:c>
      <x:c r="D116" s="30" t="str">
        <x:v>本机可用时间估计</x:v>
      </x:c>
      <x:c r="E116" s="30" t="str">
        <x:v>认知</x:v>
      </x:c>
      <x:c r="F116" s="30" t="str">
        <x:v>float</x:v>
      </x:c>
      <x:c r="G116" s="30" t="str">
        <x:v>null或估计时刻；不是保证</x:v>
      </x:c>
      <x:c r="H116" s="30" t="str">
        <x:v>平台状态所有者</x:v>
      </x:c>
      <x:c r="I116" s="30" t="str">
        <x:v>本机遥测可读；队友只读已送达报告</x:v>
      </x:c>
      <x:c r="J116" s="30" t="str">
        <x:v>A001；A002；A003；A004；A005；A008；A011；A012；A013；A016；A017；A020；A021；A023；A024；A025；A026；A028；A029；A030；A031；A032；A033；A034；A051；A053；A055；A056；A057；A059；A061；A062；A063；A066</x:v>
      </x:c>
      <x:c r="K116" s="30" t="str">
        <x:v>初始化/配置或相应状态所有者；不是任意Agent写入</x:v>
      </x:c>
      <x:c r="L116" s="30" t="n">
        <x:v>67</x:v>
      </x:c>
      <x:c r="M116" s="30" t="str">
        <x:v>S02；S18；S24；S25</x:v>
      </x:c>
      <x:c r="N116" s="30" t="str">
        <x:v>https://www.nist.gov/programs-projects/department-homeland-security-response-robot-performance-standards
https://www.nsnam.org/docs/models/html/energy.html</x:v>
      </x:c>
    </x:row>
    <x:row r="117" ht="120" customHeight="1">
      <x:c r="A117" s="30" t="str">
        <x:v>F113</x:v>
      </x:c>
      <x:c r="B117" s="30" t="str">
        <x:v>平台能力与即时资源</x:v>
      </x:c>
      <x:c r="C117" s="30" t="str">
        <x:v>platform.return_site_id</x:v>
      </x:c>
      <x:c r="D117" s="30" t="str">
        <x:v>返航/补给地点</x:v>
      </x:c>
      <x:c r="E117" s="30" t="str">
        <x:v>状态</x:v>
      </x:c>
      <x:c r="F117" s="30" t="str">
        <x:v>id</x:v>
      </x:c>
      <x:c r="G117" s="30" t="str">
        <x:v>null或站点</x:v>
      </x:c>
      <x:c r="H117" s="30" t="str">
        <x:v>平台状态所有者</x:v>
      </x:c>
      <x:c r="I117" s="30" t="str">
        <x:v>本机遥测可读；队友只读已送达报告</x:v>
      </x:c>
      <x:c r="J117" s="30" t="str">
        <x:v>A001；A002；A003；A004；A005；A008；A011；A012；A013；A016；A017；A020；A021；A023；A024；A025；A026；A028；A029；A030；A031；A032；A033；A034；A051；A053；A055；A056；A057；A059；A061；A062；A063；A066</x:v>
      </x:c>
      <x:c r="K117" s="30" t="str">
        <x:v>初始化/配置或相应状态所有者；不是任意Agent写入</x:v>
      </x:c>
      <x:c r="L117" s="30" t="n">
        <x:v>67</x:v>
      </x:c>
      <x:c r="M117" s="30" t="str">
        <x:v>S02；S18；S24；S25</x:v>
      </x:c>
      <x:c r="N117" s="30" t="str">
        <x:v>https://www.nist.gov/programs-projects/department-homeland-security-response-robot-performance-standards
https://www.nsnam.org/docs/models/html/energy.html</x:v>
      </x:c>
    </x:row>
    <x:row r="118" ht="120" customHeight="1">
      <x:c r="A118" s="30" t="str">
        <x:v>F114</x:v>
      </x:c>
      <x:c r="B118" s="30" t="str">
        <x:v>平台能力与即时资源</x:v>
      </x:c>
      <x:c r="C118" s="30" t="str">
        <x:v>platform.water_tolerance_m</x:v>
      </x:c>
      <x:c r="D118" s="30" t="str">
        <x:v>涉水深度上限</x:v>
      </x:c>
      <x:c r="E118" s="30" t="str">
        <x:v>配置</x:v>
      </x:c>
      <x:c r="F118" s="30" t="str">
        <x:v>float</x:v>
      </x:c>
      <x:c r="G118" s="30" t="str">
        <x:v>非负，未标定不得推断可涉水</x:v>
      </x:c>
      <x:c r="H118" s="30" t="str">
        <x:v>平台状态所有者</x:v>
      </x:c>
      <x:c r="I118" s="30" t="str">
        <x:v>本机遥测可读；队友只读已送达报告</x:v>
      </x:c>
      <x:c r="J118" s="30" t="str">
        <x:v>A001；A002；A003；A004；A005；A008；A011；A012；A013；A016；A017；A020；A021；A023；A024；A025；A026；A028；A029；A030；A031；A032；A033；A034；A051；A053；A055；A056；A057；A059；A061；A062；A063；A066</x:v>
      </x:c>
      <x:c r="K118" s="30" t="str">
        <x:v>初始化/配置或相应状态所有者；不是任意Agent写入</x:v>
      </x:c>
      <x:c r="L118" s="30" t="n">
        <x:v>67</x:v>
      </x:c>
      <x:c r="M118" s="30" t="str">
        <x:v>S02；S18；S24；S25</x:v>
      </x:c>
      <x:c r="N118" s="30" t="str">
        <x:v>https://www.nist.gov/programs-projects/department-homeland-security-response-robot-performance-standards
https://www.nsnam.org/docs/models/html/energy.html</x:v>
      </x:c>
    </x:row>
    <x:row r="119" ht="120" customHeight="1">
      <x:c r="A119" s="30" t="str">
        <x:v>F115</x:v>
      </x:c>
      <x:c r="B119" s="30" t="str">
        <x:v>平台能力与即时资源</x:v>
      </x:c>
      <x:c r="C119" s="30" t="str">
        <x:v>platform.concurrency_policy</x:v>
      </x:c>
      <x:c r="D119" s="30" t="str">
        <x:v>可并行资源规则</x:v>
      </x:c>
      <x:c r="E119" s="30" t="str">
        <x:v>配置</x:v>
      </x:c>
      <x:c r="F119" s="30" t="str">
        <x:v>record</x:v>
      </x:c>
      <x:c r="G119" s="30" t="str">
        <x:v>运动/感知/通信/计算可并行；物理动作互斥</x:v>
      </x:c>
      <x:c r="H119" s="30" t="str">
        <x:v>平台状态所有者</x:v>
      </x:c>
      <x:c r="I119" s="30" t="str">
        <x:v>本机遥测可读；队友只读已送达报告</x:v>
      </x:c>
      <x:c r="J119" s="30" t="str">
        <x:v>A001；A002；A003；A004；A005；A008；A011；A012；A013；A016；A017；A020；A021；A023；A024；A025；A026；A028；A029；A030；A031；A032；A033；A034；A051；A053；A055；A056；A057；A059；A061；A062；A063；A066</x:v>
      </x:c>
      <x:c r="K119" s="30" t="str">
        <x:v>初始化/配置或相应状态所有者；不是任意Agent写入</x:v>
      </x:c>
      <x:c r="L119" s="30" t="n">
        <x:v>67</x:v>
      </x:c>
      <x:c r="M119" s="30" t="str">
        <x:v>S02；S18；S24；S25</x:v>
      </x:c>
      <x:c r="N119" s="30" t="str">
        <x:v>https://www.nist.gov/programs-projects/department-homeland-security-response-robot-performance-standards
https://www.nsnam.org/docs/models/html/energy.html</x:v>
      </x:c>
    </x:row>
    <x:row r="120" ht="120" customHeight="1">
      <x:c r="A120" s="30" t="str">
        <x:v>F116</x:v>
      </x:c>
      <x:c r="B120" s="30" t="str">
        <x:v>设备与专业作业能力</x:v>
      </x:c>
      <x:c r="C120" s="30" t="str">
        <x:v>equipment.kind</x:v>
      </x:c>
      <x:c r="D120" s="30" t="str">
        <x:v>设备类型</x:v>
      </x:c>
      <x:c r="E120" s="30" t="str">
        <x:v>配置</x:v>
      </x:c>
      <x:c r="F120" s="30" t="str">
        <x:v>enum</x:v>
      </x:c>
      <x:c r="G120" s="30" t="str">
        <x:v>camera/thermal/mic/RF/gas/gripper/plow/cutter/lift/shore/release/stretcher/speaker/radio/compute</x:v>
      </x:c>
      <x:c r="H120" s="30" t="str">
        <x:v>装备/外部服务所有者</x:v>
      </x:c>
      <x:c r="I120" s="30" t="str">
        <x:v>自有配置可读，外部需可用性回执</x:v>
      </x:c>
      <x:c r="J120" s="30" t="str">
        <x:v>A009；A012；A013；A014；A015；A016；A017；A018；A019；A020；A023；A024；A025；A026；A028；A029；A030；A031；A034；A051；A053；A055；A059；A061；A062；A063</x:v>
      </x:c>
      <x:c r="K120" s="30" t="str">
        <x:v>初始化/配置或相应状态所有者；不是任意Agent写入</x:v>
      </x:c>
      <x:c r="L120" s="30" t="n">
        <x:v>35</x:v>
      </x:c>
      <x:c r="M120" s="30" t="str">
        <x:v>S01；S02；S24</x:v>
      </x:c>
      <x:c r="N120" s="30" t="str">
        <x:v>https://insarag.org/wp-content/uploads/2021/06/INSARAG20Guidelines20Vol20II2C20Man20B.pdf
https://www.nist.gov/programs-projects/department-homeland-security-response-robot-performance-standards</x:v>
      </x:c>
    </x:row>
    <x:row r="121" ht="120" customHeight="1">
      <x:c r="A121" s="30" t="str">
        <x:v>F117</x:v>
      </x:c>
      <x:c r="B121" s="30" t="str">
        <x:v>设备与专业作业能力</x:v>
      </x:c>
      <x:c r="C121" s="30" t="str">
        <x:v>equipment.enabled</x:v>
      </x:c>
      <x:c r="D121" s="30" t="str">
        <x:v>是否启用</x:v>
      </x:c>
      <x:c r="E121" s="30" t="str">
        <x:v>状态</x:v>
      </x:c>
      <x:c r="F121" s="30" t="str">
        <x:v>bool</x:v>
      </x:c>
      <x:c r="G121" s="30" t="str">
        <x:v>true/false</x:v>
      </x:c>
      <x:c r="H121" s="30" t="str">
        <x:v>装备/外部服务所有者</x:v>
      </x:c>
      <x:c r="I121" s="30" t="str">
        <x:v>自有配置可读，外部需可用性回执</x:v>
      </x:c>
      <x:c r="J121" s="30" t="str">
        <x:v>A009；A012；A013；A014；A015；A016；A017；A018；A019；A020；A023；A024；A025；A026；A028；A029；A030；A031；A034；A051；A053；A055；A059；A061；A062；A063</x:v>
      </x:c>
      <x:c r="K121" s="30" t="str">
        <x:v>初始化/配置或相应状态所有者；不是任意Agent写入</x:v>
      </x:c>
      <x:c r="L121" s="30" t="n">
        <x:v>35</x:v>
      </x:c>
      <x:c r="M121" s="30" t="str">
        <x:v>S01；S02；S24</x:v>
      </x:c>
      <x:c r="N121" s="30" t="str">
        <x:v>https://insarag.org/wp-content/uploads/2021/06/INSARAG20Guidelines20Vol20II2C20Man20B.pdf
https://www.nist.gov/programs-projects/department-homeland-security-response-robot-performance-standards</x:v>
      </x:c>
    </x:row>
    <x:row r="122" ht="120" customHeight="1">
      <x:c r="A122" s="30" t="str">
        <x:v>F118</x:v>
      </x:c>
      <x:c r="B122" s="30" t="str">
        <x:v>设备与专业作业能力</x:v>
      </x:c>
      <x:c r="C122" s="30" t="str">
        <x:v>equipment.health</x:v>
      </x:c>
      <x:c r="D122" s="30" t="str">
        <x:v>设备健康</x:v>
      </x:c>
      <x:c r="E122" s="30" t="str">
        <x:v>状态</x:v>
      </x:c>
      <x:c r="F122" s="30" t="str">
        <x:v>enum</x:v>
      </x:c>
      <x:c r="G122" s="30" t="str">
        <x:v>ready/degraded/failed</x:v>
      </x:c>
      <x:c r="H122" s="30" t="str">
        <x:v>装备/外部服务所有者</x:v>
      </x:c>
      <x:c r="I122" s="30" t="str">
        <x:v>自有配置可读，外部需可用性回执</x:v>
      </x:c>
      <x:c r="J122" s="30" t="str">
        <x:v>A009；A012；A013；A014；A015；A016；A017；A018；A019；A020；A023；A024；A025；A026；A028；A029；A030；A031；A034；A051；A053；A055；A059；A061；A062；A063</x:v>
      </x:c>
      <x:c r="K122" s="30" t="str">
        <x:v>A061</x:v>
      </x:c>
      <x:c r="L122" s="30" t="n">
        <x:v>35</x:v>
      </x:c>
      <x:c r="M122" s="30" t="str">
        <x:v>S01；S02；S24</x:v>
      </x:c>
      <x:c r="N122" s="30" t="str">
        <x:v>https://insarag.org/wp-content/uploads/2021/06/INSARAG20Guidelines20Vol20II2C20Man20B.pdf
https://www.nist.gov/programs-projects/department-homeland-security-response-robot-performance-standards</x:v>
      </x:c>
    </x:row>
    <x:row r="123" ht="120" customHeight="1">
      <x:c r="A123" s="30" t="str">
        <x:v>F119</x:v>
      </x:c>
      <x:c r="B123" s="30" t="str">
        <x:v>设备与专业作业能力</x:v>
      </x:c>
      <x:c r="C123" s="30" t="str">
        <x:v>equipment.rated_load_kg</x:v>
      </x:c>
      <x:c r="D123" s="30" t="str">
        <x:v>额定工作载荷</x:v>
      </x:c>
      <x:c r="E123" s="30" t="str">
        <x:v>配置</x:v>
      </x:c>
      <x:c r="F123" s="30" t="str">
        <x:v>float</x:v>
      </x:c>
      <x:c r="G123" s="30" t="str">
        <x:v>非负；吊具/载具/夹具分别配置</x:v>
      </x:c>
      <x:c r="H123" s="30" t="str">
        <x:v>装备/外部服务所有者</x:v>
      </x:c>
      <x:c r="I123" s="30" t="str">
        <x:v>自有配置可读，外部需可用性回执</x:v>
      </x:c>
      <x:c r="J123" s="30" t="str">
        <x:v>A009；A012；A013；A014；A015；A016；A017；A018；A019；A020；A023；A024；A025；A026；A028；A029；A030；A031；A034；A051；A053；A055；A059；A061；A062；A063</x:v>
      </x:c>
      <x:c r="K123" s="30" t="str">
        <x:v>初始化/配置或相应状态所有者；不是任意Agent写入</x:v>
      </x:c>
      <x:c r="L123" s="30" t="n">
        <x:v>35</x:v>
      </x:c>
      <x:c r="M123" s="30" t="str">
        <x:v>S01；S02；S24</x:v>
      </x:c>
      <x:c r="N123" s="30" t="str">
        <x:v>https://insarag.org/wp-content/uploads/2021/06/INSARAG20Guidelines20Vol20II2C20Man20B.pdf
https://www.nist.gov/programs-projects/department-homeland-security-response-robot-performance-standards</x:v>
      </x:c>
    </x:row>
    <x:row r="124" ht="120" customHeight="1">
      <x:c r="A124" s="30" t="str">
        <x:v>F120</x:v>
      </x:c>
      <x:c r="B124" s="30" t="str">
        <x:v>设备与专业作业能力</x:v>
      </x:c>
      <x:c r="C124" s="30" t="str">
        <x:v>equipment.reach_m</x:v>
      </x:c>
      <x:c r="D124" s="30" t="str">
        <x:v>有效作用距离</x:v>
      </x:c>
      <x:c r="E124" s="30" t="str">
        <x:v>配置</x:v>
      </x:c>
      <x:c r="F124" s="30" t="str">
        <x:v>float</x:v>
      </x:c>
      <x:c r="G124" s="30" t="str">
        <x:v>非负</x:v>
      </x:c>
      <x:c r="H124" s="30" t="str">
        <x:v>装备/外部服务所有者</x:v>
      </x:c>
      <x:c r="I124" s="30" t="str">
        <x:v>自有配置可读，外部需可用性回执</x:v>
      </x:c>
      <x:c r="J124" s="30" t="str">
        <x:v>A009；A012；A013；A014；A015；A016；A017；A018；A019；A020；A023；A024；A025；A026；A028；A029；A030；A031；A034；A051；A053；A055；A059；A061；A062；A063</x:v>
      </x:c>
      <x:c r="K124" s="30" t="str">
        <x:v>初始化/配置或相应状态所有者；不是任意Agent写入</x:v>
      </x:c>
      <x:c r="L124" s="30" t="n">
        <x:v>35</x:v>
      </x:c>
      <x:c r="M124" s="30" t="str">
        <x:v>S01；S02；S24</x:v>
      </x:c>
      <x:c r="N124" s="30" t="str">
        <x:v>https://insarag.org/wp-content/uploads/2021/06/INSARAG20Guidelines20Vol20II2C20Man20B.pdf
https://www.nist.gov/programs-projects/department-homeland-security-response-robot-performance-standards</x:v>
      </x:c>
    </x:row>
    <x:row r="125" ht="120" customHeight="1">
      <x:c r="A125" s="30" t="str">
        <x:v>F121</x:v>
      </x:c>
      <x:c r="B125" s="30" t="str">
        <x:v>设备与专业作业能力</x:v>
      </x:c>
      <x:c r="C125" s="30" t="str">
        <x:v>equipment.compatible_materials</x:v>
      </x:c>
      <x:c r="D125" s="30" t="str">
        <x:v>可处理材料</x:v>
      </x:c>
      <x:c r="E125" s="30" t="str">
        <x:v>配置</x:v>
      </x:c>
      <x:c r="F125" s="30" t="str">
        <x:v>set</x:v>
      </x:c>
      <x:c r="G125" s="30" t="str">
        <x:v>wood/masonry/concrete/steel等</x:v>
      </x:c>
      <x:c r="H125" s="30" t="str">
        <x:v>装备/外部服务所有者</x:v>
      </x:c>
      <x:c r="I125" s="30" t="str">
        <x:v>自有配置可读，外部需可用性回执</x:v>
      </x:c>
      <x:c r="J125" s="30" t="str">
        <x:v>A009；A012；A013；A014；A015；A016；A017；A018；A019；A020；A023；A024；A025；A026；A028；A029；A030；A031；A034；A051；A053；A055；A059；A061；A062；A063</x:v>
      </x:c>
      <x:c r="K125" s="30" t="str">
        <x:v>初始化/配置或相应状态所有者；不是任意Agent写入</x:v>
      </x:c>
      <x:c r="L125" s="30" t="n">
        <x:v>35</x:v>
      </x:c>
      <x:c r="M125" s="30" t="str">
        <x:v>S01；S02；S24</x:v>
      </x:c>
      <x:c r="N125" s="30" t="str">
        <x:v>https://insarag.org/wp-content/uploads/2021/06/INSARAG20Guidelines20Vol20II2C20Man20B.pdf
https://www.nist.gov/programs-projects/department-homeland-security-response-robot-performance-standards</x:v>
      </x:c>
    </x:row>
    <x:row r="126" ht="120" customHeight="1">
      <x:c r="A126" s="30" t="str">
        <x:v>F122</x:v>
      </x:c>
      <x:c r="B126" s="30" t="str">
        <x:v>设备与专业作业能力</x:v>
      </x:c>
      <x:c r="C126" s="30" t="str">
        <x:v>equipment.tool_size</x:v>
      </x:c>
      <x:c r="D126" s="30" t="str">
        <x:v>接口/尺寸要求</x:v>
      </x:c>
      <x:c r="E126" s="30" t="str">
        <x:v>配置</x:v>
      </x:c>
      <x:c r="F126" s="30" t="str">
        <x:v>record</x:v>
      </x:c>
      <x:c r="G126" s="30" t="str">
        <x:v>接口规格及目标兼容性</x:v>
      </x:c>
      <x:c r="H126" s="30" t="str">
        <x:v>装备/外部服务所有者</x:v>
      </x:c>
      <x:c r="I126" s="30" t="str">
        <x:v>自有配置可读，外部需可用性回执</x:v>
      </x:c>
      <x:c r="J126" s="30" t="str">
        <x:v>A009；A012；A013；A014；A015；A016；A017；A018；A019；A020；A023；A024；A025；A026；A028；A029；A030；A031；A034；A051；A053；A055；A059；A061；A062；A063</x:v>
      </x:c>
      <x:c r="K126" s="30" t="str">
        <x:v>初始化/配置或相应状态所有者；不是任意Agent写入</x:v>
      </x:c>
      <x:c r="L126" s="30" t="n">
        <x:v>35</x:v>
      </x:c>
      <x:c r="M126" s="30" t="str">
        <x:v>S01；S02；S24</x:v>
      </x:c>
      <x:c r="N126" s="30" t="str">
        <x:v>https://insarag.org/wp-content/uploads/2021/06/INSARAG20Guidelines20Vol20II2C20Man20B.pdf
https://www.nist.gov/programs-projects/department-homeland-security-response-robot-performance-standards</x:v>
      </x:c>
    </x:row>
    <x:row r="127" ht="120" customHeight="1">
      <x:c r="A127" s="30" t="str">
        <x:v>F123</x:v>
      </x:c>
      <x:c r="B127" s="30" t="str">
        <x:v>设备与专业作业能力</x:v>
      </x:c>
      <x:c r="C127" s="30" t="str">
        <x:v>equipment.consumable_type</x:v>
      </x:c>
      <x:c r="D127" s="30" t="str">
        <x:v>耗材类型</x:v>
      </x:c>
      <x:c r="E127" s="30" t="str">
        <x:v>配置</x:v>
      </x:c>
      <x:c r="F127" s="30" t="str">
        <x:v>enum</x:v>
      </x:c>
      <x:c r="G127" s="30" t="str">
        <x:v>none/fuel/water/medical/blade/battery</x:v>
      </x:c>
      <x:c r="H127" s="30" t="str">
        <x:v>装备/外部服务所有者</x:v>
      </x:c>
      <x:c r="I127" s="30" t="str">
        <x:v>自有配置可读，外部需可用性回执</x:v>
      </x:c>
      <x:c r="J127" s="30" t="str">
        <x:v>A009；A012；A013；A014；A015；A016；A017；A018；A019；A020；A023；A024；A025；A026；A028；A029；A030；A031；A034；A051；A053；A055；A059；A061；A062；A063</x:v>
      </x:c>
      <x:c r="K127" s="30" t="str">
        <x:v>初始化/配置或相应状态所有者；不是任意Agent写入</x:v>
      </x:c>
      <x:c r="L127" s="30" t="n">
        <x:v>35</x:v>
      </x:c>
      <x:c r="M127" s="30" t="str">
        <x:v>S01；S02；S24</x:v>
      </x:c>
      <x:c r="N127" s="30" t="str">
        <x:v>https://insarag.org/wp-content/uploads/2021/06/INSARAG20Guidelines20Vol20II2C20Man20B.pdf
https://www.nist.gov/programs-projects/department-homeland-security-response-robot-performance-standards</x:v>
      </x:c>
    </x:row>
    <x:row r="128" ht="120" customHeight="1">
      <x:c r="A128" s="30" t="str">
        <x:v>F124</x:v>
      </x:c>
      <x:c r="B128" s="30" t="str">
        <x:v>设备与专业作业能力</x:v>
      </x:c>
      <x:c r="C128" s="30" t="str">
        <x:v>equipment.consumable_remaining</x:v>
      </x:c>
      <x:c r="D128" s="30" t="str">
        <x:v>耗材剩余</x:v>
      </x:c>
      <x:c r="E128" s="30" t="str">
        <x:v>状态</x:v>
      </x:c>
      <x:c r="F128" s="30" t="str">
        <x:v>float</x:v>
      </x:c>
      <x:c r="G128" s="30" t="str">
        <x:v>带单位，非负</x:v>
      </x:c>
      <x:c r="H128" s="30" t="str">
        <x:v>装备/外部服务所有者</x:v>
      </x:c>
      <x:c r="I128" s="30" t="str">
        <x:v>自有配置可读，外部需可用性回执</x:v>
      </x:c>
      <x:c r="J128" s="30" t="str">
        <x:v>A009；A012；A013；A014；A015；A016；A017；A018；A019；A020；A023；A024；A025；A026；A028；A029；A030；A031；A034；A051；A053；A055；A059；A061；A062；A063</x:v>
      </x:c>
      <x:c r="K128" s="30" t="str">
        <x:v>A028；A062</x:v>
      </x:c>
      <x:c r="L128" s="30" t="n">
        <x:v>35</x:v>
      </x:c>
      <x:c r="M128" s="30" t="str">
        <x:v>S01；S02；S24</x:v>
      </x:c>
      <x:c r="N128" s="30" t="str">
        <x:v>https://insarag.org/wp-content/uploads/2021/06/INSARAG20Guidelines20Vol20II2C20Man20B.pdf
https://www.nist.gov/programs-projects/department-homeland-security-response-robot-performance-standards</x:v>
      </x:c>
    </x:row>
    <x:row r="129" ht="120" customHeight="1">
      <x:c r="A129" s="30" t="str">
        <x:v>F125</x:v>
      </x:c>
      <x:c r="B129" s="30" t="str">
        <x:v>设备与专业作业能力</x:v>
      </x:c>
      <x:c r="C129" s="30" t="str">
        <x:v>equipment.operator_authority</x:v>
      </x:c>
      <x:c r="D129" s="30" t="str">
        <x:v>操作资质/授权</x:v>
      </x:c>
      <x:c r="E129" s="30" t="str">
        <x:v>配置</x:v>
      </x:c>
      <x:c r="F129" s="30" t="str">
        <x:v>set</x:v>
      </x:c>
      <x:c r="G129" s="30" t="str">
        <x:v>指定角色或外部专业服务；狗不自动获资质</x:v>
      </x:c>
      <x:c r="H129" s="30" t="str">
        <x:v>装备/外部服务所有者</x:v>
      </x:c>
      <x:c r="I129" s="30" t="str">
        <x:v>自有配置可读，外部需可用性回执</x:v>
      </x:c>
      <x:c r="J129" s="30" t="str">
        <x:v>A009；A012；A013；A014；A015；A016；A017；A018；A019；A020；A023；A024；A025；A026；A028；A029；A030；A031；A034；A051；A053；A055；A059；A061；A062；A063</x:v>
      </x:c>
      <x:c r="K129" s="30" t="str">
        <x:v>初始化/配置或相应状态所有者；不是任意Agent写入</x:v>
      </x:c>
      <x:c r="L129" s="30" t="n">
        <x:v>35</x:v>
      </x:c>
      <x:c r="M129" s="30" t="str">
        <x:v>S01；S02；S24</x:v>
      </x:c>
      <x:c r="N129" s="30" t="str">
        <x:v>https://insarag.org/wp-content/uploads/2021/06/INSARAG20Guidelines20Vol20II2C20Man20B.pdf
https://www.nist.gov/programs-projects/department-homeland-security-response-robot-performance-standards</x:v>
      </x:c>
    </x:row>
    <x:row r="130" ht="120" customHeight="1">
      <x:c r="A130" s="30" t="str">
        <x:v>F126</x:v>
      </x:c>
      <x:c r="B130" s="30" t="str">
        <x:v>设备与专业作业能力</x:v>
      </x:c>
      <x:c r="C130" s="30" t="str">
        <x:v>equipment.setup_state</x:v>
      </x:c>
      <x:c r="D130" s="30" t="str">
        <x:v>架设准备状态</x:v>
      </x:c>
      <x:c r="E130" s="30" t="str">
        <x:v>状态</x:v>
      </x:c>
      <x:c r="F130" s="30" t="str">
        <x:v>enum</x:v>
      </x:c>
      <x:c r="G130" s="30" t="str">
        <x:v>stowed/deploying/ready/in_use/retracting</x:v>
      </x:c>
      <x:c r="H130" s="30" t="str">
        <x:v>装备/外部服务所有者</x:v>
      </x:c>
      <x:c r="I130" s="30" t="str">
        <x:v>自有配置可读，外部需可用性回执</x:v>
      </x:c>
      <x:c r="J130" s="30" t="str">
        <x:v>A009；A012；A013；A014；A015；A016；A017；A018；A019；A020；A023；A024；A025；A026；A028；A029；A030；A031；A034；A051；A053；A055；A059；A061；A062；A063</x:v>
      </x:c>
      <x:c r="K130" s="30" t="str">
        <x:v>初始化/配置或相应状态所有者；不是任意Agent写入</x:v>
      </x:c>
      <x:c r="L130" s="30" t="n">
        <x:v>35</x:v>
      </x:c>
      <x:c r="M130" s="30" t="str">
        <x:v>S01；S02；S24</x:v>
      </x:c>
      <x:c r="N130" s="30" t="str">
        <x:v>https://insarag.org/wp-content/uploads/2021/06/INSARAG20Guidelines20Vol20II2C20Man20B.pdf
https://www.nist.gov/programs-projects/department-homeland-security-response-robot-performance-standards</x:v>
      </x:c>
    </x:row>
    <x:row r="131" ht="120" customHeight="1">
      <x:c r="A131" s="30" t="str">
        <x:v>F127</x:v>
      </x:c>
      <x:c r="B131" s="30" t="str">
        <x:v>设备与专业作业能力</x:v>
      </x:c>
      <x:c r="C131" s="30" t="str">
        <x:v>equipment.busy_action_id</x:v>
      </x:c>
      <x:c r="D131" s="30" t="str">
        <x:v>独占操作实例</x:v>
      </x:c>
      <x:c r="E131" s="30" t="str">
        <x:v>状态</x:v>
      </x:c>
      <x:c r="F131" s="30" t="str">
        <x:v>id</x:v>
      </x:c>
      <x:c r="G131" s="30" t="str">
        <x:v>null或动作ID</x:v>
      </x:c>
      <x:c r="H131" s="30" t="str">
        <x:v>装备/外部服务所有者</x:v>
      </x:c>
      <x:c r="I131" s="30" t="str">
        <x:v>自有配置可读，外部需可用性回执</x:v>
      </x:c>
      <x:c r="J131" s="30" t="str">
        <x:v>A009；A012；A013；A014；A015；A016；A017；A018；A019；A020；A023；A024；A025；A026；A028；A029；A030；A031；A034；A051；A053；A055；A059；A061；A062；A063</x:v>
      </x:c>
      <x:c r="K131" s="30" t="str">
        <x:v>初始化/配置或相应状态所有者；不是任意Agent写入</x:v>
      </x:c>
      <x:c r="L131" s="30" t="n">
        <x:v>35</x:v>
      </x:c>
      <x:c r="M131" s="30" t="str">
        <x:v>S01；S02；S24</x:v>
      </x:c>
      <x:c r="N131" s="30" t="str">
        <x:v>https://insarag.org/wp-content/uploads/2021/06/INSARAG20Guidelines20Vol20II2C20Man20B.pdf
https://www.nist.gov/programs-projects/department-homeland-security-response-robot-performance-standards</x:v>
      </x:c>
    </x:row>
    <x:row r="132" ht="120" customHeight="1">
      <x:c r="A132" s="30" t="str">
        <x:v>F128</x:v>
      </x:c>
      <x:c r="B132" s="30" t="str">
        <x:v>物资、货物与救援器材</x:v>
      </x:c>
      <x:c r="C132" s="30" t="str">
        <x:v>item.kind</x:v>
      </x:c>
      <x:c r="D132" s="30" t="str">
        <x:v>物品类别</x:v>
      </x:c>
      <x:c r="E132" s="30" t="str">
        <x:v>配置</x:v>
      </x:c>
      <x:c r="F132" s="30" t="str">
        <x:v>enum</x:v>
      </x:c>
      <x:c r="G132" s="30" t="str">
        <x:v>water/food/medical_pack/relay/battery/stretcher/tool</x:v>
      </x:c>
      <x:c r="H132" s="30" t="str">
        <x:v>库存/装载/交付执行器</x:v>
      </x:c>
      <x:c r="I132" s="30" t="str">
        <x:v>授权库存/已观察物品；跨机通过消息获知</x:v>
      </x:c>
      <x:c r="J132" s="30" t="str">
        <x:v>A015；A019；A024；A025；A026；A027；A028；A030；A034；A045</x:v>
      </x:c>
      <x:c r="K132" s="30" t="str">
        <x:v>初始化/配置或相应状态所有者；不是任意Agent写入</x:v>
      </x:c>
      <x:c r="L132" s="30" t="n">
        <x:v>14</x:v>
      </x:c>
      <x:c r="M132" s="30" t="str">
        <x:v>S01；S06；S24；S25</x:v>
      </x:c>
      <x:c r="N132" s="30" t="str">
        <x:v>https://insarag.org/wp-content/uploads/2021/06/INSARAG20Guidelines20Vol20II2C20Man20B.pdf
https://github.com/UnrealZoo/RescueBench</x:v>
      </x:c>
    </x:row>
    <x:row r="133" ht="120" customHeight="1">
      <x:c r="A133" s="30" t="str">
        <x:v>F129</x:v>
      </x:c>
      <x:c r="B133" s="30" t="str">
        <x:v>物资、货物与救援器材</x:v>
      </x:c>
      <x:c r="C133" s="30" t="str">
        <x:v>item.mass_kg</x:v>
      </x:c>
      <x:c r="D133" s="30" t="str">
        <x:v>质量</x:v>
      </x:c>
      <x:c r="E133" s="30" t="str">
        <x:v>配置</x:v>
      </x:c>
      <x:c r="F133" s="30" t="str">
        <x:v>float</x:v>
      </x:c>
      <x:c r="G133" s="30" t="str">
        <x:v>非负</x:v>
      </x:c>
      <x:c r="H133" s="30" t="str">
        <x:v>库存/装载/交付执行器</x:v>
      </x:c>
      <x:c r="I133" s="30" t="str">
        <x:v>授权库存/已观察物品；跨机通过消息获知</x:v>
      </x:c>
      <x:c r="J133" s="30" t="str">
        <x:v>A015；A019；A024；A025；A026；A027；A028；A030；A034；A045</x:v>
      </x:c>
      <x:c r="K133" s="30" t="str">
        <x:v>初始化/配置或相应状态所有者；不是任意Agent写入</x:v>
      </x:c>
      <x:c r="L133" s="30" t="n">
        <x:v>14</x:v>
      </x:c>
      <x:c r="M133" s="30" t="str">
        <x:v>S01；S06；S24；S25</x:v>
      </x:c>
      <x:c r="N133" s="30" t="str">
        <x:v>https://insarag.org/wp-content/uploads/2021/06/INSARAG20Guidelines20Vol20II2C20Man20B.pdf
https://github.com/UnrealZoo/RescueBench</x:v>
      </x:c>
    </x:row>
    <x:row r="134" ht="120" customHeight="1">
      <x:c r="A134" s="30" t="str">
        <x:v>F130</x:v>
      </x:c>
      <x:c r="B134" s="30" t="str">
        <x:v>物资、货物与救援器材</x:v>
      </x:c>
      <x:c r="C134" s="30" t="str">
        <x:v>item.dimensions_m</x:v>
      </x:c>
      <x:c r="D134" s="30" t="str">
        <x:v>三维尺寸</x:v>
      </x:c>
      <x:c r="E134" s="30" t="str">
        <x:v>配置</x:v>
      </x:c>
      <x:c r="F134" s="30" t="str">
        <x:v>vector</x:v>
      </x:c>
      <x:c r="G134" s="30" t="str">
        <x:v>正数或已测包围盒</x:v>
      </x:c>
      <x:c r="H134" s="30" t="str">
        <x:v>库存/装载/交付执行器</x:v>
      </x:c>
      <x:c r="I134" s="30" t="str">
        <x:v>授权库存/已观察物品；跨机通过消息获知</x:v>
      </x:c>
      <x:c r="J134" s="30" t="str">
        <x:v>A015；A019；A024；A025；A026；A027；A028；A030；A034；A045</x:v>
      </x:c>
      <x:c r="K134" s="30" t="str">
        <x:v>初始化/配置或相应状态所有者；不是任意Agent写入</x:v>
      </x:c>
      <x:c r="L134" s="30" t="n">
        <x:v>14</x:v>
      </x:c>
      <x:c r="M134" s="30" t="str">
        <x:v>S01；S06；S24；S25</x:v>
      </x:c>
      <x:c r="N134" s="30" t="str">
        <x:v>https://insarag.org/wp-content/uploads/2021/06/INSARAG20Guidelines20Vol20II2C20Man20B.pdf
https://github.com/UnrealZoo/RescueBench</x:v>
      </x:c>
    </x:row>
    <x:row r="135" ht="120" customHeight="1">
      <x:c r="A135" s="30" t="str">
        <x:v>F131</x:v>
      </x:c>
      <x:c r="B135" s="30" t="str">
        <x:v>物资、货物与救援器材</x:v>
      </x:c>
      <x:c r="C135" s="30" t="str">
        <x:v>item.quantity</x:v>
      </x:c>
      <x:c r="D135" s="30" t="str">
        <x:v>数量</x:v>
      </x:c>
      <x:c r="E135" s="30" t="str">
        <x:v>状态</x:v>
      </x:c>
      <x:c r="F135" s="30" t="str">
        <x:v>int</x:v>
      </x:c>
      <x:c r="G135" s="30" t="str">
        <x:v>非负，可按独立实例计1</x:v>
      </x:c>
      <x:c r="H135" s="30" t="str">
        <x:v>库存/装载/交付执行器</x:v>
      </x:c>
      <x:c r="I135" s="30" t="str">
        <x:v>授权库存/已观察物品；跨机通过消息获知</x:v>
      </x:c>
      <x:c r="J135" s="30" t="str">
        <x:v>A015；A019；A024；A025；A026；A027；A028；A030；A034；A045</x:v>
      </x:c>
      <x:c r="K135" s="30" t="str">
        <x:v>A019；A028</x:v>
      </x:c>
      <x:c r="L135" s="30" t="n">
        <x:v>14</x:v>
      </x:c>
      <x:c r="M135" s="30" t="str">
        <x:v>S01；S06；S24；S25</x:v>
      </x:c>
      <x:c r="N135" s="30" t="str">
        <x:v>https://insarag.org/wp-content/uploads/2021/06/INSARAG20Guidelines20Vol20II2C20Man20B.pdf
https://github.com/UnrealZoo/RescueBench</x:v>
      </x:c>
    </x:row>
    <x:row r="136" ht="120" customHeight="1">
      <x:c r="A136" s="30" t="str">
        <x:v>F132</x:v>
      </x:c>
      <x:c r="B136" s="30" t="str">
        <x:v>物资、货物与救援器材</x:v>
      </x:c>
      <x:c r="C136" s="30" t="str">
        <x:v>item.holder_id</x:v>
      </x:c>
      <x:c r="D136" s="30" t="str">
        <x:v>当前持有者</x:v>
      </x:c>
      <x:c r="E136" s="30" t="str">
        <x:v>状态</x:v>
      </x:c>
      <x:c r="F136" s="30" t="str">
        <x:v>id</x:v>
      </x:c>
      <x:c r="G136" s="30" t="str">
        <x:v>站点/平台/人员/地面位置</x:v>
      </x:c>
      <x:c r="H136" s="30" t="str">
        <x:v>库存/装载/交付执行器</x:v>
      </x:c>
      <x:c r="I136" s="30" t="str">
        <x:v>授权库存/已观察物品；跨机通过消息获知</x:v>
      </x:c>
      <x:c r="J136" s="30" t="str">
        <x:v>A015；A019；A024；A025；A026；A027；A028；A030；A034；A045</x:v>
      </x:c>
      <x:c r="K136" s="30" t="str">
        <x:v>A024；A026；A028；A030；A034</x:v>
      </x:c>
      <x:c r="L136" s="30" t="n">
        <x:v>14</x:v>
      </x:c>
      <x:c r="M136" s="30" t="str">
        <x:v>S01；S06；S24；S25</x:v>
      </x:c>
      <x:c r="N136" s="30" t="str">
        <x:v>https://insarag.org/wp-content/uploads/2021/06/INSARAG20Guidelines20Vol20II2C20Man20B.pdf
https://github.com/UnrealZoo/RescueBench</x:v>
      </x:c>
    </x:row>
    <x:row r="137" ht="120" customHeight="1">
      <x:c r="A137" s="30" t="str">
        <x:v>F133</x:v>
      </x:c>
      <x:c r="B137" s="30" t="str">
        <x:v>物资、货物与救援器材</x:v>
      </x:c>
      <x:c r="C137" s="30" t="str">
        <x:v>item.state</x:v>
      </x:c>
      <x:c r="D137" s="30" t="str">
        <x:v>流转状态</x:v>
      </x:c>
      <x:c r="E137" s="30" t="str">
        <x:v>状态</x:v>
      </x:c>
      <x:c r="F137" s="30" t="str">
        <x:v>enum</x:v>
      </x:c>
      <x:c r="G137" s="30" t="str">
        <x:v>stock/reserved/attached/in_transit/released/placed/received/consumed/lost</x:v>
      </x:c>
      <x:c r="H137" s="30" t="str">
        <x:v>库存/装载/交付执行器</x:v>
      </x:c>
      <x:c r="I137" s="30" t="str">
        <x:v>授权库存/已观察物品；跨机通过消息获知</x:v>
      </x:c>
      <x:c r="J137" s="30" t="str">
        <x:v>A015；A019；A024；A025；A026；A027；A028；A030；A034；A045</x:v>
      </x:c>
      <x:c r="K137" s="30" t="str">
        <x:v>A024；A025；A026；A027；A030；A034</x:v>
      </x:c>
      <x:c r="L137" s="30" t="n">
        <x:v>14</x:v>
      </x:c>
      <x:c r="M137" s="30" t="str">
        <x:v>S01；S06；S24；S25</x:v>
      </x:c>
      <x:c r="N137" s="30" t="str">
        <x:v>https://insarag.org/wp-content/uploads/2021/06/INSARAG20Guidelines20Vol20II2C20Man20B.pdf
https://github.com/UnrealZoo/RescueBench</x:v>
      </x:c>
    </x:row>
    <x:row r="138" ht="120" customHeight="1">
      <x:c r="A138" s="30" t="str">
        <x:v>F134</x:v>
      </x:c>
      <x:c r="B138" s="30" t="str">
        <x:v>物资、货物与救援器材</x:v>
      </x:c>
      <x:c r="C138" s="30" t="str">
        <x:v>item.attachment_id</x:v>
      </x:c>
      <x:c r="D138" s="30" t="str">
        <x:v>挂载接口</x:v>
      </x:c>
      <x:c r="E138" s="30" t="str">
        <x:v>状态</x:v>
      </x:c>
      <x:c r="F138" s="30" t="str">
        <x:v>id</x:v>
      </x:c>
      <x:c r="G138" s="30" t="str">
        <x:v>null或实际兼容接口</x:v>
      </x:c>
      <x:c r="H138" s="30" t="str">
        <x:v>库存/装载/交付执行器</x:v>
      </x:c>
      <x:c r="I138" s="30" t="str">
        <x:v>授权库存/已观察物品；跨机通过消息获知</x:v>
      </x:c>
      <x:c r="J138" s="30" t="str">
        <x:v>A015；A019；A024；A025；A026；A027；A028；A030；A034；A045</x:v>
      </x:c>
      <x:c r="K138" s="30" t="str">
        <x:v>A024</x:v>
      </x:c>
      <x:c r="L138" s="30" t="n">
        <x:v>14</x:v>
      </x:c>
      <x:c r="M138" s="30" t="str">
        <x:v>S01；S06；S24；S25</x:v>
      </x:c>
      <x:c r="N138" s="30" t="str">
        <x:v>https://insarag.org/wp-content/uploads/2021/06/INSARAG20Guidelines20Vol20II2C20Man20B.pdf
https://github.com/UnrealZoo/RescueBench</x:v>
      </x:c>
    </x:row>
    <x:row r="139" ht="120" customHeight="1">
      <x:c r="A139" s="30" t="str">
        <x:v>F135</x:v>
      </x:c>
      <x:c r="B139" s="30" t="str">
        <x:v>物资、货物与救援器材</x:v>
      </x:c>
      <x:c r="C139" s="30" t="str">
        <x:v>item.reservation_task_id</x:v>
      </x:c>
      <x:c r="D139" s="30" t="str">
        <x:v>库存预留任务</x:v>
      </x:c>
      <x:c r="E139" s="30" t="str">
        <x:v>状态</x:v>
      </x:c>
      <x:c r="F139" s="30" t="str">
        <x:v>id</x:v>
      </x:c>
      <x:c r="G139" s="30" t="str">
        <x:v>null或任务版本</x:v>
      </x:c>
      <x:c r="H139" s="30" t="str">
        <x:v>库存/装载/交付执行器</x:v>
      </x:c>
      <x:c r="I139" s="30" t="str">
        <x:v>授权库存/已观察物品；跨机通过消息获知</x:v>
      </x:c>
      <x:c r="J139" s="30" t="str">
        <x:v>A015；A019；A024；A025；A026；A027；A028；A030；A034；A045</x:v>
      </x:c>
      <x:c r="K139" s="30" t="str">
        <x:v>初始化/配置或相应状态所有者；不是任意Agent写入</x:v>
      </x:c>
      <x:c r="L139" s="30" t="n">
        <x:v>14</x:v>
      </x:c>
      <x:c r="M139" s="30" t="str">
        <x:v>S01；S06；S24；S25</x:v>
      </x:c>
      <x:c r="N139" s="30" t="str">
        <x:v>https://insarag.org/wp-content/uploads/2021/06/INSARAG20Guidelines20Vol20II2C20Man20B.pdf
https://github.com/UnrealZoo/RescueBench</x:v>
      </x:c>
    </x:row>
    <x:row r="140" ht="120" customHeight="1">
      <x:c r="A140" s="30" t="str">
        <x:v>F136</x:v>
      </x:c>
      <x:c r="B140" s="30" t="str">
        <x:v>物资、货物与救援器材</x:v>
      </x:c>
      <x:c r="C140" s="30" t="str">
        <x:v>item.release_state</x:v>
      </x:c>
      <x:c r="D140" s="30" t="str">
        <x:v>释放机构反馈</x:v>
      </x:c>
      <x:c r="E140" s="30" t="str">
        <x:v>状态</x:v>
      </x:c>
      <x:c r="F140" s="30" t="str">
        <x:v>enum</x:v>
      </x:c>
      <x:c r="G140" s="30" t="str">
        <x:v>locked/unlocking/released/jammed/not_applicable</x:v>
      </x:c>
      <x:c r="H140" s="30" t="str">
        <x:v>库存/装载/交付执行器</x:v>
      </x:c>
      <x:c r="I140" s="30" t="str">
        <x:v>授权库存/已观察物品；跨机通过消息获知</x:v>
      </x:c>
      <x:c r="J140" s="30" t="str">
        <x:v>A015；A019；A024；A025；A026；A027；A028；A030；A034；A045</x:v>
      </x:c>
      <x:c r="K140" s="30" t="str">
        <x:v>A025</x:v>
      </x:c>
      <x:c r="L140" s="30" t="n">
        <x:v>14</x:v>
      </x:c>
      <x:c r="M140" s="30" t="str">
        <x:v>S01；S06；S24；S25</x:v>
      </x:c>
      <x:c r="N140" s="30" t="str">
        <x:v>https://insarag.org/wp-content/uploads/2021/06/INSARAG20Guidelines20Vol20II2C20Man20B.pdf
https://github.com/UnrealZoo/RescueBench</x:v>
      </x:c>
    </x:row>
    <x:row r="141" ht="120" customHeight="1">
      <x:c r="A141" s="30" t="str">
        <x:v>F137</x:v>
      </x:c>
      <x:c r="B141" s="30" t="str">
        <x:v>物资、货物与救援器材</x:v>
      </x:c>
      <x:c r="C141" s="30" t="str">
        <x:v>item.contact_pose</x:v>
      </x:c>
      <x:c r="D141" s="30" t="str">
        <x:v>落地/接触位置</x:v>
      </x:c>
      <x:c r="E141" s="30" t="str">
        <x:v>状态</x:v>
      </x:c>
      <x:c r="F141" s="30" t="str">
        <x:v>pose</x:v>
      </x:c>
      <x:c r="G141" s="30" t="str">
        <x:v>null或真实位置</x:v>
      </x:c>
      <x:c r="H141" s="30" t="str">
        <x:v>库存/装载/交付执行器</x:v>
      </x:c>
      <x:c r="I141" s="30" t="str">
        <x:v>授权库存/已观察物品；跨机通过消息获知</x:v>
      </x:c>
      <x:c r="J141" s="30" t="str">
        <x:v>A015；A019；A024；A025；A026；A027；A028；A030；A034；A045</x:v>
      </x:c>
      <x:c r="K141" s="30" t="str">
        <x:v>A025；A026</x:v>
      </x:c>
      <x:c r="L141" s="30" t="n">
        <x:v>14</x:v>
      </x:c>
      <x:c r="M141" s="30" t="str">
        <x:v>S01；S06；S24；S25</x:v>
      </x:c>
      <x:c r="N141" s="30" t="str">
        <x:v>https://insarag.org/wp-content/uploads/2021/06/INSARAG20Guidelines20Vol20II2C20Man20B.pdf
https://github.com/UnrealZoo/RescueBench</x:v>
      </x:c>
    </x:row>
    <x:row r="142" ht="120" customHeight="1">
      <x:c r="A142" s="30" t="str">
        <x:v>F138</x:v>
      </x:c>
      <x:c r="B142" s="30" t="str">
        <x:v>物资、货物与救援器材</x:v>
      </x:c>
      <x:c r="C142" s="30" t="str">
        <x:v>item.receiver_id</x:v>
      </x:c>
      <x:c r="D142" s="30" t="str">
        <x:v>预期接收者</x:v>
      </x:c>
      <x:c r="E142" s="30" t="str">
        <x:v>状态</x:v>
      </x:c>
      <x:c r="F142" s="30" t="str">
        <x:v>id</x:v>
      </x:c>
      <x:c r="G142" s="30" t="str">
        <x:v>null或人/站点</x:v>
      </x:c>
      <x:c r="H142" s="30" t="str">
        <x:v>库存/装载/交付执行器</x:v>
      </x:c>
      <x:c r="I142" s="30" t="str">
        <x:v>授权库存/已观察物品；跨机通过消息获知</x:v>
      </x:c>
      <x:c r="J142" s="30" t="str">
        <x:v>A015；A019；A024；A025；A026；A027；A028；A030；A034；A045</x:v>
      </x:c>
      <x:c r="K142" s="30" t="str">
        <x:v>初始化/配置或相应状态所有者；不是任意Agent写入</x:v>
      </x:c>
      <x:c r="L142" s="30" t="n">
        <x:v>14</x:v>
      </x:c>
      <x:c r="M142" s="30" t="str">
        <x:v>S01；S06；S24；S25</x:v>
      </x:c>
      <x:c r="N142" s="30" t="str">
        <x:v>https://insarag.org/wp-content/uploads/2021/06/INSARAG20Guidelines20Vol20II2C20Man20B.pdf
https://github.com/UnrealZoo/RescueBench</x:v>
      </x:c>
    </x:row>
    <x:row r="143" ht="120" customHeight="1">
      <x:c r="A143" s="30" t="str">
        <x:v>F139</x:v>
      </x:c>
      <x:c r="B143" s="30" t="str">
        <x:v>物资、货物与救援器材</x:v>
      </x:c>
      <x:c r="C143" s="30" t="str">
        <x:v>item.receipt_id</x:v>
      </x:c>
      <x:c r="D143" s="30" t="str">
        <x:v>有效接收回执</x:v>
      </x:c>
      <x:c r="E143" s="30" t="str">
        <x:v>状态</x:v>
      </x:c>
      <x:c r="F143" s="30" t="str">
        <x:v>id</x:v>
      </x:c>
      <x:c r="G143" s="30" t="str">
        <x:v>null或回执</x:v>
      </x:c>
      <x:c r="H143" s="30" t="str">
        <x:v>库存/装载/交付执行器</x:v>
      </x:c>
      <x:c r="I143" s="30" t="str">
        <x:v>授权库存/已观察物品；跨机通过消息获知</x:v>
      </x:c>
      <x:c r="J143" s="30" t="str">
        <x:v>A015；A019；A024；A025；A026；A027；A028；A030；A034；A045</x:v>
      </x:c>
      <x:c r="K143" s="30" t="str">
        <x:v>A027</x:v>
      </x:c>
      <x:c r="L143" s="30" t="n">
        <x:v>14</x:v>
      </x:c>
      <x:c r="M143" s="30" t="str">
        <x:v>S01；S06；S24；S25</x:v>
      </x:c>
      <x:c r="N143" s="30" t="str">
        <x:v>https://insarag.org/wp-content/uploads/2021/06/INSARAG20Guidelines20Vol20II2C20Man20B.pdf
https://github.com/UnrealZoo/RescueBench</x:v>
      </x:c>
    </x:row>
    <x:row r="144" ht="120" customHeight="1">
      <x:c r="A144" s="30" t="str">
        <x:v>F140</x:v>
      </x:c>
      <x:c r="B144" s="30" t="str">
        <x:v>物资、货物与救援器材</x:v>
      </x:c>
      <x:c r="C144" s="30" t="str">
        <x:v>item.condition</x:v>
      </x:c>
      <x:c r="D144" s="30" t="str">
        <x:v>可用状况</x:v>
      </x:c>
      <x:c r="E144" s="30" t="str">
        <x:v>状态</x:v>
      </x:c>
      <x:c r="F144" s="30" t="str">
        <x:v>enum</x:v>
      </x:c>
      <x:c r="G144" s="30" t="str">
        <x:v>usable/damaged/expired/empty</x:v>
      </x:c>
      <x:c r="H144" s="30" t="str">
        <x:v>库存/装载/交付执行器</x:v>
      </x:c>
      <x:c r="I144" s="30" t="str">
        <x:v>授权库存/已观察物品；跨机通过消息获知</x:v>
      </x:c>
      <x:c r="J144" s="30" t="str">
        <x:v>A015；A019；A024；A025；A026；A027；A028；A030；A034；A045</x:v>
      </x:c>
      <x:c r="K144" s="30" t="str">
        <x:v>初始化/配置或相应状态所有者；不是任意Agent写入</x:v>
      </x:c>
      <x:c r="L144" s="30" t="n">
        <x:v>14</x:v>
      </x:c>
      <x:c r="M144" s="30" t="str">
        <x:v>S01；S06；S24；S25</x:v>
      </x:c>
      <x:c r="N144" s="30" t="str">
        <x:v>https://insarag.org/wp-content/uploads/2021/06/INSARAG20Guidelines20Vol20II2C20Man20B.pdf
https://github.com/UnrealZoo/RescueBench</x:v>
      </x:c>
    </x:row>
    <x:row r="145" ht="120" customHeight="1">
      <x:c r="A145" s="30" t="str">
        <x:v>F141</x:v>
      </x:c>
      <x:c r="B145" s="30" t="str">
        <x:v>站点与保障资源</x:v>
      </x:c>
      <x:c r="C145" s="30" t="str">
        <x:v>station.kind</x:v>
      </x:c>
      <x:c r="D145" s="30" t="str">
        <x:v>站点用途</x:v>
      </x:c>
      <x:c r="E145" s="30" t="str">
        <x:v>配置</x:v>
      </x:c>
      <x:c r="F145" s="30" t="str">
        <x:v>enum</x:v>
      </x:c>
      <x:c r="G145" s="30" t="str">
        <x:v>command/supply/medical/shelter/charging/water_refill/safe_landing</x:v>
      </x:c>
      <x:c r="H145" s="30" t="str">
        <x:v>站点管理</x:v>
      </x:c>
      <x:c r="I145" s="30" t="str">
        <x:v>静态位置可公开；资源实时余量需授权/通信</x:v>
      </x:c>
      <x:c r="J145" s="30" t="str">
        <x:v>A021；A022；A024；A028；A029；A030；A062</x:v>
      </x:c>
      <x:c r="K145" s="30" t="str">
        <x:v>初始化/配置或相应状态所有者；不是任意Agent写入</x:v>
      </x:c>
      <x:c r="L145" s="30" t="n">
        <x:v>14</x:v>
      </x:c>
      <x:c r="M145" s="30" t="str">
        <x:v>S01；S03；S24</x:v>
      </x:c>
      <x:c r="N145" s="30" t="str">
        <x:v>https://insarag.org/wp-content/uploads/2021/06/INSARAG20Guidelines20Vol20II2C20Man20B.pdf
https://roborescue.github.io/rcrs-server/rcrs-server/index.html</x:v>
      </x:c>
    </x:row>
    <x:row r="146" ht="120" customHeight="1">
      <x:c r="A146" s="30" t="str">
        <x:v>F142</x:v>
      </x:c>
      <x:c r="B146" s="30" t="str">
        <x:v>站点与保障资源</x:v>
      </x:c>
      <x:c r="C146" s="30" t="str">
        <x:v>station.capacity</x:v>
      </x:c>
      <x:c r="D146" s="30" t="str">
        <x:v>服务位/接收容量</x:v>
      </x:c>
      <x:c r="E146" s="30" t="str">
        <x:v>配置</x:v>
      </x:c>
      <x:c r="F146" s="30" t="str">
        <x:v>int</x:v>
      </x:c>
      <x:c r="G146" s="30" t="str">
        <x:v>非负</x:v>
      </x:c>
      <x:c r="H146" s="30" t="str">
        <x:v>站点管理</x:v>
      </x:c>
      <x:c r="I146" s="30" t="str">
        <x:v>静态位置可公开；资源实时余量需授权/通信</x:v>
      </x:c>
      <x:c r="J146" s="30" t="str">
        <x:v>A021；A022；A024；A028；A029；A030；A062</x:v>
      </x:c>
      <x:c r="K146" s="30" t="str">
        <x:v>初始化/配置或相应状态所有者；不是任意Agent写入</x:v>
      </x:c>
      <x:c r="L146" s="30" t="n">
        <x:v>14</x:v>
      </x:c>
      <x:c r="M146" s="30" t="str">
        <x:v>S01；S03；S24</x:v>
      </x:c>
      <x:c r="N146" s="30" t="str">
        <x:v>https://insarag.org/wp-content/uploads/2021/06/INSARAG20Guidelines20Vol20II2C20Man20B.pdf
https://roborescue.github.io/rcrs-server/rcrs-server/index.html</x:v>
      </x:c>
    </x:row>
    <x:row r="147" ht="120" customHeight="1">
      <x:c r="A147" s="30" t="str">
        <x:v>F143</x:v>
      </x:c>
      <x:c r="B147" s="30" t="str">
        <x:v>站点与保障资源</x:v>
      </x:c>
      <x:c r="C147" s="30" t="str">
        <x:v>station.occupied</x:v>
      </x:c>
      <x:c r="D147" s="30" t="str">
        <x:v>当前占用</x:v>
      </x:c>
      <x:c r="E147" s="30" t="str">
        <x:v>状态</x:v>
      </x:c>
      <x:c r="F147" s="30" t="str">
        <x:v>int</x:v>
      </x:c>
      <x:c r="G147" s="30" t="str">
        <x:v>[0,capacity]</x:v>
      </x:c>
      <x:c r="H147" s="30" t="str">
        <x:v>站点管理</x:v>
      </x:c>
      <x:c r="I147" s="30" t="str">
        <x:v>静态位置可公开；资源实时余量需授权/通信</x:v>
      </x:c>
      <x:c r="J147" s="30" t="str">
        <x:v>A021；A022；A024；A028；A029；A030；A062</x:v>
      </x:c>
      <x:c r="K147" s="30" t="str">
        <x:v>A022；A029</x:v>
      </x:c>
      <x:c r="L147" s="30" t="n">
        <x:v>14</x:v>
      </x:c>
      <x:c r="M147" s="30" t="str">
        <x:v>S01；S03；S24</x:v>
      </x:c>
      <x:c r="N147" s="30" t="str">
        <x:v>https://insarag.org/wp-content/uploads/2021/06/INSARAG20Guidelines20Vol20II2C20Man20B.pdf
https://roborescue.github.io/rcrs-server/rcrs-server/index.html</x:v>
      </x:c>
    </x:row>
    <x:row r="148" ht="120" customHeight="1">
      <x:c r="A148" s="30" t="str">
        <x:v>F144</x:v>
      </x:c>
      <x:c r="B148" s="30" t="str">
        <x:v>站点与保障资源</x:v>
      </x:c>
      <x:c r="C148" s="30" t="str">
        <x:v>station.inventory</x:v>
      </x:c>
      <x:c r="D148" s="30" t="str">
        <x:v>分类型库存</x:v>
      </x:c>
      <x:c r="E148" s="30" t="str">
        <x:v>派生</x:v>
      </x:c>
      <x:c r="F148" s="30" t="str">
        <x:v>map</x:v>
      </x:c>
      <x:c r="G148" s="30" t="str">
        <x:v>item_kind→quantity或真实物品ID</x:v>
      </x:c>
      <x:c r="H148" s="30" t="str">
        <x:v>站点管理</x:v>
      </x:c>
      <x:c r="I148" s="30" t="str">
        <x:v>静态位置可公开；资源实时余量需授权/通信</x:v>
      </x:c>
      <x:c r="J148" s="30" t="str">
        <x:v>A021；A022；A024；A028；A029；A030；A062</x:v>
      </x:c>
      <x:c r="K148" s="30" t="str">
        <x:v>初始化/配置或相应状态所有者；不是任意Agent写入</x:v>
      </x:c>
      <x:c r="L148" s="30" t="n">
        <x:v>14</x:v>
      </x:c>
      <x:c r="M148" s="30" t="str">
        <x:v>S01；S03；S24</x:v>
      </x:c>
      <x:c r="N148" s="30" t="str">
        <x:v>https://insarag.org/wp-content/uploads/2021/06/INSARAG20Guidelines20Vol20II2C20Man20B.pdf
https://roborescue.github.io/rcrs-server/rcrs-server/index.html</x:v>
      </x:c>
    </x:row>
    <x:row r="149" ht="120" customHeight="1">
      <x:c r="A149" s="30" t="str">
        <x:v>F145</x:v>
      </x:c>
      <x:c r="B149" s="30" t="str">
        <x:v>站点与保障资源</x:v>
      </x:c>
      <x:c r="C149" s="30" t="str">
        <x:v>station.power_W</x:v>
      </x:c>
      <x:c r="D149" s="30" t="str">
        <x:v>可供充电功率</x:v>
      </x:c>
      <x:c r="E149" s="30" t="str">
        <x:v>配置</x:v>
      </x:c>
      <x:c r="F149" s="30" t="str">
        <x:v>float</x:v>
      </x:c>
      <x:c r="G149" s="30" t="str">
        <x:v>非负</x:v>
      </x:c>
      <x:c r="H149" s="30" t="str">
        <x:v>站点管理</x:v>
      </x:c>
      <x:c r="I149" s="30" t="str">
        <x:v>静态位置可公开；资源实时余量需授权/通信</x:v>
      </x:c>
      <x:c r="J149" s="30" t="str">
        <x:v>A021；A022；A024；A028；A029；A030；A062</x:v>
      </x:c>
      <x:c r="K149" s="30" t="str">
        <x:v>初始化/配置或相应状态所有者；不是任意Agent写入</x:v>
      </x:c>
      <x:c r="L149" s="30" t="n">
        <x:v>14</x:v>
      </x:c>
      <x:c r="M149" s="30" t="str">
        <x:v>S01；S03；S24</x:v>
      </x:c>
      <x:c r="N149" s="30" t="str">
        <x:v>https://insarag.org/wp-content/uploads/2021/06/INSARAG20Guidelines20Vol20II2C20Man20B.pdf
https://roborescue.github.io/rcrs-server/rcrs-server/index.html</x:v>
      </x:c>
    </x:row>
    <x:row r="150" ht="120" customHeight="1">
      <x:c r="A150" s="30" t="str">
        <x:v>F146</x:v>
      </x:c>
      <x:c r="B150" s="30" t="str">
        <x:v>站点与保障资源</x:v>
      </x:c>
      <x:c r="C150" s="30" t="str">
        <x:v>station.connector_types</x:v>
      </x:c>
      <x:c r="D150" s="30" t="str">
        <x:v>连接器兼容性</x:v>
      </x:c>
      <x:c r="E150" s="30" t="str">
        <x:v>配置</x:v>
      </x:c>
      <x:c r="F150" s="30" t="str">
        <x:v>set</x:v>
      </x:c>
      <x:c r="G150" s="30" t="str">
        <x:v>明确接口名称</x:v>
      </x:c>
      <x:c r="H150" s="30" t="str">
        <x:v>站点管理</x:v>
      </x:c>
      <x:c r="I150" s="30" t="str">
        <x:v>静态位置可公开；资源实时余量需授权/通信</x:v>
      </x:c>
      <x:c r="J150" s="30" t="str">
        <x:v>A021；A022；A024；A028；A029；A030；A062</x:v>
      </x:c>
      <x:c r="K150" s="30" t="str">
        <x:v>初始化/配置或相应状态所有者；不是任意Agent写入</x:v>
      </x:c>
      <x:c r="L150" s="30" t="n">
        <x:v>14</x:v>
      </x:c>
      <x:c r="M150" s="30" t="str">
        <x:v>S01；S03；S24</x:v>
      </x:c>
      <x:c r="N150" s="30" t="str">
        <x:v>https://insarag.org/wp-content/uploads/2021/06/INSARAG20Guidelines20Vol20II2C20Man20B.pdf
https://roborescue.github.io/rcrs-server/rcrs-server/index.html</x:v>
      </x:c>
    </x:row>
    <x:row r="151" ht="120" customHeight="1">
      <x:c r="A151" s="30" t="str">
        <x:v>F147</x:v>
      </x:c>
      <x:c r="B151" s="30" t="str">
        <x:v>站点与保障资源</x:v>
      </x:c>
      <x:c r="C151" s="30" t="str">
        <x:v>station.queue_ids</x:v>
      </x:c>
      <x:c r="D151" s="30" t="str">
        <x:v>等候任务集合</x:v>
      </x:c>
      <x:c r="E151" s="30" t="str">
        <x:v>状态</x:v>
      </x:c>
      <x:c r="F151" s="30" t="str">
        <x:v>list[id]</x:v>
      </x:c>
      <x:c r="G151" s="30" t="str">
        <x:v>有序队列</x:v>
      </x:c>
      <x:c r="H151" s="30" t="str">
        <x:v>站点管理</x:v>
      </x:c>
      <x:c r="I151" s="30" t="str">
        <x:v>静态位置可公开；资源实时余量需授权/通信</x:v>
      </x:c>
      <x:c r="J151" s="30" t="str">
        <x:v>A021；A022；A024；A028；A029；A030；A062</x:v>
      </x:c>
      <x:c r="K151" s="30" t="str">
        <x:v>A029</x:v>
      </x:c>
      <x:c r="L151" s="30" t="n">
        <x:v>14</x:v>
      </x:c>
      <x:c r="M151" s="30" t="str">
        <x:v>S01；S03；S24</x:v>
      </x:c>
      <x:c r="N151" s="30" t="str">
        <x:v>https://insarag.org/wp-content/uploads/2021/06/INSARAG20Guidelines20Vol20II2C20Man20B.pdf
https://roborescue.github.io/rcrs-server/rcrs-server/index.html</x:v>
      </x:c>
    </x:row>
    <x:row r="152" ht="120" customHeight="1">
      <x:c r="A152" s="30" t="str">
        <x:v>F148</x:v>
      </x:c>
      <x:c r="B152" s="30" t="str">
        <x:v>站点与保障资源</x:v>
      </x:c>
      <x:c r="C152" s="30" t="str">
        <x:v>station.open_state</x:v>
      </x:c>
      <x:c r="D152" s="30" t="str">
        <x:v>站点可用性</x:v>
      </x:c>
      <x:c r="E152" s="30" t="str">
        <x:v>状态</x:v>
      </x:c>
      <x:c r="F152" s="30" t="str">
        <x:v>enum</x:v>
      </x:c>
      <x:c r="G152" s="30" t="str">
        <x:v>open/restricted/closed</x:v>
      </x:c>
      <x:c r="H152" s="30" t="str">
        <x:v>站点管理</x:v>
      </x:c>
      <x:c r="I152" s="30" t="str">
        <x:v>静态位置可公开；资源实时余量需授权/通信</x:v>
      </x:c>
      <x:c r="J152" s="30" t="str">
        <x:v>A021；A022；A024；A028；A029；A030；A062</x:v>
      </x:c>
      <x:c r="K152" s="30" t="str">
        <x:v>初始化/配置或相应状态所有者；不是任意Agent写入</x:v>
      </x:c>
      <x:c r="L152" s="30" t="n">
        <x:v>14</x:v>
      </x:c>
      <x:c r="M152" s="30" t="str">
        <x:v>S01；S03；S24</x:v>
      </x:c>
      <x:c r="N152" s="30" t="str">
        <x:v>https://insarag.org/wp-content/uploads/2021/06/INSARAG20Guidelines20Vol20II2C20Man20B.pdf
https://roborescue.github.io/rcrs-server/rcrs-server/index.html</x:v>
      </x:c>
    </x:row>
    <x:row r="153" ht="120" customHeight="1">
      <x:c r="A153" s="30" t="str">
        <x:v>F149</x:v>
      </x:c>
      <x:c r="B153" s="30" t="str">
        <x:v>站点与保障资源</x:v>
      </x:c>
      <x:c r="C153" s="30" t="str">
        <x:v>station.accepted_need_types</x:v>
      </x:c>
      <x:c r="D153" s="30" t="str">
        <x:v>可接收需求</x:v>
      </x:c>
      <x:c r="E153" s="30" t="str">
        <x:v>配置</x:v>
      </x:c>
      <x:c r="F153" s="30" t="str">
        <x:v>set</x:v>
      </x:c>
      <x:c r="G153" s="30" t="str">
        <x:v>supply/charge/water/medical/handover等</x:v>
      </x:c>
      <x:c r="H153" s="30" t="str">
        <x:v>站点管理</x:v>
      </x:c>
      <x:c r="I153" s="30" t="str">
        <x:v>静态位置可公开；资源实时余量需授权/通信</x:v>
      </x:c>
      <x:c r="J153" s="30" t="str">
        <x:v>A021；A022；A024；A028；A029；A030；A062</x:v>
      </x:c>
      <x:c r="K153" s="30" t="str">
        <x:v>初始化/配置或相应状态所有者；不是任意Agent写入</x:v>
      </x:c>
      <x:c r="L153" s="30" t="n">
        <x:v>14</x:v>
      </x:c>
      <x:c r="M153" s="30" t="str">
        <x:v>S01；S03；S24</x:v>
      </x:c>
      <x:c r="N153" s="30" t="str">
        <x:v>https://insarag.org/wp-content/uploads/2021/06/INSARAG20Guidelines20Vol20II2C20Man20B.pdf
https://roborescue.github.io/rcrs-server/rcrs-server/index.html</x:v>
      </x:c>
    </x:row>
    <x:row r="154" ht="120" customHeight="1">
      <x:c r="A154" s="30" t="str">
        <x:v>F150</x:v>
      </x:c>
      <x:c r="B154" s="30" t="str">
        <x:v>站点与保障资源</x:v>
      </x:c>
      <x:c r="C154" s="30" t="str">
        <x:v>station.access_region</x:v>
      </x:c>
      <x:c r="D154" s="30" t="str">
        <x:v>接近/停靠范围</x:v>
      </x:c>
      <x:c r="E154" s="30" t="str">
        <x:v>配置</x:v>
      </x:c>
      <x:c r="F154" s="30" t="str">
        <x:v>polygon</x:v>
      </x:c>
      <x:c r="G154" s="30" t="str">
        <x:v>米制区域，需碰撞可达</x:v>
      </x:c>
      <x:c r="H154" s="30" t="str">
        <x:v>站点管理</x:v>
      </x:c>
      <x:c r="I154" s="30" t="str">
        <x:v>静态位置可公开；资源实时余量需授权/通信</x:v>
      </x:c>
      <x:c r="J154" s="30" t="str">
        <x:v>A021；A022；A024；A028；A029；A030；A062</x:v>
      </x:c>
      <x:c r="K154" s="30" t="str">
        <x:v>初始化/配置或相应状态所有者；不是任意Agent写入</x:v>
      </x:c>
      <x:c r="L154" s="30" t="n">
        <x:v>14</x:v>
      </x:c>
      <x:c r="M154" s="30" t="str">
        <x:v>S01；S03；S24</x:v>
      </x:c>
      <x:c r="N154" s="30" t="str">
        <x:v>https://insarag.org/wp-content/uploads/2021/06/INSARAG20Guidelines20Vol20II2C20Man20B.pdf
https://roborescue.github.io/rcrs-server/rcrs-server/index.html</x:v>
      </x:c>
    </x:row>
    <x:row r="155" ht="120" customHeight="1">
      <x:c r="A155" s="30" t="str">
        <x:v>F151</x:v>
      </x:c>
      <x:c r="B155" s="30" t="str">
        <x:v>传感器配置与状态</x:v>
      </x:c>
      <x:c r="C155" s="30" t="str">
        <x:v>sensor.modality</x:v>
      </x:c>
      <x:c r="D155" s="30" t="str">
        <x:v>模态</x:v>
      </x:c>
      <x:c r="E155" s="30" t="str">
        <x:v>配置</x:v>
      </x:c>
      <x:c r="F155" s="30" t="str">
        <x:v>enum</x:v>
      </x:c>
      <x:c r="G155" s="30" t="str">
        <x:v>rgb/depth/thermal/audio/lidar/RF/gas</x:v>
      </x:c>
      <x:c r="H155" s="30" t="str">
        <x:v>感知采集服务</x:v>
      </x:c>
      <x:c r="I155" s="30" t="str">
        <x:v>本机可读；真值校准外参按协议提供</x:v>
      </x:c>
      <x:c r="J155" s="30" t="str">
        <x:v>A005；A007；A008；A009；A011；A061</x:v>
      </x:c>
      <x:c r="K155" s="30" t="str">
        <x:v>初始化/配置或相应状态所有者；不是任意Agent写入</x:v>
      </x:c>
      <x:c r="L155" s="30" t="n">
        <x:v>33</x:v>
      </x:c>
      <x:c r="M155" s="30" t="str">
        <x:v>S02；S05；S11；S24；S25</x:v>
      </x:c>
      <x:c r="N155" s="30" t="str">
        <x:v>https://www.nist.gov/programs-projects/department-homeland-security-response-robot-performance-standards
https://4amgodvzx.github.io/ESAR.github.io/
https://arxiv.org/abs/2309.09518</x:v>
      </x:c>
    </x:row>
    <x:row r="156" ht="120" customHeight="1">
      <x:c r="A156" s="30" t="str">
        <x:v>F152</x:v>
      </x:c>
      <x:c r="B156" s="30" t="str">
        <x:v>传感器配置与状态</x:v>
      </x:c>
      <x:c r="C156" s="30" t="str">
        <x:v>sensor.mount_pose</x:v>
      </x:c>
      <x:c r="D156" s="30" t="str">
        <x:v>安装外参</x:v>
      </x:c>
      <x:c r="E156" s="30" t="str">
        <x:v>配置</x:v>
      </x:c>
      <x:c r="F156" s="30" t="str">
        <x:v>pose</x:v>
      </x:c>
      <x:c r="G156" s="30" t="str">
        <x:v>平台局部坐标</x:v>
      </x:c>
      <x:c r="H156" s="30" t="str">
        <x:v>感知采集服务</x:v>
      </x:c>
      <x:c r="I156" s="30" t="str">
        <x:v>本机可读；真值校准外参按协议提供</x:v>
      </x:c>
      <x:c r="J156" s="30" t="str">
        <x:v>A005；A007；A008；A009；A011；A061</x:v>
      </x:c>
      <x:c r="K156" s="30" t="str">
        <x:v>初始化/配置或相应状态所有者；不是任意Agent写入</x:v>
      </x:c>
      <x:c r="L156" s="30" t="n">
        <x:v>33</x:v>
      </x:c>
      <x:c r="M156" s="30" t="str">
        <x:v>S02；S05；S11；S24；S25</x:v>
      </x:c>
      <x:c r="N156" s="30" t="str">
        <x:v>https://www.nist.gov/programs-projects/department-homeland-security-response-robot-performance-standards
https://4amgodvzx.github.io/ESAR.github.io/
https://arxiv.org/abs/2309.09518</x:v>
      </x:c>
    </x:row>
    <x:row r="157" ht="120" customHeight="1">
      <x:c r="A157" s="30" t="str">
        <x:v>F153</x:v>
      </x:c>
      <x:c r="B157" s="30" t="str">
        <x:v>传感器配置与状态</x:v>
      </x:c>
      <x:c r="C157" s="30" t="str">
        <x:v>sensor.fov_deg</x:v>
      </x:c>
      <x:c r="D157" s="30" t="str">
        <x:v>视场角</x:v>
      </x:c>
      <x:c r="E157" s="30" t="str">
        <x:v>配置</x:v>
      </x:c>
      <x:c r="F157" s="30" t="str">
        <x:v>vector</x:v>
      </x:c>
      <x:c r="G157" s="30" t="str">
        <x:v>水平/竖直角度</x:v>
      </x:c>
      <x:c r="H157" s="30" t="str">
        <x:v>感知采集服务</x:v>
      </x:c>
      <x:c r="I157" s="30" t="str">
        <x:v>本机可读；真值校准外参按协议提供</x:v>
      </x:c>
      <x:c r="J157" s="30" t="str">
        <x:v>A005；A007；A008；A009；A011；A061</x:v>
      </x:c>
      <x:c r="K157" s="30" t="str">
        <x:v>初始化/配置或相应状态所有者；不是任意Agent写入</x:v>
      </x:c>
      <x:c r="L157" s="30" t="n">
        <x:v>33</x:v>
      </x:c>
      <x:c r="M157" s="30" t="str">
        <x:v>S02；S05；S11；S24；S25</x:v>
      </x:c>
      <x:c r="N157" s="30" t="str">
        <x:v>https://www.nist.gov/programs-projects/department-homeland-security-response-robot-performance-standards
https://4amgodvzx.github.io/ESAR.github.io/
https://arxiv.org/abs/2309.09518</x:v>
      </x:c>
    </x:row>
    <x:row r="158" ht="120" customHeight="1">
      <x:c r="A158" s="30" t="str">
        <x:v>F154</x:v>
      </x:c>
      <x:c r="B158" s="30" t="str">
        <x:v>传感器配置与状态</x:v>
      </x:c>
      <x:c r="C158" s="30" t="str">
        <x:v>sensor.resolution</x:v>
      </x:c>
      <x:c r="D158" s="30" t="str">
        <x:v>采样分辨率</x:v>
      </x:c>
      <x:c r="E158" s="30" t="str">
        <x:v>配置</x:v>
      </x:c>
      <x:c r="F158" s="30" t="str">
        <x:v>vector</x:v>
      </x:c>
      <x:c r="G158" s="30" t="str">
        <x:v>正整数宽高或音频采样率</x:v>
      </x:c>
      <x:c r="H158" s="30" t="str">
        <x:v>感知采集服务</x:v>
      </x:c>
      <x:c r="I158" s="30" t="str">
        <x:v>本机可读；真值校准外参按协议提供</x:v>
      </x:c>
      <x:c r="J158" s="30" t="str">
        <x:v>A005；A007；A008；A009；A011；A061</x:v>
      </x:c>
      <x:c r="K158" s="30" t="str">
        <x:v>初始化/配置或相应状态所有者；不是任意Agent写入</x:v>
      </x:c>
      <x:c r="L158" s="30" t="n">
        <x:v>33</x:v>
      </x:c>
      <x:c r="M158" s="30" t="str">
        <x:v>S02；S05；S11；S24；S25</x:v>
      </x:c>
      <x:c r="N158" s="30" t="str">
        <x:v>https://www.nist.gov/programs-projects/department-homeland-security-response-robot-performance-standards
https://4amgodvzx.github.io/ESAR.github.io/
https://arxiv.org/abs/2309.09518</x:v>
      </x:c>
    </x:row>
    <x:row r="159" ht="120" customHeight="1">
      <x:c r="A159" s="30" t="str">
        <x:v>F155</x:v>
      </x:c>
      <x:c r="B159" s="30" t="str">
        <x:v>传感器配置与状态</x:v>
      </x:c>
      <x:c r="C159" s="30" t="str">
        <x:v>sensor.range_m</x:v>
      </x:c>
      <x:c r="D159" s="30" t="str">
        <x:v>有效距离</x:v>
      </x:c>
      <x:c r="E159" s="30" t="str">
        <x:v>配置</x:v>
      </x:c>
      <x:c r="F159" s="30" t="str">
        <x:v>float</x:v>
      </x:c>
      <x:c r="G159" s="30" t="str">
        <x:v>非负；并非必然识别距离</x:v>
      </x:c>
      <x:c r="H159" s="30" t="str">
        <x:v>感知采集服务</x:v>
      </x:c>
      <x:c r="I159" s="30" t="str">
        <x:v>本机可读；真值校准外参按协议提供</x:v>
      </x:c>
      <x:c r="J159" s="30" t="str">
        <x:v>A005；A007；A008；A009；A011；A061</x:v>
      </x:c>
      <x:c r="K159" s="30" t="str">
        <x:v>初始化/配置或相应状态所有者；不是任意Agent写入</x:v>
      </x:c>
      <x:c r="L159" s="30" t="n">
        <x:v>33</x:v>
      </x:c>
      <x:c r="M159" s="30" t="str">
        <x:v>S02；S05；S11；S24；S25</x:v>
      </x:c>
      <x:c r="N159" s="30" t="str">
        <x:v>https://www.nist.gov/programs-projects/department-homeland-security-response-robot-performance-standards
https://4amgodvzx.github.io/ESAR.github.io/
https://arxiv.org/abs/2309.09518</x:v>
      </x:c>
    </x:row>
    <x:row r="160" ht="120" customHeight="1">
      <x:c r="A160" s="30" t="str">
        <x:v>F156</x:v>
      </x:c>
      <x:c r="B160" s="30" t="str">
        <x:v>传感器配置与状态</x:v>
      </x:c>
      <x:c r="C160" s="30" t="str">
        <x:v>sensor.sampling_period_s</x:v>
      </x:c>
      <x:c r="D160" s="30" t="str">
        <x:v>采样间隔</x:v>
      </x:c>
      <x:c r="E160" s="30" t="str">
        <x:v>配置</x:v>
      </x:c>
      <x:c r="F160" s="30" t="str">
        <x:v>float</x:v>
      </x:c>
      <x:c r="G160" s="30" t="str">
        <x:v>正数或事件触发</x:v>
      </x:c>
      <x:c r="H160" s="30" t="str">
        <x:v>感知采集服务</x:v>
      </x:c>
      <x:c r="I160" s="30" t="str">
        <x:v>本机可读；真值校准外参按协议提供</x:v>
      </x:c>
      <x:c r="J160" s="30" t="str">
        <x:v>A005；A007；A008；A009；A011；A061</x:v>
      </x:c>
      <x:c r="K160" s="30" t="str">
        <x:v>初始化/配置或相应状态所有者；不是任意Agent写入</x:v>
      </x:c>
      <x:c r="L160" s="30" t="n">
        <x:v>33</x:v>
      </x:c>
      <x:c r="M160" s="30" t="str">
        <x:v>S02；S05；S11；S24；S25</x:v>
      </x:c>
      <x:c r="N160" s="30" t="str">
        <x:v>https://www.nist.gov/programs-projects/department-homeland-security-response-robot-performance-standards
https://4amgodvzx.github.io/ESAR.github.io/
https://arxiv.org/abs/2309.09518</x:v>
      </x:c>
    </x:row>
    <x:row r="161" ht="120" customHeight="1">
      <x:c r="A161" s="30" t="str">
        <x:v>F157</x:v>
      </x:c>
      <x:c r="B161" s="30" t="str">
        <x:v>传感器配置与状态</x:v>
      </x:c>
      <x:c r="C161" s="30" t="str">
        <x:v>sensor.enabled</x:v>
      </x:c>
      <x:c r="D161" s="30" t="str">
        <x:v>启用状态</x:v>
      </x:c>
      <x:c r="E161" s="30" t="str">
        <x:v>状态</x:v>
      </x:c>
      <x:c r="F161" s="30" t="str">
        <x:v>bool</x:v>
      </x:c>
      <x:c r="G161" s="30" t="str">
        <x:v>true/false</x:v>
      </x:c>
      <x:c r="H161" s="30" t="str">
        <x:v>感知采集服务</x:v>
      </x:c>
      <x:c r="I161" s="30" t="str">
        <x:v>本机可读；真值校准外参按协议提供</x:v>
      </x:c>
      <x:c r="J161" s="30" t="str">
        <x:v>A005；A007；A008；A009；A011；A061</x:v>
      </x:c>
      <x:c r="K161" s="30" t="str">
        <x:v>初始化/配置或相应状态所有者；不是任意Agent写入</x:v>
      </x:c>
      <x:c r="L161" s="30" t="n">
        <x:v>33</x:v>
      </x:c>
      <x:c r="M161" s="30" t="str">
        <x:v>S02；S05；S11；S24；S25</x:v>
      </x:c>
      <x:c r="N161" s="30" t="str">
        <x:v>https://www.nist.gov/programs-projects/department-homeland-security-response-robot-performance-standards
https://4amgodvzx.github.io/ESAR.github.io/
https://arxiv.org/abs/2309.09518</x:v>
      </x:c>
    </x:row>
    <x:row r="162" ht="120" customHeight="1">
      <x:c r="A162" s="30" t="str">
        <x:v>F158</x:v>
      </x:c>
      <x:c r="B162" s="30" t="str">
        <x:v>传感器配置与状态</x:v>
      </x:c>
      <x:c r="C162" s="30" t="str">
        <x:v>sensor.health</x:v>
      </x:c>
      <x:c r="D162" s="30" t="str">
        <x:v>传感器状态</x:v>
      </x:c>
      <x:c r="E162" s="30" t="str">
        <x:v>状态</x:v>
      </x:c>
      <x:c r="F162" s="30" t="str">
        <x:v>enum</x:v>
      </x:c>
      <x:c r="G162" s="30" t="str">
        <x:v>ready/degraded/failed</x:v>
      </x:c>
      <x:c r="H162" s="30" t="str">
        <x:v>感知采集服务</x:v>
      </x:c>
      <x:c r="I162" s="30" t="str">
        <x:v>本机可读；真值校准外参按协议提供</x:v>
      </x:c>
      <x:c r="J162" s="30" t="str">
        <x:v>A005；A007；A008；A009；A011；A061</x:v>
      </x:c>
      <x:c r="K162" s="30" t="str">
        <x:v>A061</x:v>
      </x:c>
      <x:c r="L162" s="30" t="n">
        <x:v>33</x:v>
      </x:c>
      <x:c r="M162" s="30" t="str">
        <x:v>S02；S05；S11；S24；S25</x:v>
      </x:c>
      <x:c r="N162" s="30" t="str">
        <x:v>https://www.nist.gov/programs-projects/department-homeland-security-response-robot-performance-standards
https://4amgodvzx.github.io/ESAR.github.io/
https://arxiv.org/abs/2309.09518</x:v>
      </x:c>
    </x:row>
    <x:row r="163" ht="120" customHeight="1">
      <x:c r="A163" s="30" t="str">
        <x:v>F159</x:v>
      </x:c>
      <x:c r="B163" s="30" t="str">
        <x:v>传感器配置与状态</x:v>
      </x:c>
      <x:c r="C163" s="30" t="str">
        <x:v>sensor.exposure</x:v>
      </x:c>
      <x:c r="D163" s="30" t="str">
        <x:v>曝光配置</x:v>
      </x:c>
      <x:c r="E163" s="30" t="str">
        <x:v>状态</x:v>
      </x:c>
      <x:c r="F163" s="30" t="str">
        <x:v>record</x:v>
      </x:c>
      <x:c r="G163" s="30" t="str">
        <x:v>曝光/增益/热成像设置等</x:v>
      </x:c>
      <x:c r="H163" s="30" t="str">
        <x:v>感知采集服务</x:v>
      </x:c>
      <x:c r="I163" s="30" t="str">
        <x:v>本机可读；真值校准外参按协议提供</x:v>
      </x:c>
      <x:c r="J163" s="30" t="str">
        <x:v>A005；A007；A008；A009；A011；A061</x:v>
      </x:c>
      <x:c r="K163" s="30" t="str">
        <x:v>初始化/配置或相应状态所有者；不是任意Agent写入</x:v>
      </x:c>
      <x:c r="L163" s="30" t="n">
        <x:v>33</x:v>
      </x:c>
      <x:c r="M163" s="30" t="str">
        <x:v>S02；S05；S11；S24；S25</x:v>
      </x:c>
      <x:c r="N163" s="30" t="str">
        <x:v>https://www.nist.gov/programs-projects/department-homeland-security-response-robot-performance-standards
https://4amgodvzx.github.io/ESAR.github.io/
https://arxiv.org/abs/2309.09518</x:v>
      </x:c>
    </x:row>
    <x:row r="164" ht="120" customHeight="1">
      <x:c r="A164" s="30" t="str">
        <x:v>F160</x:v>
      </x:c>
      <x:c r="B164" s="30" t="str">
        <x:v>传感器配置与状态</x:v>
      </x:c>
      <x:c r="C164" s="30" t="str">
        <x:v>sensor.calibration_id</x:v>
      </x:c>
      <x:c r="D164" s="30" t="str">
        <x:v>标定版本</x:v>
      </x:c>
      <x:c r="E164" s="30" t="str">
        <x:v>配置</x:v>
      </x:c>
      <x:c r="F164" s="30" t="str">
        <x:v>id</x:v>
      </x:c>
      <x:c r="G164" s="30" t="str">
        <x:v>版本及误差模型</x:v>
      </x:c>
      <x:c r="H164" s="30" t="str">
        <x:v>感知采集服务</x:v>
      </x:c>
      <x:c r="I164" s="30" t="str">
        <x:v>本机可读；真值校准外参按协议提供</x:v>
      </x:c>
      <x:c r="J164" s="30" t="str">
        <x:v>A005；A007；A008；A009；A011；A061</x:v>
      </x:c>
      <x:c r="K164" s="30" t="str">
        <x:v>初始化/配置或相应状态所有者；不是任意Agent写入</x:v>
      </x:c>
      <x:c r="L164" s="30" t="n">
        <x:v>33</x:v>
      </x:c>
      <x:c r="M164" s="30" t="str">
        <x:v>S02；S05；S11；S24；S25</x:v>
      </x:c>
      <x:c r="N164" s="30" t="str">
        <x:v>https://www.nist.gov/programs-projects/department-homeland-security-response-robot-performance-standards
https://4amgodvzx.github.io/ESAR.github.io/
https://arxiv.org/abs/2309.09518</x:v>
      </x:c>
    </x:row>
    <x:row r="165" ht="120" customHeight="1">
      <x:c r="A165" s="30" t="str">
        <x:v>F161</x:v>
      </x:c>
      <x:c r="B165" s="30" t="str">
        <x:v>传感器配置与状态</x:v>
      </x:c>
      <x:c r="C165" s="30" t="str">
        <x:v>sensor.gimbal_pose</x:v>
      </x:c>
      <x:c r="D165" s="30" t="str">
        <x:v>当前云台姿态</x:v>
      </x:c>
      <x:c r="E165" s="30" t="str">
        <x:v>状态</x:v>
      </x:c>
      <x:c r="F165" s="30" t="str">
        <x:v>pose</x:v>
      </x:c>
      <x:c r="G165" s="30" t="str">
        <x:v>局部旋转</x:v>
      </x:c>
      <x:c r="H165" s="30" t="str">
        <x:v>感知采集服务</x:v>
      </x:c>
      <x:c r="I165" s="30" t="str">
        <x:v>本机可读；真值校准外参按协议提供</x:v>
      </x:c>
      <x:c r="J165" s="30" t="str">
        <x:v>A005；A007；A008；A009；A011；A061</x:v>
      </x:c>
      <x:c r="K165" s="30" t="str">
        <x:v>初始化/配置或相应状态所有者；不是任意Agent写入</x:v>
      </x:c>
      <x:c r="L165" s="30" t="n">
        <x:v>33</x:v>
      </x:c>
      <x:c r="M165" s="30" t="str">
        <x:v>S02；S05；S11；S24；S25</x:v>
      </x:c>
      <x:c r="N165" s="30" t="str">
        <x:v>https://www.nist.gov/programs-projects/department-homeland-security-response-robot-performance-standards
https://4amgodvzx.github.io/ESAR.github.io/
https://arxiv.org/abs/2309.09518</x:v>
      </x:c>
    </x:row>
    <x:row r="166" ht="120" customHeight="1">
      <x:c r="A166" s="30" t="str">
        <x:v>F162</x:v>
      </x:c>
      <x:c r="B166" s="30" t="str">
        <x:v>传感器配置与状态</x:v>
      </x:c>
      <x:c r="C166" s="30" t="str">
        <x:v>sensor.capture_state</x:v>
      </x:c>
      <x:c r="D166" s="30" t="str">
        <x:v>采集状态</x:v>
      </x:c>
      <x:c r="E166" s="30" t="str">
        <x:v>状态</x:v>
      </x:c>
      <x:c r="F166" s="30" t="str">
        <x:v>enum</x:v>
      </x:c>
      <x:c r="G166" s="30" t="str">
        <x:v>idle/requested/capturing/ready/failed</x:v>
      </x:c>
      <x:c r="H166" s="30" t="str">
        <x:v>感知采集服务</x:v>
      </x:c>
      <x:c r="I166" s="30" t="str">
        <x:v>本机可读；真值校准外参按协议提供</x:v>
      </x:c>
      <x:c r="J166" s="30" t="str">
        <x:v>A005；A007；A008；A009；A011；A061</x:v>
      </x:c>
      <x:c r="K166" s="30" t="str">
        <x:v>A005</x:v>
      </x:c>
      <x:c r="L166" s="30" t="n">
        <x:v>33</x:v>
      </x:c>
      <x:c r="M166" s="30" t="str">
        <x:v>S02；S05；S11；S24；S25</x:v>
      </x:c>
      <x:c r="N166" s="30" t="str">
        <x:v>https://www.nist.gov/programs-projects/department-homeland-security-response-robot-performance-standards
https://4amgodvzx.github.io/ESAR.github.io/
https://arxiv.org/abs/2309.09518</x:v>
      </x:c>
    </x:row>
    <x:row r="167" ht="120" customHeight="1">
      <x:c r="A167" s="30" t="str">
        <x:v>F163</x:v>
      </x:c>
      <x:c r="B167" s="30" t="str">
        <x:v>传感器配置与状态</x:v>
      </x:c>
      <x:c r="C167" s="30" t="str">
        <x:v>sensor.noise_model</x:v>
      </x:c>
      <x:c r="D167" s="30" t="str">
        <x:v>噪声模型</x:v>
      </x:c>
      <x:c r="E167" s="30" t="str">
        <x:v>配置</x:v>
      </x:c>
      <x:c r="F167" s="30" t="str">
        <x:v>record</x:v>
      </x:c>
      <x:c r="G167" s="30" t="str">
        <x:v>model_id+参数，未标定明示合成</x:v>
      </x:c>
      <x:c r="H167" s="30" t="str">
        <x:v>感知采集服务</x:v>
      </x:c>
      <x:c r="I167" s="30" t="str">
        <x:v>本机可读；真值校准外参按协议提供</x:v>
      </x:c>
      <x:c r="J167" s="30" t="str">
        <x:v>A005；A007；A008；A009；A011；A061</x:v>
      </x:c>
      <x:c r="K167" s="30" t="str">
        <x:v>初始化/配置或相应状态所有者；不是任意Agent写入</x:v>
      </x:c>
      <x:c r="L167" s="30" t="n">
        <x:v>33</x:v>
      </x:c>
      <x:c r="M167" s="30" t="str">
        <x:v>S02；S05；S11；S24；S25</x:v>
      </x:c>
      <x:c r="N167" s="30" t="str">
        <x:v>https://www.nist.gov/programs-projects/department-homeland-security-response-robot-performance-standards
https://4amgodvzx.github.io/ESAR.github.io/
https://arxiv.org/abs/2309.09518</x:v>
      </x:c>
    </x:row>
    <x:row r="168" ht="120" customHeight="1">
      <x:c r="A168" s="30" t="str">
        <x:v>F164</x:v>
      </x:c>
      <x:c r="B168" s="30" t="str">
        <x:v>传感器配置与状态</x:v>
      </x:c>
      <x:c r="C168" s="30" t="str">
        <x:v>sensor.blind_zone</x:v>
      </x:c>
      <x:c r="D168" s="30" t="str">
        <x:v>盲区/遮挡声明</x:v>
      </x:c>
      <x:c r="E168" s="30" t="str">
        <x:v>配置</x:v>
      </x:c>
      <x:c r="F168" s="30" t="str">
        <x:v>record</x:v>
      </x:c>
      <x:c r="G168" s="30" t="str">
        <x:v>外壳/角度/安装遮挡</x:v>
      </x:c>
      <x:c r="H168" s="30" t="str">
        <x:v>感知采集服务</x:v>
      </x:c>
      <x:c r="I168" s="30" t="str">
        <x:v>本机可读；真值校准外参按协议提供</x:v>
      </x:c>
      <x:c r="J168" s="30" t="str">
        <x:v>A005；A007；A008；A009；A011；A061</x:v>
      </x:c>
      <x:c r="K168" s="30" t="str">
        <x:v>初始化/配置或相应状态所有者；不是任意Agent写入</x:v>
      </x:c>
      <x:c r="L168" s="30" t="n">
        <x:v>33</x:v>
      </x:c>
      <x:c r="M168" s="30" t="str">
        <x:v>S02；S05；S11；S24；S25</x:v>
      </x:c>
      <x:c r="N168" s="30" t="str">
        <x:v>https://www.nist.gov/programs-projects/department-homeland-security-response-robot-performance-standards
https://4amgodvzx.github.io/ESAR.github.io/
https://arxiv.org/abs/2309.09518</x:v>
      </x:c>
    </x:row>
    <x:row r="169" ht="120" customHeight="1">
      <x:c r="A169" s="30" t="str">
        <x:v>F165</x:v>
      </x:c>
      <x:c r="B169" s="30" t="str">
        <x:v>传感器配置与状态</x:v>
      </x:c>
      <x:c r="C169" s="30" t="str">
        <x:v>sensor.last_capture_s</x:v>
      </x:c>
      <x:c r="D169" s="30" t="str">
        <x:v>最近采样时刻</x:v>
      </x:c>
      <x:c r="E169" s="30" t="str">
        <x:v>状态</x:v>
      </x:c>
      <x:c r="F169" s="30" t="str">
        <x:v>float</x:v>
      </x:c>
      <x:c r="G169" s="30" t="str">
        <x:v>null或仿真时间</x:v>
      </x:c>
      <x:c r="H169" s="30" t="str">
        <x:v>感知采集服务</x:v>
      </x:c>
      <x:c r="I169" s="30" t="str">
        <x:v>本机可读；真值校准外参按协议提供</x:v>
      </x:c>
      <x:c r="J169" s="30" t="str">
        <x:v>A005；A007；A008；A009；A011；A061</x:v>
      </x:c>
      <x:c r="K169" s="30" t="str">
        <x:v>A005</x:v>
      </x:c>
      <x:c r="L169" s="30" t="n">
        <x:v>33</x:v>
      </x:c>
      <x:c r="M169" s="30" t="str">
        <x:v>S02；S05；S11；S24；S25</x:v>
      </x:c>
      <x:c r="N169" s="30" t="str">
        <x:v>https://www.nist.gov/programs-projects/department-homeland-security-response-robot-performance-standards
https://4amgodvzx.github.io/ESAR.github.io/
https://arxiv.org/abs/2309.09518</x:v>
      </x:c>
    </x:row>
    <x:row r="170" ht="120" customHeight="1">
      <x:c r="A170" s="30" t="str">
        <x:v>F166</x:v>
      </x:c>
      <x:c r="B170" s="30" t="str">
        <x:v>观测与证据记录</x:v>
      </x:c>
      <x:c r="C170" s="30" t="str">
        <x:v>observation.observer_id</x:v>
      </x:c>
      <x:c r="D170" s="30" t="str">
        <x:v>观测者</x:v>
      </x:c>
      <x:c r="E170" s="30" t="str">
        <x:v>标识</x:v>
      </x:c>
      <x:c r="F170" s="30" t="str">
        <x:v>id</x:v>
      </x:c>
      <x:c r="G170" s="30" t="str">
        <x:v>平台/授权服务</x:v>
      </x:c>
      <x:c r="H170" s="30" t="str">
        <x:v>感知/算法作业</x:v>
      </x:c>
      <x:c r="I170" s="30" t="str">
        <x:v>属于采集者；收到副本后才对接收方可用</x:v>
      </x:c>
      <x:c r="J170" s="30" t="str">
        <x:v>A006；A007；A009；A010；A018；A027；A036；A038；A039；A040；A041；A046；A050；A054；A060；A064；A065</x:v>
      </x:c>
      <x:c r="K170" s="30" t="str">
        <x:v>初始化/配置或相应状态所有者；不是任意Agent写入</x:v>
      </x:c>
      <x:c r="L170" s="30" t="n">
        <x:v>95</x:v>
      </x:c>
      <x:c r="M170" s="30" t="str">
        <x:v>S05；S06；S11；S19；S24；S25</x:v>
      </x:c>
      <x:c r="N170" s="30" t="str">
        <x:v>https://4amgodvzx.github.io/ESAR.github.io/
https://github.com/UnrealZoo/RescueBench
https://arxiv.org/abs/2309.09518
https://design.ros2.org/articles/actions.html</x:v>
      </x:c>
    </x:row>
    <x:row r="171" ht="120" customHeight="1">
      <x:c r="A171" s="30" t="str">
        <x:v>F167</x:v>
      </x:c>
      <x:c r="B171" s="30" t="str">
        <x:v>观测与证据记录</x:v>
      </x:c>
      <x:c r="C171" s="30" t="str">
        <x:v>observation.sensor_id</x:v>
      </x:c>
      <x:c r="D171" s="30" t="str">
        <x:v>数据来源传感器</x:v>
      </x:c>
      <x:c r="E171" s="30" t="str">
        <x:v>标识</x:v>
      </x:c>
      <x:c r="F171" s="30" t="str">
        <x:v>id</x:v>
      </x:c>
      <x:c r="G171" s="30" t="str">
        <x:v>实际传感器或abstract_search</x:v>
      </x:c>
      <x:c r="H171" s="30" t="str">
        <x:v>感知/算法作业</x:v>
      </x:c>
      <x:c r="I171" s="30" t="str">
        <x:v>属于采集者；收到副本后才对接收方可用</x:v>
      </x:c>
      <x:c r="J171" s="30" t="str">
        <x:v>A006；A007；A009；A010；A018；A027；A036；A038；A039；A040；A041；A046；A050；A054；A060；A064；A065</x:v>
      </x:c>
      <x:c r="K171" s="30" t="str">
        <x:v>初始化/配置或相应状态所有者；不是任意Agent写入</x:v>
      </x:c>
      <x:c r="L171" s="30" t="n">
        <x:v>95</x:v>
      </x:c>
      <x:c r="M171" s="30" t="str">
        <x:v>S05；S06；S11；S19；S24；S25</x:v>
      </x:c>
      <x:c r="N171" s="30" t="str">
        <x:v>https://4amgodvzx.github.io/ESAR.github.io/
https://github.com/UnrealZoo/RescueBench
https://arxiv.org/abs/2309.09518
https://design.ros2.org/articles/actions.html</x:v>
      </x:c>
    </x:row>
    <x:row r="172" ht="120" customHeight="1">
      <x:c r="A172" s="30" t="str">
        <x:v>F168</x:v>
      </x:c>
      <x:c r="B172" s="30" t="str">
        <x:v>观测与证据记录</x:v>
      </x:c>
      <x:c r="C172" s="30" t="str">
        <x:v>observation.captured_at_s</x:v>
      </x:c>
      <x:c r="D172" s="30" t="str">
        <x:v>采样时刻</x:v>
      </x:c>
      <x:c r="E172" s="30" t="str">
        <x:v>记录</x:v>
      </x:c>
      <x:c r="F172" s="30" t="str">
        <x:v>float</x:v>
      </x:c>
      <x:c r="G172" s="30" t="str">
        <x:v>仿真时间</x:v>
      </x:c>
      <x:c r="H172" s="30" t="str">
        <x:v>感知/算法作业</x:v>
      </x:c>
      <x:c r="I172" s="30" t="str">
        <x:v>属于采集者；收到副本后才对接收方可用</x:v>
      </x:c>
      <x:c r="J172" s="30" t="str">
        <x:v>A006；A007；A009；A010；A018；A027；A036；A038；A039；A040；A041；A046；A050；A054；A060；A064；A065</x:v>
      </x:c>
      <x:c r="K172" s="30" t="str">
        <x:v>A005</x:v>
      </x:c>
      <x:c r="L172" s="30" t="n">
        <x:v>95</x:v>
      </x:c>
      <x:c r="M172" s="30" t="str">
        <x:v>S05；S06；S11；S19；S24；S25</x:v>
      </x:c>
      <x:c r="N172" s="30" t="str">
        <x:v>https://4amgodvzx.github.io/ESAR.github.io/
https://github.com/UnrealZoo/RescueBench
https://arxiv.org/abs/2309.09518
https://design.ros2.org/articles/actions.html</x:v>
      </x:c>
    </x:row>
    <x:row r="173" ht="120" customHeight="1">
      <x:c r="A173" s="30" t="str">
        <x:v>F169</x:v>
      </x:c>
      <x:c r="B173" s="30" t="str">
        <x:v>观测与证据记录</x:v>
      </x:c>
      <x:c r="C173" s="30" t="str">
        <x:v>observation.pose_estimate</x:v>
      </x:c>
      <x:c r="D173" s="30" t="str">
        <x:v>采集时位姿估计</x:v>
      </x:c>
      <x:c r="E173" s="30" t="str">
        <x:v>记录</x:v>
      </x:c>
      <x:c r="F173" s="30" t="str">
        <x:v>pose</x:v>
      </x:c>
      <x:c r="G173" s="30" t="str">
        <x:v>可带不确定性；不要泄露定位真值</x:v>
      </x:c>
      <x:c r="H173" s="30" t="str">
        <x:v>感知/算法作业</x:v>
      </x:c>
      <x:c r="I173" s="30" t="str">
        <x:v>属于采集者；收到副本后才对接收方可用</x:v>
      </x:c>
      <x:c r="J173" s="30" t="str">
        <x:v>A006；A007；A009；A010；A018；A027；A036；A038；A039；A040；A041；A046；A050；A054；A060；A064；A065</x:v>
      </x:c>
      <x:c r="K173" s="30" t="str">
        <x:v>A005</x:v>
      </x:c>
      <x:c r="L173" s="30" t="n">
        <x:v>95</x:v>
      </x:c>
      <x:c r="M173" s="30" t="str">
        <x:v>S05；S06；S11；S19；S24；S25</x:v>
      </x:c>
      <x:c r="N173" s="30" t="str">
        <x:v>https://4amgodvzx.github.io/ESAR.github.io/
https://github.com/UnrealZoo/RescueBench
https://arxiv.org/abs/2309.09518
https://design.ros2.org/articles/actions.html</x:v>
      </x:c>
    </x:row>
    <x:row r="174" ht="120" customHeight="1">
      <x:c r="A174" s="30" t="str">
        <x:v>F170</x:v>
      </x:c>
      <x:c r="B174" s="30" t="str">
        <x:v>观测与证据记录</x:v>
      </x:c>
      <x:c r="C174" s="30" t="str">
        <x:v>observation.payload_ref</x:v>
      </x:c>
      <x:c r="D174" s="30" t="str">
        <x:v>本地数据引用</x:v>
      </x:c>
      <x:c r="E174" s="30" t="str">
        <x:v>记录</x:v>
      </x:c>
      <x:c r="F174" s="30" t="str">
        <x:v>record</x:v>
      </x:c>
      <x:c r="G174" s="30" t="str">
        <x:v>本地路径/内容地址；跨机不自动可读</x:v>
      </x:c>
      <x:c r="H174" s="30" t="str">
        <x:v>感知/算法作业</x:v>
      </x:c>
      <x:c r="I174" s="30" t="str">
        <x:v>属于采集者；收到副本后才对接收方可用</x:v>
      </x:c>
      <x:c r="J174" s="30" t="str">
        <x:v>A006；A007；A009；A010；A018；A027；A036；A038；A039；A040；A041；A046；A050；A054；A060；A064；A065</x:v>
      </x:c>
      <x:c r="K174" s="30" t="str">
        <x:v>A005；A008；A009；A011；A018；A039；A064</x:v>
      </x:c>
      <x:c r="L174" s="30" t="n">
        <x:v>95</x:v>
      </x:c>
      <x:c r="M174" s="30" t="str">
        <x:v>S05；S06；S11；S19；S24；S25</x:v>
      </x:c>
      <x:c r="N174" s="30" t="str">
        <x:v>https://4amgodvzx.github.io/ESAR.github.io/
https://github.com/UnrealZoo/RescueBench
https://arxiv.org/abs/2309.09518
https://design.ros2.org/articles/actions.html</x:v>
      </x:c>
    </x:row>
    <x:row r="175" ht="120" customHeight="1">
      <x:c r="A175" s="30" t="str">
        <x:v>F171</x:v>
      </x:c>
      <x:c r="B175" s="30" t="str">
        <x:v>观测与证据记录</x:v>
      </x:c>
      <x:c r="C175" s="30" t="str">
        <x:v>observation.payload_bytes</x:v>
      </x:c>
      <x:c r="D175" s="30" t="str">
        <x:v>实际大小</x:v>
      </x:c>
      <x:c r="E175" s="30" t="str">
        <x:v>记录</x:v>
      </x:c>
      <x:c r="F175" s="30" t="str">
        <x:v>int</x:v>
      </x:c>
      <x:c r="G175" s="30" t="str">
        <x:v>非负</x:v>
      </x:c>
      <x:c r="H175" s="30" t="str">
        <x:v>感知/算法作业</x:v>
      </x:c>
      <x:c r="I175" s="30" t="str">
        <x:v>属于采集者；收到副本后才对接收方可用</x:v>
      </x:c>
      <x:c r="J175" s="30" t="str">
        <x:v>A006；A007；A009；A010；A018；A027；A036；A038；A039；A040；A041；A046；A050；A054；A060；A064；A065</x:v>
      </x:c>
      <x:c r="K175" s="30" t="str">
        <x:v>A039</x:v>
      </x:c>
      <x:c r="L175" s="30" t="n">
        <x:v>95</x:v>
      </x:c>
      <x:c r="M175" s="30" t="str">
        <x:v>S05；S06；S11；S19；S24；S25</x:v>
      </x:c>
      <x:c r="N175" s="30" t="str">
        <x:v>https://4amgodvzx.github.io/ESAR.github.io/
https://github.com/UnrealZoo/RescueBench
https://arxiv.org/abs/2309.09518
https://design.ros2.org/articles/actions.html</x:v>
      </x:c>
    </x:row>
    <x:row r="176" ht="120" customHeight="1">
      <x:c r="A176" s="30" t="str">
        <x:v>F172</x:v>
      </x:c>
      <x:c r="B176" s="30" t="str">
        <x:v>观测与证据记录</x:v>
      </x:c>
      <x:c r="C176" s="30" t="str">
        <x:v>observation.content_hash</x:v>
      </x:c>
      <x:c r="D176" s="30" t="str">
        <x:v>内容校验</x:v>
      </x:c>
      <x:c r="E176" s="30" t="str">
        <x:v>标识</x:v>
      </x:c>
      <x:c r="F176" s="30" t="str">
        <x:v>hash</x:v>
      </x:c>
      <x:c r="G176" s="30" t="str">
        <x:v>原始/加工后各自hash</x:v>
      </x:c>
      <x:c r="H176" s="30" t="str">
        <x:v>感知/算法作业</x:v>
      </x:c>
      <x:c r="I176" s="30" t="str">
        <x:v>属于采集者；收到副本后才对接收方可用</x:v>
      </x:c>
      <x:c r="J176" s="30" t="str">
        <x:v>A006；A007；A009；A010；A018；A027；A036；A038；A039；A040；A041；A046；A050；A054；A060；A064；A065</x:v>
      </x:c>
      <x:c r="K176" s="30" t="str">
        <x:v>A039</x:v>
      </x:c>
      <x:c r="L176" s="30" t="n">
        <x:v>95</x:v>
      </x:c>
      <x:c r="M176" s="30" t="str">
        <x:v>S05；S06；S11；S19；S24；S25</x:v>
      </x:c>
      <x:c r="N176" s="30" t="str">
        <x:v>https://4amgodvzx.github.io/ESAR.github.io/
https://github.com/UnrealZoo/RescueBench
https://arxiv.org/abs/2309.09518
https://design.ros2.org/articles/actions.html</x:v>
      </x:c>
    </x:row>
    <x:row r="177" ht="120" customHeight="1">
      <x:c r="A177" s="30" t="str">
        <x:v>F173</x:v>
      </x:c>
      <x:c r="B177" s="30" t="str">
        <x:v>观测与证据记录</x:v>
      </x:c>
      <x:c r="C177" s="30" t="str">
        <x:v>observation.modality</x:v>
      </x:c>
      <x:c r="D177" s="30" t="str">
        <x:v>数据模态</x:v>
      </x:c>
      <x:c r="E177" s="30" t="str">
        <x:v>记录</x:v>
      </x:c>
      <x:c r="F177" s="30" t="str">
        <x:v>enum</x:v>
      </x:c>
      <x:c r="G177" s="30" t="str">
        <x:v>rgb/depth/thermal/audio/text/feature/KV/search_report</x:v>
      </x:c>
      <x:c r="H177" s="30" t="str">
        <x:v>感知/算法作业</x:v>
      </x:c>
      <x:c r="I177" s="30" t="str">
        <x:v>属于采集者；收到副本后才对接收方可用</x:v>
      </x:c>
      <x:c r="J177" s="30" t="str">
        <x:v>A006；A007；A009；A010；A018；A027；A036；A038；A039；A040；A041；A046；A050；A054；A060；A064；A065</x:v>
      </x:c>
      <x:c r="K177" s="30" t="str">
        <x:v>初始化/配置或相应状态所有者；不是任意Agent写入</x:v>
      </x:c>
      <x:c r="L177" s="30" t="n">
        <x:v>95</x:v>
      </x:c>
      <x:c r="M177" s="30" t="str">
        <x:v>S05；S06；S11；S19；S24；S25</x:v>
      </x:c>
      <x:c r="N177" s="30" t="str">
        <x:v>https://4amgodvzx.github.io/ESAR.github.io/
https://github.com/UnrealZoo/RescueBench
https://arxiv.org/abs/2309.09518
https://design.ros2.org/articles/actions.html</x:v>
      </x:c>
    </x:row>
    <x:row r="178" ht="120" customHeight="1">
      <x:c r="A178" s="30" t="str">
        <x:v>F174</x:v>
      </x:c>
      <x:c r="B178" s="30" t="str">
        <x:v>观测与证据记录</x:v>
      </x:c>
      <x:c r="C178" s="30" t="str">
        <x:v>observation.detections</x:v>
      </x:c>
      <x:c r="D178" s="30" t="str">
        <x:v>检测候选</x:v>
      </x:c>
      <x:c r="E178" s="30" t="str">
        <x:v>认知</x:v>
      </x:c>
      <x:c r="F178" s="30" t="str">
        <x:v>list</x:v>
      </x:c>
      <x:c r="G178" s="30" t="str">
        <x:v>框/类别/候选track；非真值ID</x:v>
      </x:c>
      <x:c r="H178" s="30" t="str">
        <x:v>感知/算法作业</x:v>
      </x:c>
      <x:c r="I178" s="30" t="str">
        <x:v>属于采集者；收到副本后才对接收方可用</x:v>
      </x:c>
      <x:c r="J178" s="30" t="str">
        <x:v>A006；A007；A009；A010；A018；A027；A036；A038；A039；A040；A041；A046；A050；A054；A060；A064；A065</x:v>
      </x:c>
      <x:c r="K178" s="30" t="str">
        <x:v>A006</x:v>
      </x:c>
      <x:c r="L178" s="30" t="n">
        <x:v>95</x:v>
      </x:c>
      <x:c r="M178" s="30" t="str">
        <x:v>S05；S06；S11；S19；S24；S25</x:v>
      </x:c>
      <x:c r="N178" s="30" t="str">
        <x:v>https://4amgodvzx.github.io/ESAR.github.io/
https://github.com/UnrealZoo/RescueBench
https://arxiv.org/abs/2309.09518
https://design.ros2.org/articles/actions.html</x:v>
      </x:c>
    </x:row>
    <x:row r="179" ht="120" customHeight="1">
      <x:c r="A179" s="30" t="str">
        <x:v>F175</x:v>
      </x:c>
      <x:c r="B179" s="30" t="str">
        <x:v>观测与证据记录</x:v>
      </x:c>
      <x:c r="C179" s="30" t="str">
        <x:v>observation.confidence</x:v>
      </x:c>
      <x:c r="D179" s="30" t="str">
        <x:v>置信度</x:v>
      </x:c>
      <x:c r="E179" s="30" t="str">
        <x:v>认知</x:v>
      </x:c>
      <x:c r="F179" s="30" t="str">
        <x:v>float</x:v>
      </x:c>
      <x:c r="G179" s="30" t="str">
        <x:v>[0,1]且注明是否校准</x:v>
      </x:c>
      <x:c r="H179" s="30" t="str">
        <x:v>感知/算法作业</x:v>
      </x:c>
      <x:c r="I179" s="30" t="str">
        <x:v>属于采集者；收到副本后才对接收方可用</x:v>
      </x:c>
      <x:c r="J179" s="30" t="str">
        <x:v>A006；A007；A009；A010；A018；A027；A036；A038；A039；A040；A041；A046；A050；A054；A060；A064；A065</x:v>
      </x:c>
      <x:c r="K179" s="30" t="str">
        <x:v>A006</x:v>
      </x:c>
      <x:c r="L179" s="30" t="n">
        <x:v>95</x:v>
      </x:c>
      <x:c r="M179" s="30" t="str">
        <x:v>S05；S06；S11；S19；S24；S25</x:v>
      </x:c>
      <x:c r="N179" s="30" t="str">
        <x:v>https://4amgodvzx.github.io/ESAR.github.io/
https://github.com/UnrealZoo/RescueBench
https://arxiv.org/abs/2309.09518
https://design.ros2.org/articles/actions.html</x:v>
      </x:c>
    </x:row>
    <x:row r="180" ht="120" customHeight="1">
      <x:c r="A180" s="30" t="str">
        <x:v>F176</x:v>
      </x:c>
      <x:c r="B180" s="30" t="str">
        <x:v>观测与证据记录</x:v>
      </x:c>
      <x:c r="C180" s="30" t="str">
        <x:v>observation.coverage_estimate</x:v>
      </x:c>
      <x:c r="D180" s="30" t="str">
        <x:v>观测覆盖估计</x:v>
      </x:c>
      <x:c r="E180" s="30" t="str">
        <x:v>认知</x:v>
      </x:c>
      <x:c r="F180" s="30" t="str">
        <x:v>record</x:v>
      </x:c>
      <x:c r="G180" s="30" t="str">
        <x:v>区域及已覆盖部分</x:v>
      </x:c>
      <x:c r="H180" s="30" t="str">
        <x:v>感知/算法作业</x:v>
      </x:c>
      <x:c r="I180" s="30" t="str">
        <x:v>属于采集者；收到副本后才对接收方可用</x:v>
      </x:c>
      <x:c r="J180" s="30" t="str">
        <x:v>A006；A007；A009；A010；A018；A027；A036；A038；A039；A040；A041；A046；A050；A054；A060；A064；A065</x:v>
      </x:c>
      <x:c r="K180" s="30" t="str">
        <x:v>初始化/配置或相应状态所有者；不是任意Agent写入</x:v>
      </x:c>
      <x:c r="L180" s="30" t="n">
        <x:v>95</x:v>
      </x:c>
      <x:c r="M180" s="30" t="str">
        <x:v>S05；S06；S11；S19；S24；S25</x:v>
      </x:c>
      <x:c r="N180" s="30" t="str">
        <x:v>https://4amgodvzx.github.io/ESAR.github.io/
https://github.com/UnrealZoo/RescueBench
https://arxiv.org/abs/2309.09518
https://design.ros2.org/articles/actions.html</x:v>
      </x:c>
    </x:row>
    <x:row r="181" ht="120" customHeight="1">
      <x:c r="A181" s="30" t="str">
        <x:v>F177</x:v>
      </x:c>
      <x:c r="B181" s="30" t="str">
        <x:v>观测与证据记录</x:v>
      </x:c>
      <x:c r="C181" s="30" t="str">
        <x:v>observation.processing_job_id</x:v>
      </x:c>
      <x:c r="D181" s="30" t="str">
        <x:v>生成结果的计算作业</x:v>
      </x:c>
      <x:c r="E181" s="30" t="str">
        <x:v>标识</x:v>
      </x:c>
      <x:c r="F181" s="30" t="str">
        <x:v>id</x:v>
      </x:c>
      <x:c r="G181" s="30" t="str">
        <x:v>null或作业ID</x:v>
      </x:c>
      <x:c r="H181" s="30" t="str">
        <x:v>感知/算法作业</x:v>
      </x:c>
      <x:c r="I181" s="30" t="str">
        <x:v>属于采集者；收到副本后才对接收方可用</x:v>
      </x:c>
      <x:c r="J181" s="30" t="str">
        <x:v>A006；A007；A009；A010；A018；A027；A036；A038；A039；A040；A041；A046；A050；A054；A060；A064；A065</x:v>
      </x:c>
      <x:c r="K181" s="30" t="str">
        <x:v>A007</x:v>
      </x:c>
      <x:c r="L181" s="30" t="n">
        <x:v>95</x:v>
      </x:c>
      <x:c r="M181" s="30" t="str">
        <x:v>S05；S06；S11；S19；S24；S25</x:v>
      </x:c>
      <x:c r="N181" s="30" t="str">
        <x:v>https://4amgodvzx.github.io/ESAR.github.io/
https://github.com/UnrealZoo/RescueBench
https://arxiv.org/abs/2309.09518
https://design.ros2.org/articles/actions.html</x:v>
      </x:c>
    </x:row>
    <x:row r="182" ht="120" customHeight="1">
      <x:c r="A182" s="30" t="str">
        <x:v>F178</x:v>
      </x:c>
      <x:c r="B182" s="30" t="str">
        <x:v>观测与证据记录</x:v>
      </x:c>
      <x:c r="C182" s="30" t="str">
        <x:v>observation.parent_evidence_ids</x:v>
      </x:c>
      <x:c r="D182" s="30" t="str">
        <x:v>证据链</x:v>
      </x:c>
      <x:c r="E182" s="30" t="str">
        <x:v>记录</x:v>
      </x:c>
      <x:c r="F182" s="30" t="str">
        <x:v>list[id]</x:v>
      </x:c>
      <x:c r="G182" s="30" t="str">
        <x:v>裁剪/融合/检索的上游证据</x:v>
      </x:c>
      <x:c r="H182" s="30" t="str">
        <x:v>感知/算法作业</x:v>
      </x:c>
      <x:c r="I182" s="30" t="str">
        <x:v>属于采集者；收到副本后才对接收方可用</x:v>
      </x:c>
      <x:c r="J182" s="30" t="str">
        <x:v>A006；A007；A009；A010；A018；A027；A036；A038；A039；A040；A041；A046；A050；A054；A060；A064；A065</x:v>
      </x:c>
      <x:c r="K182" s="30" t="str">
        <x:v>A038；A039</x:v>
      </x:c>
      <x:c r="L182" s="30" t="n">
        <x:v>95</x:v>
      </x:c>
      <x:c r="M182" s="30" t="str">
        <x:v>S05；S06；S11；S19；S24；S25</x:v>
      </x:c>
      <x:c r="N182" s="30" t="str">
        <x:v>https://4amgodvzx.github.io/ESAR.github.io/
https://github.com/UnrealZoo/RescueBench
https://arxiv.org/abs/2309.09518
https://design.ros2.org/articles/actions.html</x:v>
      </x:c>
    </x:row>
    <x:row r="183" ht="120" customHeight="1">
      <x:c r="A183" s="30" t="str">
        <x:v>F179</x:v>
      </x:c>
      <x:c r="B183" s="30" t="str">
        <x:v>观测与证据记录</x:v>
      </x:c>
      <x:c r="C183" s="30" t="str">
        <x:v>observation.valid_until_s</x:v>
      </x:c>
      <x:c r="D183" s="30" t="str">
        <x:v>证据有效期</x:v>
      </x:c>
      <x:c r="E183" s="30" t="str">
        <x:v>记录</x:v>
      </x:c>
      <x:c r="F183" s="30" t="str">
        <x:v>float</x:v>
      </x:c>
      <x:c r="G183" s="30" t="str">
        <x:v>null或时刻</x:v>
      </x:c>
      <x:c r="H183" s="30" t="str">
        <x:v>感知/算法作业</x:v>
      </x:c>
      <x:c r="I183" s="30" t="str">
        <x:v>属于采集者；收到副本后才对接收方可用</x:v>
      </x:c>
      <x:c r="J183" s="30" t="str">
        <x:v>A006；A007；A009；A010；A018；A027；A036；A038；A039；A040；A041；A046；A050；A054；A060；A064；A065</x:v>
      </x:c>
      <x:c r="K183" s="30" t="str">
        <x:v>初始化/配置或相应状态所有者；不是任意Agent写入</x:v>
      </x:c>
      <x:c r="L183" s="30" t="n">
        <x:v>95</x:v>
      </x:c>
      <x:c r="M183" s="30" t="str">
        <x:v>S05；S06；S11；S19；S24；S25</x:v>
      </x:c>
      <x:c r="N183" s="30" t="str">
        <x:v>https://4amgodvzx.github.io/ESAR.github.io/
https://github.com/UnrealZoo/RescueBench
https://arxiv.org/abs/2309.09518
https://design.ros2.org/articles/actions.html</x:v>
      </x:c>
    </x:row>
    <x:row r="184" ht="120" customHeight="1">
      <x:c r="A184" s="30" t="str">
        <x:v>F180</x:v>
      </x:c>
      <x:c r="B184" s="30" t="str">
        <x:v>观测与证据记录</x:v>
      </x:c>
      <x:c r="C184" s="30" t="str">
        <x:v>observation.mode</x:v>
      </x:c>
      <x:c r="D184" s="30" t="str">
        <x:v>证据真实性模式</x:v>
      </x:c>
      <x:c r="E184" s="30" t="str">
        <x:v>记录</x:v>
      </x:c>
      <x:c r="F184" s="30" t="str">
        <x:v>enum</x:v>
      </x:c>
      <x:c r="G184" s="30" t="str">
        <x:v>rendered_sensor/real_sensor/abstract_search/offline_replay/authored_stub</x:v>
      </x:c>
      <x:c r="H184" s="30" t="str">
        <x:v>感知/算法作业</x:v>
      </x:c>
      <x:c r="I184" s="30" t="str">
        <x:v>属于采集者；收到副本后才对接收方可用</x:v>
      </x:c>
      <x:c r="J184" s="30" t="str">
        <x:v>A006；A007；A009；A010；A018；A027；A036；A038；A039；A040；A041；A046；A050；A054；A060；A064；A065</x:v>
      </x:c>
      <x:c r="K184" s="30" t="str">
        <x:v>A008</x:v>
      </x:c>
      <x:c r="L184" s="30" t="n">
        <x:v>95</x:v>
      </x:c>
      <x:c r="M184" s="30" t="str">
        <x:v>S05；S06；S11；S19；S24；S25</x:v>
      </x:c>
      <x:c r="N184" s="30" t="str">
        <x:v>https://4amgodvzx.github.io/ESAR.github.io/
https://github.com/UnrealZoo/RescueBench
https://arxiv.org/abs/2309.09518
https://design.ros2.org/articles/actions.html</x:v>
      </x:c>
    </x:row>
    <x:row r="185" ht="120" customHeight="1">
      <x:c r="A185" s="30" t="str">
        <x:v>F181</x:v>
      </x:c>
      <x:c r="B185" s="30" t="str">
        <x:v>Agent认知与局部历史</x:v>
      </x:c>
      <x:c r="C185" s="30" t="str">
        <x:v>belief.agent_id</x:v>
      </x:c>
      <x:c r="D185" s="30" t="str">
        <x:v>认知持有者</x:v>
      </x:c>
      <x:c r="E185" s="30" t="str">
        <x:v>标识</x:v>
      </x:c>
      <x:c r="F185" s="30" t="str">
        <x:v>id</x:v>
      </x:c>
      <x:c r="G185" s="30" t="str">
        <x:v>本地Agent</x:v>
      </x:c>
      <x:c r="H185" s="30" t="str">
        <x:v>每个Agent独立管理</x:v>
      </x:c>
      <x:c r="I185" s="30" t="str">
        <x:v>仅本机与已授权发送的副本</x:v>
      </x:c>
      <x:c r="J185" s="30" t="str">
        <x:v>A007；A011；A038；A040；A041；A043；A050；A051；A052；A057；A066</x:v>
      </x:c>
      <x:c r="K185" s="30" t="str">
        <x:v>初始化/配置或相应状态所有者；不是任意Agent写入</x:v>
      </x:c>
      <x:c r="L185" s="30" t="n">
        <x:v>51</x:v>
      </x:c>
      <x:c r="M185" s="30" t="str">
        <x:v>S05；S06；S24；S25</x:v>
      </x:c>
      <x:c r="N185" s="30" t="str">
        <x:v>https://4amgodvzx.github.io/ESAR.github.io/
https://github.com/UnrealZoo/RescueBench</x:v>
      </x:c>
    </x:row>
    <x:row r="186" ht="120" customHeight="1">
      <x:c r="A186" s="30" t="str">
        <x:v>F182</x:v>
      </x:c>
      <x:c r="B186" s="30" t="str">
        <x:v>Agent认知与局部历史</x:v>
      </x:c>
      <x:c r="C186" s="30" t="str">
        <x:v>belief.entity_ref</x:v>
      </x:c>
      <x:c r="D186" s="30" t="str">
        <x:v>估计实体/轨迹ID</x:v>
      </x:c>
      <x:c r="E186" s="30" t="str">
        <x:v>认知</x:v>
      </x:c>
      <x:c r="F186" s="30" t="str">
        <x:v>id</x:v>
      </x:c>
      <x:c r="G186" s="30" t="str">
        <x:v>尚未关联世界ID可用local_track</x:v>
      </x:c>
      <x:c r="H186" s="30" t="str">
        <x:v>每个Agent独立管理</x:v>
      </x:c>
      <x:c r="I186" s="30" t="str">
        <x:v>仅本机与已授权发送的副本</x:v>
      </x:c>
      <x:c r="J186" s="30" t="str">
        <x:v>A007；A011；A038；A040；A041；A043；A050；A051；A052；A057；A066</x:v>
      </x:c>
      <x:c r="K186" s="30" t="str">
        <x:v>初始化/配置或相应状态所有者；不是任意Agent写入</x:v>
      </x:c>
      <x:c r="L186" s="30" t="n">
        <x:v>51</x:v>
      </x:c>
      <x:c r="M186" s="30" t="str">
        <x:v>S05；S06；S24；S25</x:v>
      </x:c>
      <x:c r="N186" s="30" t="str">
        <x:v>https://4amgodvzx.github.io/ESAR.github.io/
https://github.com/UnrealZoo/RescueBench</x:v>
      </x:c>
    </x:row>
    <x:row r="187" ht="120" customHeight="1">
      <x:c r="A187" s="30" t="str">
        <x:v>F183</x:v>
      </x:c>
      <x:c r="B187" s="30" t="str">
        <x:v>Agent认知与局部历史</x:v>
      </x:c>
      <x:c r="C187" s="30" t="str">
        <x:v>belief.estimated_damage</x:v>
      </x:c>
      <x:c r="D187" s="30" t="str">
        <x:v>灾损估计</x:v>
      </x:c>
      <x:c r="E187" s="30" t="str">
        <x:v>认知</x:v>
      </x:c>
      <x:c r="F187" s="30" t="str">
        <x:v>distribution</x:v>
      </x:c>
      <x:c r="G187" s="30" t="str">
        <x:v>none/minor/major/destroyed/unknown</x:v>
      </x:c>
      <x:c r="H187" s="30" t="str">
        <x:v>每个Agent独立管理</x:v>
      </x:c>
      <x:c r="I187" s="30" t="str">
        <x:v>仅本机与已授权发送的副本</x:v>
      </x:c>
      <x:c r="J187" s="30" t="str">
        <x:v>A007；A011；A038；A040；A041；A043；A050；A051；A052；A057；A066</x:v>
      </x:c>
      <x:c r="K187" s="30" t="str">
        <x:v>A040</x:v>
      </x:c>
      <x:c r="L187" s="30" t="n">
        <x:v>51</x:v>
      </x:c>
      <x:c r="M187" s="30" t="str">
        <x:v>S05；S06；S24；S25</x:v>
      </x:c>
      <x:c r="N187" s="30" t="str">
        <x:v>https://4amgodvzx.github.io/ESAR.github.io/
https://github.com/UnrealZoo/RescueBench</x:v>
      </x:c>
    </x:row>
    <x:row r="188" ht="120" customHeight="1">
      <x:c r="A188" s="30" t="str">
        <x:v>F184</x:v>
      </x:c>
      <x:c r="B188" s="30" t="str">
        <x:v>Agent认知与局部历史</x:v>
      </x:c>
      <x:c r="C188" s="30" t="str">
        <x:v>belief.human_presence</x:v>
      </x:c>
      <x:c r="D188" s="30" t="str">
        <x:v>人员存在判断</x:v>
      </x:c>
      <x:c r="E188" s="30" t="str">
        <x:v>认知</x:v>
      </x:c>
      <x:c r="F188" s="30" t="str">
        <x:v>distribution</x:v>
      </x:c>
      <x:c r="G188" s="30" t="str">
        <x:v>present/absent/uncertain/unknown</x:v>
      </x:c>
      <x:c r="H188" s="30" t="str">
        <x:v>每个Agent独立管理</x:v>
      </x:c>
      <x:c r="I188" s="30" t="str">
        <x:v>仅本机与已授权发送的副本</x:v>
      </x:c>
      <x:c r="J188" s="30" t="str">
        <x:v>A007；A011；A038；A040；A041；A043；A050；A051；A052；A057；A066</x:v>
      </x:c>
      <x:c r="K188" s="30" t="str">
        <x:v>A040</x:v>
      </x:c>
      <x:c r="L188" s="30" t="n">
        <x:v>51</x:v>
      </x:c>
      <x:c r="M188" s="30" t="str">
        <x:v>S05；S06；S24；S25</x:v>
      </x:c>
      <x:c r="N188" s="30" t="str">
        <x:v>https://4amgodvzx.github.io/ESAR.github.io/
https://github.com/UnrealZoo/RescueBench</x:v>
      </x:c>
    </x:row>
    <x:row r="189" ht="120" customHeight="1">
      <x:c r="A189" s="30" t="str">
        <x:v>F185</x:v>
      </x:c>
      <x:c r="B189" s="30" t="str">
        <x:v>Agent认知与局部历史</x:v>
      </x:c>
      <x:c r="C189" s="30" t="str">
        <x:v>belief.estimated_pose</x:v>
      </x:c>
      <x:c r="D189" s="30" t="str">
        <x:v>目标位置估计</x:v>
      </x:c>
      <x:c r="E189" s="30" t="str">
        <x:v>认知</x:v>
      </x:c>
      <x:c r="F189" s="30" t="str">
        <x:v>record</x:v>
      </x:c>
      <x:c r="G189" s="30" t="str">
        <x:v>坐标+协方差/区间</x:v>
      </x:c>
      <x:c r="H189" s="30" t="str">
        <x:v>每个Agent独立管理</x:v>
      </x:c>
      <x:c r="I189" s="30" t="str">
        <x:v>仅本机与已授权发送的副本</x:v>
      </x:c>
      <x:c r="J189" s="30" t="str">
        <x:v>A007；A011；A038；A040；A041；A043；A050；A051；A052；A057；A066</x:v>
      </x:c>
      <x:c r="K189" s="30" t="str">
        <x:v>A007；A040</x:v>
      </x:c>
      <x:c r="L189" s="30" t="n">
        <x:v>51</x:v>
      </x:c>
      <x:c r="M189" s="30" t="str">
        <x:v>S05；S06；S24；S25</x:v>
      </x:c>
      <x:c r="N189" s="30" t="str">
        <x:v>https://4amgodvzx.github.io/ESAR.github.io/
https://github.com/UnrealZoo/RescueBench</x:v>
      </x:c>
    </x:row>
    <x:row r="190" ht="120" customHeight="1">
      <x:c r="A190" s="30" t="str">
        <x:v>F186</x:v>
      </x:c>
      <x:c r="B190" s="30" t="str">
        <x:v>Agent认知与局部历史</x:v>
      </x:c>
      <x:c r="C190" s="30" t="str">
        <x:v>belief.estimated_access</x:v>
      </x:c>
      <x:c r="D190" s="30" t="str">
        <x:v>可达性估计</x:v>
      </x:c>
      <x:c r="E190" s="30" t="str">
        <x:v>认知</x:v>
      </x:c>
      <x:c r="F190" s="30" t="str">
        <x:v>record</x:v>
      </x:c>
      <x:c r="G190" s="30" t="str">
        <x:v>按平台估计+unknown</x:v>
      </x:c>
      <x:c r="H190" s="30" t="str">
        <x:v>每个Agent独立管理</x:v>
      </x:c>
      <x:c r="I190" s="30" t="str">
        <x:v>仅本机与已授权发送的副本</x:v>
      </x:c>
      <x:c r="J190" s="30" t="str">
        <x:v>A007；A011；A038；A040；A041；A043；A050；A051；A052；A057；A066</x:v>
      </x:c>
      <x:c r="K190" s="30" t="str">
        <x:v>A011</x:v>
      </x:c>
      <x:c r="L190" s="30" t="n">
        <x:v>51</x:v>
      </x:c>
      <x:c r="M190" s="30" t="str">
        <x:v>S05；S06；S24；S25</x:v>
      </x:c>
      <x:c r="N190" s="30" t="str">
        <x:v>https://4amgodvzx.github.io/ESAR.github.io/
https://github.com/UnrealZoo/RescueBench</x:v>
      </x:c>
    </x:row>
    <x:row r="191" ht="120" customHeight="1">
      <x:c r="A191" s="30" t="str">
        <x:v>F187</x:v>
      </x:c>
      <x:c r="B191" s="30" t="str">
        <x:v>Agent认知与局部历史</x:v>
      </x:c>
      <x:c r="C191" s="30" t="str">
        <x:v>belief.estimated_needs</x:v>
      </x:c>
      <x:c r="D191" s="30" t="str">
        <x:v>需求判断</x:v>
      </x:c>
      <x:c r="E191" s="30" t="str">
        <x:v>认知</x:v>
      </x:c>
      <x:c r="F191" s="30" t="str">
        <x:v>distribution</x:v>
      </x:c>
      <x:c r="G191" s="30" t="str">
        <x:v>需求集合及置信度</x:v>
      </x:c>
      <x:c r="H191" s="30" t="str">
        <x:v>每个Agent独立管理</x:v>
      </x:c>
      <x:c r="I191" s="30" t="str">
        <x:v>仅本机与已授权发送的副本</x:v>
      </x:c>
      <x:c r="J191" s="30" t="str">
        <x:v>A007；A011；A038；A040；A041；A043；A050；A051；A052；A057；A066</x:v>
      </x:c>
      <x:c r="K191" s="30" t="str">
        <x:v>初始化/配置或相应状态所有者；不是任意Agent写入</x:v>
      </x:c>
      <x:c r="L191" s="30" t="n">
        <x:v>51</x:v>
      </x:c>
      <x:c r="M191" s="30" t="str">
        <x:v>S05；S06；S24；S25</x:v>
      </x:c>
      <x:c r="N191" s="30" t="str">
        <x:v>https://4amgodvzx.github.io/ESAR.github.io/
https://github.com/UnrealZoo/RescueBench</x:v>
      </x:c>
    </x:row>
    <x:row r="192" ht="120" customHeight="1">
      <x:c r="A192" s="30" t="str">
        <x:v>F188</x:v>
      </x:c>
      <x:c r="B192" s="30" t="str">
        <x:v>Agent认知与局部历史</x:v>
      </x:c>
      <x:c r="C192" s="30" t="str">
        <x:v>belief.evidence_ids</x:v>
      </x:c>
      <x:c r="D192" s="30" t="str">
        <x:v>支持证据集合</x:v>
      </x:c>
      <x:c r="E192" s="30" t="str">
        <x:v>认知</x:v>
      </x:c>
      <x:c r="F192" s="30" t="str">
        <x:v>list[id]</x:v>
      </x:c>
      <x:c r="G192" s="30" t="str">
        <x:v>必须在本机可读</x:v>
      </x:c>
      <x:c r="H192" s="30" t="str">
        <x:v>每个Agent独立管理</x:v>
      </x:c>
      <x:c r="I192" s="30" t="str">
        <x:v>仅本机与已授权发送的副本</x:v>
      </x:c>
      <x:c r="J192" s="30" t="str">
        <x:v>A007；A011；A038；A040；A041；A043；A050；A051；A052；A057；A066</x:v>
      </x:c>
      <x:c r="K192" s="30" t="str">
        <x:v>A041</x:v>
      </x:c>
      <x:c r="L192" s="30" t="n">
        <x:v>51</x:v>
      </x:c>
      <x:c r="M192" s="30" t="str">
        <x:v>S05；S06；S24；S25</x:v>
      </x:c>
      <x:c r="N192" s="30" t="str">
        <x:v>https://4amgodvzx.github.io/ESAR.github.io/
https://github.com/UnrealZoo/RescueBench</x:v>
      </x:c>
    </x:row>
    <x:row r="193" ht="120" customHeight="1">
      <x:c r="A193" s="30" t="str">
        <x:v>F189</x:v>
      </x:c>
      <x:c r="B193" s="30" t="str">
        <x:v>Agent认知与局部历史</x:v>
      </x:c>
      <x:c r="C193" s="30" t="str">
        <x:v>belief.source_agent_ids</x:v>
      </x:c>
      <x:c r="D193" s="30" t="str">
        <x:v>信息来源</x:v>
      </x:c>
      <x:c r="E193" s="30" t="str">
        <x:v>认知</x:v>
      </x:c>
      <x:c r="F193" s="30" t="str">
        <x:v>list[id]</x:v>
      </x:c>
      <x:c r="G193" s="30" t="str">
        <x:v>本机/已收消息原观察者</x:v>
      </x:c>
      <x:c r="H193" s="30" t="str">
        <x:v>每个Agent独立管理</x:v>
      </x:c>
      <x:c r="I193" s="30" t="str">
        <x:v>仅本机与已授权发送的副本</x:v>
      </x:c>
      <x:c r="J193" s="30" t="str">
        <x:v>A007；A011；A038；A040；A041；A043；A050；A051；A052；A057；A066</x:v>
      </x:c>
      <x:c r="K193" s="30" t="str">
        <x:v>初始化/配置或相应状态所有者；不是任意Agent写入</x:v>
      </x:c>
      <x:c r="L193" s="30" t="n">
        <x:v>51</x:v>
      </x:c>
      <x:c r="M193" s="30" t="str">
        <x:v>S05；S06；S24；S25</x:v>
      </x:c>
      <x:c r="N193" s="30" t="str">
        <x:v>https://4amgodvzx.github.io/ESAR.github.io/
https://github.com/UnrealZoo/RescueBench</x:v>
      </x:c>
    </x:row>
    <x:row r="194" ht="120" customHeight="1">
      <x:c r="A194" s="30" t="str">
        <x:v>F190</x:v>
      </x:c>
      <x:c r="B194" s="30" t="str">
        <x:v>Agent认知与局部历史</x:v>
      </x:c>
      <x:c r="C194" s="30" t="str">
        <x:v>belief.updated_at_s</x:v>
      </x:c>
      <x:c r="D194" s="30" t="str">
        <x:v>更新时刻</x:v>
      </x:c>
      <x:c r="E194" s="30" t="str">
        <x:v>认知</x:v>
      </x:c>
      <x:c r="F194" s="30" t="str">
        <x:v>float</x:v>
      </x:c>
      <x:c r="G194" s="30" t="str">
        <x:v>仿真时间</x:v>
      </x:c>
      <x:c r="H194" s="30" t="str">
        <x:v>每个Agent独立管理</x:v>
      </x:c>
      <x:c r="I194" s="30" t="str">
        <x:v>仅本机与已授权发送的副本</x:v>
      </x:c>
      <x:c r="J194" s="30" t="str">
        <x:v>A007；A011；A038；A040；A041；A043；A050；A051；A052；A057；A066</x:v>
      </x:c>
      <x:c r="K194" s="30" t="str">
        <x:v>A041</x:v>
      </x:c>
      <x:c r="L194" s="30" t="n">
        <x:v>51</x:v>
      </x:c>
      <x:c r="M194" s="30" t="str">
        <x:v>S05；S06；S24；S25</x:v>
      </x:c>
      <x:c r="N194" s="30" t="str">
        <x:v>https://4amgodvzx.github.io/ESAR.github.io/
https://github.com/UnrealZoo/RescueBench</x:v>
      </x:c>
    </x:row>
    <x:row r="195" ht="120" customHeight="1">
      <x:c r="A195" s="30" t="str">
        <x:v>F191</x:v>
      </x:c>
      <x:c r="B195" s="30" t="str">
        <x:v>Agent认知与局部历史</x:v>
      </x:c>
      <x:c r="C195" s="30" t="str">
        <x:v>belief.staleness_s</x:v>
      </x:c>
      <x:c r="D195" s="30" t="str">
        <x:v>信息年龄</x:v>
      </x:c>
      <x:c r="E195" s="30" t="str">
        <x:v>派生</x:v>
      </x:c>
      <x:c r="F195" s="30" t="str">
        <x:v>float</x:v>
      </x:c>
      <x:c r="G195" s="30" t="str">
        <x:v>当前时间-采样时间</x:v>
      </x:c>
      <x:c r="H195" s="30" t="str">
        <x:v>每个Agent独立管理</x:v>
      </x:c>
      <x:c r="I195" s="30" t="str">
        <x:v>仅本机与已授权发送的副本</x:v>
      </x:c>
      <x:c r="J195" s="30" t="str">
        <x:v>A007；A011；A038；A040；A041；A043；A050；A051；A052；A057；A066</x:v>
      </x:c>
      <x:c r="K195" s="30" t="str">
        <x:v>初始化/配置或相应状态所有者；不是任意Agent写入</x:v>
      </x:c>
      <x:c r="L195" s="30" t="n">
        <x:v>51</x:v>
      </x:c>
      <x:c r="M195" s="30" t="str">
        <x:v>S05；S06；S24；S25</x:v>
      </x:c>
      <x:c r="N195" s="30" t="str">
        <x:v>https://4amgodvzx.github.io/ESAR.github.io/
https://github.com/UnrealZoo/RescueBench</x:v>
      </x:c>
    </x:row>
    <x:row r="196" ht="120" customHeight="1">
      <x:c r="A196" s="30" t="str">
        <x:v>F192</x:v>
      </x:c>
      <x:c r="B196" s="30" t="str">
        <x:v>Agent认知与局部历史</x:v>
      </x:c>
      <x:c r="C196" s="30" t="str">
        <x:v>belief.conflict_state</x:v>
      </x:c>
      <x:c r="D196" s="30" t="str">
        <x:v>证据冲突</x:v>
      </x:c>
      <x:c r="E196" s="30" t="str">
        <x:v>认知</x:v>
      </x:c>
      <x:c r="F196" s="30" t="str">
        <x:v>enum</x:v>
      </x:c>
      <x:c r="G196" s="30" t="str">
        <x:v>none/disputed/resolved/insufficient</x:v>
      </x:c>
      <x:c r="H196" s="30" t="str">
        <x:v>每个Agent独立管理</x:v>
      </x:c>
      <x:c r="I196" s="30" t="str">
        <x:v>仅本机与已授权发送的副本</x:v>
      </x:c>
      <x:c r="J196" s="30" t="str">
        <x:v>A007；A011；A038；A040；A041；A043；A050；A051；A052；A057；A066</x:v>
      </x:c>
      <x:c r="K196" s="30" t="str">
        <x:v>A040</x:v>
      </x:c>
      <x:c r="L196" s="30" t="n">
        <x:v>51</x:v>
      </x:c>
      <x:c r="M196" s="30" t="str">
        <x:v>S05；S06；S24；S25</x:v>
      </x:c>
      <x:c r="N196" s="30" t="str">
        <x:v>https://4amgodvzx.github.io/ESAR.github.io/
https://github.com/UnrealZoo/RescueBench</x:v>
      </x:c>
    </x:row>
    <x:row r="197" ht="120" customHeight="1">
      <x:c r="A197" s="30" t="str">
        <x:v>F193</x:v>
      </x:c>
      <x:c r="B197" s="30" t="str">
        <x:v>Agent认知与局部历史</x:v>
      </x:c>
      <x:c r="C197" s="30" t="str">
        <x:v>belief.team_estimates</x:v>
      </x:c>
      <x:c r="D197" s="30" t="str">
        <x:v>队友能力/资源/承诺估计</x:v>
      </x:c>
      <x:c r="E197" s="30" t="str">
        <x:v>认知</x:v>
      </x:c>
      <x:c r="F197" s="30" t="str">
        <x:v>map</x:v>
      </x:c>
      <x:c r="G197" s="30" t="str">
        <x:v>不是实时全局读取</x:v>
      </x:c>
      <x:c r="H197" s="30" t="str">
        <x:v>每个Agent独立管理</x:v>
      </x:c>
      <x:c r="I197" s="30" t="str">
        <x:v>仅本机与已授权发送的副本</x:v>
      </x:c>
      <x:c r="J197" s="30" t="str">
        <x:v>A007；A011；A038；A040；A041；A043；A050；A051；A052；A057；A066</x:v>
      </x:c>
      <x:c r="K197" s="30" t="str">
        <x:v>A041；A042</x:v>
      </x:c>
      <x:c r="L197" s="30" t="n">
        <x:v>51</x:v>
      </x:c>
      <x:c r="M197" s="30" t="str">
        <x:v>S05；S06；S24；S25</x:v>
      </x:c>
      <x:c r="N197" s="30" t="str">
        <x:v>https://4amgodvzx.github.io/ESAR.github.io/
https://github.com/UnrealZoo/RescueBench</x:v>
      </x:c>
    </x:row>
    <x:row r="198" ht="120" customHeight="1">
      <x:c r="A198" s="30" t="str">
        <x:v>F194</x:v>
      </x:c>
      <x:c r="B198" s="30" t="str">
        <x:v>Agent认知与局部历史</x:v>
      </x:c>
      <x:c r="C198" s="30" t="str">
        <x:v>belief.search_status</x:v>
      </x:c>
      <x:c r="D198" s="30" t="str">
        <x:v>本机搜索认知</x:v>
      </x:c>
      <x:c r="E198" s="30" t="str">
        <x:v>认知</x:v>
      </x:c>
      <x:c r="F198" s="30" t="str">
        <x:v>enum</x:v>
      </x:c>
      <x:c r="G198" s="30" t="str">
        <x:v>unknown/not_started/in_progress/partial/complete/inconclusive</x:v>
      </x:c>
      <x:c r="H198" s="30" t="str">
        <x:v>每个Agent独立管理</x:v>
      </x:c>
      <x:c r="I198" s="30" t="str">
        <x:v>仅本机与已授权发送的副本</x:v>
      </x:c>
      <x:c r="J198" s="30" t="str">
        <x:v>A007；A011；A038；A040；A041；A043；A050；A051；A052；A057；A066</x:v>
      </x:c>
      <x:c r="K198" s="30" t="str">
        <x:v>A041</x:v>
      </x:c>
      <x:c r="L198" s="30" t="n">
        <x:v>51</x:v>
      </x:c>
      <x:c r="M198" s="30" t="str">
        <x:v>S05；S06；S24；S25</x:v>
      </x:c>
      <x:c r="N198" s="30" t="str">
        <x:v>https://4amgodvzx.github.io/ESAR.github.io/
https://github.com/UnrealZoo/RescueBench</x:v>
      </x:c>
    </x:row>
    <x:row r="199" ht="120" customHeight="1">
      <x:c r="A199" s="30" t="str">
        <x:v>F195</x:v>
      </x:c>
      <x:c r="B199" s="30" t="str">
        <x:v>Agent认知与局部历史</x:v>
      </x:c>
      <x:c r="C199" s="30" t="str">
        <x:v>belief.current_goal_context</x:v>
      </x:c>
      <x:c r="D199" s="30" t="str">
        <x:v>当前任务相关上下文</x:v>
      </x:c>
      <x:c r="E199" s="30" t="str">
        <x:v>认知</x:v>
      </x:c>
      <x:c r="F199" s="30" t="str">
        <x:v>record</x:v>
      </x:c>
      <x:c r="G199" s="30" t="str">
        <x:v>本机已接收任务ID/版本/约束/上下文证据</x:v>
      </x:c>
      <x:c r="H199" s="30" t="str">
        <x:v>每个Agent独立管理</x:v>
      </x:c>
      <x:c r="I199" s="30" t="str">
        <x:v>仅本机与已授权发送的副本</x:v>
      </x:c>
      <x:c r="J199" s="30" t="str">
        <x:v>A007；A011；A038；A040；A041；A043；A050；A051；A052；A057；A066</x:v>
      </x:c>
      <x:c r="K199" s="30" t="str">
        <x:v>A041</x:v>
      </x:c>
      <x:c r="L199" s="30" t="n">
        <x:v>51</x:v>
      </x:c>
      <x:c r="M199" s="30" t="str">
        <x:v>S05；S06；S24；S25</x:v>
      </x:c>
      <x:c r="N199" s="30" t="str">
        <x:v>https://4amgodvzx.github.io/ESAR.github.io/
https://github.com/UnrealZoo/RescueBench</x:v>
      </x:c>
    </x:row>
    <x:row r="200" ht="120" customHeight="1">
      <x:c r="A200" s="30" t="str">
        <x:v>F196</x:v>
      </x:c>
      <x:c r="B200" s="30" t="str">
        <x:v>任务与承诺</x:v>
      </x:c>
      <x:c r="C200" s="30" t="str">
        <x:v>task.type</x:v>
      </x:c>
      <x:c r="D200" s="30" t="str">
        <x:v>任务类型</x:v>
      </x:c>
      <x:c r="E200" s="30" t="str">
        <x:v>配置</x:v>
      </x:c>
      <x:c r="F200" s="30" t="str">
        <x:v>id</x:v>
      </x:c>
      <x:c r="G200" s="30" t="str">
        <x:v>本目录T001–T096，非固定自动派生树</x:v>
      </x:c>
      <x:c r="H200" s="30" t="str">
        <x:v>Agent提出；任务执行管理提交</x:v>
      </x:c>
      <x:c r="I200" s="30" t="str">
        <x:v>本机和实际收件人；不共享隐含全局任务表</x:v>
      </x:c>
      <x:c r="J200" s="30" t="str">
        <x:v>A001；A002；A003；A004；A006；A008；A010；A012；A013；A022；A024；A027；A029；A037；A038；A041；A042；A043；A044；A047；A048；A050；A051；A052；A053；A054；A055；A056；A057；A058；A059；A060；A065；A066</x:v>
      </x:c>
      <x:c r="K200" s="30" t="str">
        <x:v>A050</x:v>
      </x:c>
      <x:c r="L200" s="30" t="n">
        <x:v>95</x:v>
      </x:c>
      <x:c r="M200" s="30" t="str">
        <x:v>S19；S24；S25</x:v>
      </x:c>
      <x:c r="N200" s="30" t="str">
        <x:v>https://design.ros2.org/articles/actions.html</x:v>
      </x:c>
    </x:row>
    <x:row r="201" ht="120" customHeight="1">
      <x:c r="A201" s="30" t="str">
        <x:v>F197</x:v>
      </x:c>
      <x:c r="B201" s="30" t="str">
        <x:v>任务与承诺</x:v>
      </x:c>
      <x:c r="C201" s="30" t="str">
        <x:v>task.creator_id</x:v>
      </x:c>
      <x:c r="D201" s="30" t="str">
        <x:v>创建者</x:v>
      </x:c>
      <x:c r="E201" s="30" t="str">
        <x:v>标识</x:v>
      </x:c>
      <x:c r="F201" s="30" t="str">
        <x:v>id</x:v>
      </x:c>
      <x:c r="G201" s="30" t="str">
        <x:v>发起Agent/用户授权目标</x:v>
      </x:c>
      <x:c r="H201" s="30" t="str">
        <x:v>Agent提出；任务执行管理提交</x:v>
      </x:c>
      <x:c r="I201" s="30" t="str">
        <x:v>本机和实际收件人；不共享隐含全局任务表</x:v>
      </x:c>
      <x:c r="J201" s="30" t="str">
        <x:v>A001；A002；A003；A004；A006；A008；A010；A012；A013；A022；A024；A027；A029；A037；A038；A041；A042；A043；A044；A047；A048；A050；A051；A052；A053；A054；A055；A056；A057；A058；A059；A060；A065；A066</x:v>
      </x:c>
      <x:c r="K201" s="30" t="str">
        <x:v>A050</x:v>
      </x:c>
      <x:c r="L201" s="30" t="n">
        <x:v>95</x:v>
      </x:c>
      <x:c r="M201" s="30" t="str">
        <x:v>S19；S24；S25</x:v>
      </x:c>
      <x:c r="N201" s="30" t="str">
        <x:v>https://design.ros2.org/articles/actions.html</x:v>
      </x:c>
    </x:row>
    <x:row r="202" ht="120" customHeight="1">
      <x:c r="A202" s="30" t="str">
        <x:v>F198</x:v>
      </x:c>
      <x:c r="B202" s="30" t="str">
        <x:v>任务与承诺</x:v>
      </x:c>
      <x:c r="C202" s="30" t="str">
        <x:v>task.target_ref</x:v>
      </x:c>
      <x:c r="D202" s="30" t="str">
        <x:v>目标引用</x:v>
      </x:c>
      <x:c r="E202" s="30" t="str">
        <x:v>状态</x:v>
      </x:c>
      <x:c r="F202" s="30" t="str">
        <x:v>id</x:v>
      </x:c>
      <x:c r="G202" s="30" t="str">
        <x:v>Agent已知建筑/区域/局部候选，不能引用未知人真值</x:v>
      </x:c>
      <x:c r="H202" s="30" t="str">
        <x:v>Agent提出；任务执行管理提交</x:v>
      </x:c>
      <x:c r="I202" s="30" t="str">
        <x:v>本机和实际收件人；不共享隐含全局任务表</x:v>
      </x:c>
      <x:c r="J202" s="30" t="str">
        <x:v>A001；A002；A003；A004；A006；A008；A010；A012；A013；A022；A024；A027；A029；A037；A038；A041；A042；A043；A044；A047；A048；A050；A051；A052；A053；A054；A055；A056；A057；A058；A059；A060；A065；A066</x:v>
      </x:c>
      <x:c r="K202" s="30" t="str">
        <x:v>初始化/配置或相应状态所有者；不是任意Agent写入</x:v>
      </x:c>
      <x:c r="L202" s="30" t="n">
        <x:v>95</x:v>
      </x:c>
      <x:c r="M202" s="30" t="str">
        <x:v>S19；S24；S25</x:v>
      </x:c>
      <x:c r="N202" s="30" t="str">
        <x:v>https://design.ros2.org/articles/actions.html</x:v>
      </x:c>
    </x:row>
    <x:row r="203" ht="120" customHeight="1">
      <x:c r="A203" s="30" t="str">
        <x:v>F199</x:v>
      </x:c>
      <x:c r="B203" s="30" t="str">
        <x:v>任务与承诺</x:v>
      </x:c>
      <x:c r="C203" s="30" t="str">
        <x:v>task.goal_predicate</x:v>
      </x:c>
      <x:c r="D203" s="30" t="str">
        <x:v>完成条件</x:v>
      </x:c>
      <x:c r="E203" s="30" t="str">
        <x:v>配置</x:v>
      </x:c>
      <x:c r="F203" s="30" t="str">
        <x:v>record</x:v>
      </x:c>
      <x:c r="G203" s="30" t="str">
        <x:v>可验证目标状态或结果，不写死规划路线</x:v>
      </x:c>
      <x:c r="H203" s="30" t="str">
        <x:v>Agent提出；任务执行管理提交</x:v>
      </x:c>
      <x:c r="I203" s="30" t="str">
        <x:v>本机和实际收件人；不共享隐含全局任务表</x:v>
      </x:c>
      <x:c r="J203" s="30" t="str">
        <x:v>A001；A002；A003；A004；A006；A008；A010；A012；A013；A022；A024；A027；A029；A037；A038；A041；A042；A043；A044；A047；A048；A050；A051；A052；A053；A054；A055；A056；A057；A058；A059；A060；A065；A066</x:v>
      </x:c>
      <x:c r="K203" s="30" t="str">
        <x:v>A050</x:v>
      </x:c>
      <x:c r="L203" s="30" t="n">
        <x:v>95</x:v>
      </x:c>
      <x:c r="M203" s="30" t="str">
        <x:v>S19；S24；S25</x:v>
      </x:c>
      <x:c r="N203" s="30" t="str">
        <x:v>https://design.ros2.org/articles/actions.html</x:v>
      </x:c>
    </x:row>
    <x:row r="204" ht="120" customHeight="1">
      <x:c r="A204" s="30" t="str">
        <x:v>F200</x:v>
      </x:c>
      <x:c r="B204" s="30" t="str">
        <x:v>任务与承诺</x:v>
      </x:c>
      <x:c r="C204" s="30" t="str">
        <x:v>task.revision</x:v>
      </x:c>
      <x:c r="D204" s="30" t="str">
        <x:v>任务版本</x:v>
      </x:c>
      <x:c r="E204" s="30" t="str">
        <x:v>状态</x:v>
      </x:c>
      <x:c r="F204" s="30" t="str">
        <x:v>int</x:v>
      </x:c>
      <x:c r="G204" s="30" t="str">
        <x:v>非负递增</x:v>
      </x:c>
      <x:c r="H204" s="30" t="str">
        <x:v>Agent提出；任务执行管理提交</x:v>
      </x:c>
      <x:c r="I204" s="30" t="str">
        <x:v>本机和实际收件人；不共享隐含全局任务表</x:v>
      </x:c>
      <x:c r="J204" s="30" t="str">
        <x:v>A001；A002；A003；A004；A006；A008；A010；A012；A013；A022；A024；A027；A029；A037；A038；A041；A042；A043；A044；A047；A048；A050；A051；A052；A053；A054；A055；A056；A057；A058；A059；A060；A065；A066</x:v>
      </x:c>
      <x:c r="K204" s="30" t="str">
        <x:v>A052；A058</x:v>
      </x:c>
      <x:c r="L204" s="30" t="n">
        <x:v>95</x:v>
      </x:c>
      <x:c r="M204" s="30" t="str">
        <x:v>S19；S24；S25</x:v>
      </x:c>
      <x:c r="N204" s="30" t="str">
        <x:v>https://design.ros2.org/articles/actions.html</x:v>
      </x:c>
    </x:row>
    <x:row r="205" ht="120" customHeight="1">
      <x:c r="A205" s="30" t="str">
        <x:v>F201</x:v>
      </x:c>
      <x:c r="B205" s="30" t="str">
        <x:v>任务与承诺</x:v>
      </x:c>
      <x:c r="C205" s="30" t="str">
        <x:v>task.status</x:v>
      </x:c>
      <x:c r="D205" s="30" t="str">
        <x:v>生命周期</x:v>
      </x:c>
      <x:c r="E205" s="30" t="str">
        <x:v>状态</x:v>
      </x:c>
      <x:c r="F205" s="30" t="str">
        <x:v>enum</x:v>
      </x:c>
      <x:c r="G205" s="30" t="str">
        <x:v>proposed/assigned/received/accepted/executing/blocked/suspended/completed/failed/canceled/expired</x:v>
      </x:c>
      <x:c r="H205" s="30" t="str">
        <x:v>Agent提出；任务执行管理提交</x:v>
      </x:c>
      <x:c r="I205" s="30" t="str">
        <x:v>本机和实际收件人；不共享隐含全局任务表</x:v>
      </x:c>
      <x:c r="J205" s="30" t="str">
        <x:v>A001；A002；A003；A004；A006；A008；A010；A012；A013；A022；A024；A027；A029；A037；A038；A041；A042；A043；A044；A047；A048；A050；A051；A052；A053；A054；A055；A056；A057；A058；A059；A060；A065；A066</x:v>
      </x:c>
      <x:c r="K205" s="30" t="str">
        <x:v>A050；A054；A056；A057；A059；A065</x:v>
      </x:c>
      <x:c r="L205" s="30" t="n">
        <x:v>95</x:v>
      </x:c>
      <x:c r="M205" s="30" t="str">
        <x:v>S19；S24；S25</x:v>
      </x:c>
      <x:c r="N205" s="30" t="str">
        <x:v>https://design.ros2.org/articles/actions.html</x:v>
      </x:c>
    </x:row>
    <x:row r="206" ht="120" customHeight="1">
      <x:c r="A206" s="30" t="str">
        <x:v>F202</x:v>
      </x:c>
      <x:c r="B206" s="30" t="str">
        <x:v>任务与承诺</x:v>
      </x:c>
      <x:c r="C206" s="30" t="str">
        <x:v>task.priority</x:v>
      </x:c>
      <x:c r="D206" s="30" t="str">
        <x:v>优先级</x:v>
      </x:c>
      <x:c r="E206" s="30" t="str">
        <x:v>状态</x:v>
      </x:c>
      <x:c r="F206" s="30" t="str">
        <x:v>float</x:v>
      </x:c>
      <x:c r="G206" s="30" t="str">
        <x:v>显式策略变量，不覆盖安全/能力限制</x:v>
      </x:c>
      <x:c r="H206" s="30" t="str">
        <x:v>Agent提出；任务执行管理提交</x:v>
      </x:c>
      <x:c r="I206" s="30" t="str">
        <x:v>本机和实际收件人；不共享隐含全局任务表</x:v>
      </x:c>
      <x:c r="J206" s="30" t="str">
        <x:v>A001；A002；A003；A004；A006；A008；A010；A012；A013；A022；A024；A027；A029；A037；A038；A041；A042；A043；A044；A047；A048；A050；A051；A052；A053；A054；A055；A056；A057；A058；A059；A060；A065；A066</x:v>
      </x:c>
      <x:c r="K206" s="30" t="str">
        <x:v>初始化/配置或相应状态所有者；不是任意Agent写入</x:v>
      </x:c>
      <x:c r="L206" s="30" t="n">
        <x:v>95</x:v>
      </x:c>
      <x:c r="M206" s="30" t="str">
        <x:v>S19；S24；S25</x:v>
      </x:c>
      <x:c r="N206" s="30" t="str">
        <x:v>https://design.ros2.org/articles/actions.html</x:v>
      </x:c>
    </x:row>
    <x:row r="207" ht="120" customHeight="1">
      <x:c r="A207" s="30" t="str">
        <x:v>F203</x:v>
      </x:c>
      <x:c r="B207" s="30" t="str">
        <x:v>任务与承诺</x:v>
      </x:c>
      <x:c r="C207" s="30" t="str">
        <x:v>task.deadline_s</x:v>
      </x:c>
      <x:c r="D207" s="30" t="str">
        <x:v>截止时刻</x:v>
      </x:c>
      <x:c r="E207" s="30" t="str">
        <x:v>配置</x:v>
      </x:c>
      <x:c r="F207" s="30" t="str">
        <x:v>float</x:v>
      </x:c>
      <x:c r="G207" s="30" t="str">
        <x:v>null或仿真时间</x:v>
      </x:c>
      <x:c r="H207" s="30" t="str">
        <x:v>Agent提出；任务执行管理提交</x:v>
      </x:c>
      <x:c r="I207" s="30" t="str">
        <x:v>本机和实际收件人；不共享隐含全局任务表</x:v>
      </x:c>
      <x:c r="J207" s="30" t="str">
        <x:v>A001；A002；A003；A004；A006；A008；A010；A012；A013；A022；A024；A027；A029；A037；A038；A041；A042；A043；A044；A047；A048；A050；A051；A052；A053；A054；A055；A056；A057；A058；A059；A060；A065；A066</x:v>
      </x:c>
      <x:c r="K207" s="30" t="str">
        <x:v>初始化/配置或相应状态所有者；不是任意Agent写入</x:v>
      </x:c>
      <x:c r="L207" s="30" t="n">
        <x:v>95</x:v>
      </x:c>
      <x:c r="M207" s="30" t="str">
        <x:v>S19；S24；S25</x:v>
      </x:c>
      <x:c r="N207" s="30" t="str">
        <x:v>https://design.ros2.org/articles/actions.html</x:v>
      </x:c>
    </x:row>
    <x:row r="208" ht="120" customHeight="1">
      <x:c r="A208" s="30" t="str">
        <x:v>F204</x:v>
      </x:c>
      <x:c r="B208" s="30" t="str">
        <x:v>任务与承诺</x:v>
      </x:c>
      <x:c r="C208" s="30" t="str">
        <x:v>task.dependency_ids</x:v>
      </x:c>
      <x:c r="D208" s="30" t="str">
        <x:v>当前计划依赖</x:v>
      </x:c>
      <x:c r="E208" s="30" t="str">
        <x:v>状态</x:v>
      </x:c>
      <x:c r="F208" s="30" t="str">
        <x:v>list[id]</x:v>
      </x:c>
      <x:c r="G208" s="30" t="str">
        <x:v>Agent规划可修改；环境不自动生成</x:v>
      </x:c>
      <x:c r="H208" s="30" t="str">
        <x:v>Agent提出；任务执行管理提交</x:v>
      </x:c>
      <x:c r="I208" s="30" t="str">
        <x:v>本机和实际收件人；不共享隐含全局任务表</x:v>
      </x:c>
      <x:c r="J208" s="30" t="str">
        <x:v>A001；A002；A003；A004；A006；A008；A010；A012；A013；A022；A024；A027；A029；A037；A038；A041；A042；A043；A044；A047；A048；A050；A051；A052；A053；A054；A055；A056；A057；A058；A059；A060；A065；A066</x:v>
      </x:c>
      <x:c r="K208" s="30" t="str">
        <x:v>A050</x:v>
      </x:c>
      <x:c r="L208" s="30" t="n">
        <x:v>95</x:v>
      </x:c>
      <x:c r="M208" s="30" t="str">
        <x:v>S19；S24；S25</x:v>
      </x:c>
      <x:c r="N208" s="30" t="str">
        <x:v>https://design.ros2.org/articles/actions.html</x:v>
      </x:c>
    </x:row>
    <x:row r="209" ht="120" customHeight="1">
      <x:c r="A209" s="30" t="str">
        <x:v>F205</x:v>
      </x:c>
      <x:c r="B209" s="30" t="str">
        <x:v>任务与承诺</x:v>
      </x:c>
      <x:c r="C209" s="30" t="str">
        <x:v>task.required_capability_ids</x:v>
      </x:c>
      <x:c r="D209" s="30" t="str">
        <x:v>所需能力</x:v>
      </x:c>
      <x:c r="E209" s="30" t="str">
        <x:v>配置</x:v>
      </x:c>
      <x:c r="F209" s="30" t="str">
        <x:v>set[id]</x:v>
      </x:c>
      <x:c r="G209" s="30" t="str">
        <x:v>由任务/所选方法绑定</x:v>
      </x:c>
      <x:c r="H209" s="30" t="str">
        <x:v>Agent提出；任务执行管理提交</x:v>
      </x:c>
      <x:c r="I209" s="30" t="str">
        <x:v>本机和实际收件人；不共享隐含全局任务表</x:v>
      </x:c>
      <x:c r="J209" s="30" t="str">
        <x:v>A001；A002；A003；A004；A006；A008；A010；A012；A013；A022；A024；A027；A029；A037；A038；A041；A042；A043；A044；A047；A048；A050；A051；A052；A053；A054；A055；A056；A057；A058；A059；A060；A065；A066</x:v>
      </x:c>
      <x:c r="K209" s="30" t="str">
        <x:v>初始化/配置或相应状态所有者；不是任意Agent写入</x:v>
      </x:c>
      <x:c r="L209" s="30" t="n">
        <x:v>95</x:v>
      </x:c>
      <x:c r="M209" s="30" t="str">
        <x:v>S19；S24；S25</x:v>
      </x:c>
      <x:c r="N209" s="30" t="str">
        <x:v>https://design.ros2.org/articles/actions.html</x:v>
      </x:c>
    </x:row>
    <x:row r="210" ht="120" customHeight="1">
      <x:c r="A210" s="30" t="str">
        <x:v>F206</x:v>
      </x:c>
      <x:c r="B210" s="30" t="str">
        <x:v>任务与承诺</x:v>
      </x:c>
      <x:c r="C210" s="30" t="str">
        <x:v>task.resource_budget</x:v>
      </x:c>
      <x:c r="D210" s="30" t="str">
        <x:v>资源预算</x:v>
      </x:c>
      <x:c r="E210" s="30" t="str">
        <x:v>配置</x:v>
      </x:c>
      <x:c r="F210" s="30" t="str">
        <x:v>record</x:v>
      </x:c>
      <x:c r="G210" s="30" t="str">
        <x:v>电量/字节/计算时间/货物/时限</x:v>
      </x:c>
      <x:c r="H210" s="30" t="str">
        <x:v>Agent提出；任务执行管理提交</x:v>
      </x:c>
      <x:c r="I210" s="30" t="str">
        <x:v>本机和实际收件人；不共享隐含全局任务表</x:v>
      </x:c>
      <x:c r="J210" s="30" t="str">
        <x:v>A001；A002；A003；A004；A006；A008；A010；A012；A013；A022；A024；A027；A029；A037；A038；A041；A042；A043；A044；A047；A048；A050；A051；A052；A053；A054；A055；A056；A057；A058；A059；A060；A065；A066</x:v>
      </x:c>
      <x:c r="K210" s="30" t="str">
        <x:v>初始化/配置或相应状态所有者；不是任意Agent写入</x:v>
      </x:c>
      <x:c r="L210" s="30" t="n">
        <x:v>95</x:v>
      </x:c>
      <x:c r="M210" s="30" t="str">
        <x:v>S19；S24；S25</x:v>
      </x:c>
      <x:c r="N210" s="30" t="str">
        <x:v>https://design.ros2.org/articles/actions.html</x:v>
      </x:c>
    </x:row>
    <x:row r="211" ht="120" customHeight="1">
      <x:c r="A211" s="30" t="str">
        <x:v>F207</x:v>
      </x:c>
      <x:c r="B211" s="30" t="str">
        <x:v>任务与承诺</x:v>
      </x:c>
      <x:c r="C211" s="30" t="str">
        <x:v>task.assigned_to</x:v>
      </x:c>
      <x:c r="D211" s="30" t="str">
        <x:v>已提交分配对象</x:v>
      </x:c>
      <x:c r="E211" s="30" t="str">
        <x:v>状态</x:v>
      </x:c>
      <x:c r="F211" s="30" t="str">
        <x:v>id</x:v>
      </x:c>
      <x:c r="G211" s="30" t="str">
        <x:v>null或Agent；不代表对方已收到</x:v>
      </x:c>
      <x:c r="H211" s="30" t="str">
        <x:v>Agent提出；任务执行管理提交</x:v>
      </x:c>
      <x:c r="I211" s="30" t="str">
        <x:v>本机和实际收件人；不共享隐含全局任务表</x:v>
      </x:c>
      <x:c r="J211" s="30" t="str">
        <x:v>A001；A002；A003；A004；A006；A008；A010；A012；A013；A022；A024；A027；A029；A037；A038；A041；A042；A043；A044；A047；A048；A050；A051；A052；A053；A054；A055；A056；A057；A058；A059；A060；A065；A066</x:v>
      </x:c>
      <x:c r="K211" s="30" t="str">
        <x:v>A052</x:v>
      </x:c>
      <x:c r="L211" s="30" t="n">
        <x:v>95</x:v>
      </x:c>
      <x:c r="M211" s="30" t="str">
        <x:v>S19；S24；S25</x:v>
      </x:c>
      <x:c r="N211" s="30" t="str">
        <x:v>https://design.ros2.org/articles/actions.html</x:v>
      </x:c>
    </x:row>
    <x:row r="212" ht="120" customHeight="1">
      <x:c r="A212" s="30" t="str">
        <x:v>F208</x:v>
      </x:c>
      <x:c r="B212" s="30" t="str">
        <x:v>任务与承诺</x:v>
      </x:c>
      <x:c r="C212" s="30" t="str">
        <x:v>task.accepted_by</x:v>
      </x:c>
      <x:c r="D212" s="30" t="str">
        <x:v>实际接受者</x:v>
      </x:c>
      <x:c r="E212" s="30" t="str">
        <x:v>状态</x:v>
      </x:c>
      <x:c r="F212" s="30" t="str">
        <x:v>id</x:v>
      </x:c>
      <x:c r="G212" s="30" t="str">
        <x:v>null或Agent回执</x:v>
      </x:c>
      <x:c r="H212" s="30" t="str">
        <x:v>Agent提出；任务执行管理提交</x:v>
      </x:c>
      <x:c r="I212" s="30" t="str">
        <x:v>本机和实际收件人；不共享隐含全局任务表</x:v>
      </x:c>
      <x:c r="J212" s="30" t="str">
        <x:v>A001；A002；A003；A004；A006；A008；A010；A012；A013；A022；A024；A027；A029；A037；A038；A041；A042；A043；A044；A047；A048；A050；A051；A052；A053；A054；A055；A056；A057；A058；A059；A060；A065；A066</x:v>
      </x:c>
      <x:c r="K212" s="30" t="str">
        <x:v>A053；A058</x:v>
      </x:c>
      <x:c r="L212" s="30" t="n">
        <x:v>95</x:v>
      </x:c>
      <x:c r="M212" s="30" t="str">
        <x:v>S19；S24；S25</x:v>
      </x:c>
      <x:c r="N212" s="30" t="str">
        <x:v>https://design.ros2.org/articles/actions.html</x:v>
      </x:c>
    </x:row>
    <x:row r="213" ht="120" customHeight="1">
      <x:c r="A213" s="30" t="str">
        <x:v>F209</x:v>
      </x:c>
      <x:c r="B213" s="30" t="str">
        <x:v>任务与承诺</x:v>
      </x:c>
      <x:c r="C213" s="30" t="str">
        <x:v>task.commitment_window</x:v>
      </x:c>
      <x:c r="D213" s="30" t="str">
        <x:v>承诺时间窗</x:v>
      </x:c>
      <x:c r="E213" s="30" t="str">
        <x:v>状态</x:v>
      </x:c>
      <x:c r="F213" s="30" t="str">
        <x:v>interval</x:v>
      </x:c>
      <x:c r="G213" s="30" t="str">
        <x:v>start/end/是否可抢占</x:v>
      </x:c>
      <x:c r="H213" s="30" t="str">
        <x:v>Agent提出；任务执行管理提交</x:v>
      </x:c>
      <x:c r="I213" s="30" t="str">
        <x:v>本机和实际收件人；不共享隐含全局任务表</x:v>
      </x:c>
      <x:c r="J213" s="30" t="str">
        <x:v>A001；A002；A003；A004；A006；A008；A010；A012；A013；A022；A024；A027；A029；A037；A038；A041；A042；A043；A044；A047；A048；A050；A051；A052；A053；A054；A055；A056；A057；A058；A059；A060；A065；A066</x:v>
      </x:c>
      <x:c r="K213" s="30" t="str">
        <x:v>A053</x:v>
      </x:c>
      <x:c r="L213" s="30" t="n">
        <x:v>95</x:v>
      </x:c>
      <x:c r="M213" s="30" t="str">
        <x:v>S19；S24；S25</x:v>
      </x:c>
      <x:c r="N213" s="30" t="str">
        <x:v>https://design.ros2.org/articles/actions.html</x:v>
      </x:c>
    </x:row>
    <x:row r="214" ht="120" customHeight="1">
      <x:c r="A214" s="30" t="str">
        <x:v>F210</x:v>
      </x:c>
      <x:c r="B214" s="30" t="str">
        <x:v>任务与承诺</x:v>
      </x:c>
      <x:c r="C214" s="30" t="str">
        <x:v>task.progress</x:v>
      </x:c>
      <x:c r="D214" s="30" t="str">
        <x:v>执行进度</x:v>
      </x:c>
      <x:c r="E214" s="30" t="str">
        <x:v>状态</x:v>
      </x:c>
      <x:c r="F214" s="30" t="str">
        <x:v>record</x:v>
      </x:c>
      <x:c r="G214" s="30" t="str">
        <x:v>子目标/已完成动作/实际反馈</x:v>
      </x:c>
      <x:c r="H214" s="30" t="str">
        <x:v>Agent提出；任务执行管理提交</x:v>
      </x:c>
      <x:c r="I214" s="30" t="str">
        <x:v>本机和实际收件人；不共享隐含全局任务表</x:v>
      </x:c>
      <x:c r="J214" s="30" t="str">
        <x:v>A001；A002；A003；A004；A006；A008；A010；A012；A013；A022；A024；A027；A029；A037；A038；A041；A042；A043；A044；A047；A048；A050；A051；A052；A053；A054；A055；A056；A057；A058；A059；A060；A065；A066</x:v>
      </x:c>
      <x:c r="K214" s="30" t="str">
        <x:v>A054</x:v>
      </x:c>
      <x:c r="L214" s="30" t="n">
        <x:v>95</x:v>
      </x:c>
      <x:c r="M214" s="30" t="str">
        <x:v>S19；S24；S25</x:v>
      </x:c>
      <x:c r="N214" s="30" t="str">
        <x:v>https://design.ros2.org/articles/actions.html</x:v>
      </x:c>
    </x:row>
    <x:row r="215" ht="120" customHeight="1">
      <x:c r="A215" s="30" t="str">
        <x:v>F211</x:v>
      </x:c>
      <x:c r="B215" s="30" t="str">
        <x:v>任务与承诺</x:v>
      </x:c>
      <x:c r="C215" s="30" t="str">
        <x:v>task.active_action_ids</x:v>
      </x:c>
      <x:c r="D215" s="30" t="str">
        <x:v>正在执行操作</x:v>
      </x:c>
      <x:c r="E215" s="30" t="str">
        <x:v>状态</x:v>
      </x:c>
      <x:c r="F215" s="30" t="str">
        <x:v>list[id]</x:v>
      </x:c>
      <x:c r="G215" s="30" t="str">
        <x:v>真实动作实例</x:v>
      </x:c>
      <x:c r="H215" s="30" t="str">
        <x:v>Agent提出；任务执行管理提交</x:v>
      </x:c>
      <x:c r="I215" s="30" t="str">
        <x:v>本机和实际收件人；不共享隐含全局任务表</x:v>
      </x:c>
      <x:c r="J215" s="30" t="str">
        <x:v>A001；A002；A003；A004；A006；A008；A010；A012；A013；A022；A024；A027；A029；A037；A038；A041；A042；A043；A044；A047；A048；A050；A051；A052；A053；A054；A055；A056；A057；A058；A059；A060；A065；A066</x:v>
      </x:c>
      <x:c r="K215" s="30" t="str">
        <x:v>A057</x:v>
      </x:c>
      <x:c r="L215" s="30" t="n">
        <x:v>95</x:v>
      </x:c>
      <x:c r="M215" s="30" t="str">
        <x:v>S19；S24；S25</x:v>
      </x:c>
      <x:c r="N215" s="30" t="str">
        <x:v>https://design.ros2.org/articles/actions.html</x:v>
      </x:c>
    </x:row>
    <x:row r="216" ht="120" customHeight="1">
      <x:c r="A216" s="30" t="str">
        <x:v>F212</x:v>
      </x:c>
      <x:c r="B216" s="30" t="str">
        <x:v>任务与承诺</x:v>
      </x:c>
      <x:c r="C216" s="30" t="str">
        <x:v>task.interruptibility</x:v>
      </x:c>
      <x:c r="D216" s="30" t="str">
        <x:v>可中断性</x:v>
      </x:c>
      <x:c r="E216" s="30" t="str">
        <x:v>配置</x:v>
      </x:c>
      <x:c r="F216" s="30" t="str">
        <x:v>enum</x:v>
      </x:c>
      <x:c r="G216" s="30" t="str">
        <x:v>preemptible/finish_current/non_interruptible</x:v>
      </x:c>
      <x:c r="H216" s="30" t="str">
        <x:v>Agent提出；任务执行管理提交</x:v>
      </x:c>
      <x:c r="I216" s="30" t="str">
        <x:v>本机和实际收件人；不共享隐含全局任务表</x:v>
      </x:c>
      <x:c r="J216" s="30" t="str">
        <x:v>A001；A002；A003；A004；A006；A008；A010；A012；A013；A022；A024；A027；A029；A037；A038；A041；A042；A043；A044；A047；A048；A050；A051；A052；A053；A054；A055；A056；A057；A058；A059；A060；A065；A066</x:v>
      </x:c>
      <x:c r="K216" s="30" t="str">
        <x:v>初始化/配置或相应状态所有者；不是任意Agent写入</x:v>
      </x:c>
      <x:c r="L216" s="30" t="n">
        <x:v>95</x:v>
      </x:c>
      <x:c r="M216" s="30" t="str">
        <x:v>S19；S24；S25</x:v>
      </x:c>
      <x:c r="N216" s="30" t="str">
        <x:v>https://design.ros2.org/articles/actions.html</x:v>
      </x:c>
    </x:row>
    <x:row r="217" ht="120" customHeight="1">
      <x:c r="A217" s="30" t="str">
        <x:v>F213</x:v>
      </x:c>
      <x:c r="B217" s="30" t="str">
        <x:v>任务与承诺</x:v>
      </x:c>
      <x:c r="C217" s="30" t="str">
        <x:v>task.original_task_id</x:v>
      </x:c>
      <x:c r="D217" s="30" t="str">
        <x:v>被临时替代的原任务</x:v>
      </x:c>
      <x:c r="E217" s="30" t="str">
        <x:v>状态</x:v>
      </x:c>
      <x:c r="F217" s="30" t="str">
        <x:v>id</x:v>
      </x:c>
      <x:c r="G217" s="30" t="str">
        <x:v>null或既有任务</x:v>
      </x:c>
      <x:c r="H217" s="30" t="str">
        <x:v>Agent提出；任务执行管理提交</x:v>
      </x:c>
      <x:c r="I217" s="30" t="str">
        <x:v>本机和实际收件人；不共享隐含全局任务表</x:v>
      </x:c>
      <x:c r="J217" s="30" t="str">
        <x:v>A001；A002；A003；A004；A006；A008；A010；A012；A013；A022；A024；A027；A029；A037；A038；A041；A042；A043；A044；A047；A048；A050；A051；A052；A053；A054；A055；A056；A057；A058；A059；A060；A065；A066</x:v>
      </x:c>
      <x:c r="K217" s="30" t="str">
        <x:v>A056</x:v>
      </x:c>
      <x:c r="L217" s="30" t="n">
        <x:v>95</x:v>
      </x:c>
      <x:c r="M217" s="30" t="str">
        <x:v>S19；S24；S25</x:v>
      </x:c>
      <x:c r="N217" s="30" t="str">
        <x:v>https://design.ros2.org/articles/actions.html</x:v>
      </x:c>
    </x:row>
    <x:row r="218" ht="120" customHeight="1">
      <x:c r="A218" s="30" t="str">
        <x:v>F214</x:v>
      </x:c>
      <x:c r="B218" s="30" t="str">
        <x:v>任务与承诺</x:v>
      </x:c>
      <x:c r="C218" s="30" t="str">
        <x:v>task.resume_checkpoint</x:v>
      </x:c>
      <x:c r="D218" s="30" t="str">
        <x:v>恢复位置/进度</x:v>
      </x:c>
      <x:c r="E218" s="30" t="str">
        <x:v>状态</x:v>
      </x:c>
      <x:c r="F218" s="30" t="str">
        <x:v>record</x:v>
      </x:c>
      <x:c r="G218" s="30" t="str">
        <x:v>null或检查点</x:v>
      </x:c>
      <x:c r="H218" s="30" t="str">
        <x:v>Agent提出；任务执行管理提交</x:v>
      </x:c>
      <x:c r="I218" s="30" t="str">
        <x:v>本机和实际收件人；不共享隐含全局任务表</x:v>
      </x:c>
      <x:c r="J218" s="30" t="str">
        <x:v>A001；A002；A003；A004；A006；A008；A010；A012；A013；A022；A024；A027；A029；A037；A038；A041；A042；A043；A044；A047；A048；A050；A051；A052；A053；A054；A055；A056；A057；A058；A059；A060；A065；A066</x:v>
      </x:c>
      <x:c r="K218" s="30" t="str">
        <x:v>A056</x:v>
      </x:c>
      <x:c r="L218" s="30" t="n">
        <x:v>95</x:v>
      </x:c>
      <x:c r="M218" s="30" t="str">
        <x:v>S19；S24；S25</x:v>
      </x:c>
      <x:c r="N218" s="30" t="str">
        <x:v>https://design.ros2.org/articles/actions.html</x:v>
      </x:c>
    </x:row>
    <x:row r="219" ht="120" customHeight="1">
      <x:c r="A219" s="30" t="str">
        <x:v>F215</x:v>
      </x:c>
      <x:c r="B219" s="30" t="str">
        <x:v>任务与承诺</x:v>
      </x:c>
      <x:c r="C219" s="30" t="str">
        <x:v>task.handoff_target_id</x:v>
      </x:c>
      <x:c r="D219" s="30" t="str">
        <x:v>待交接对象</x:v>
      </x:c>
      <x:c r="E219" s="30" t="str">
        <x:v>状态</x:v>
      </x:c>
      <x:c r="F219" s="30" t="str">
        <x:v>id</x:v>
      </x:c>
      <x:c r="G219" s="30" t="str">
        <x:v>null或Agent</x:v>
      </x:c>
      <x:c r="H219" s="30" t="str">
        <x:v>Agent提出；任务执行管理提交</x:v>
      </x:c>
      <x:c r="I219" s="30" t="str">
        <x:v>本机和实际收件人；不共享隐含全局任务表</x:v>
      </x:c>
      <x:c r="J219" s="30" t="str">
        <x:v>A001；A002；A003；A004；A006；A008；A010；A012；A013；A022；A024；A027；A029；A037；A038；A041；A042；A043；A044；A047；A048；A050；A051；A052；A053；A054；A055；A056；A057；A058；A059；A060；A065；A066</x:v>
      </x:c>
      <x:c r="K219" s="30" t="str">
        <x:v>A058</x:v>
      </x:c>
      <x:c r="L219" s="30" t="n">
        <x:v>95</x:v>
      </x:c>
      <x:c r="M219" s="30" t="str">
        <x:v>S19；S24；S25</x:v>
      </x:c>
      <x:c r="N219" s="30" t="str">
        <x:v>https://design.ros2.org/articles/actions.html</x:v>
      </x:c>
    </x:row>
    <x:row r="220" ht="120" customHeight="1">
      <x:c r="A220" s="30" t="str">
        <x:v>F216</x:v>
      </x:c>
      <x:c r="B220" s="30" t="str">
        <x:v>任务与承诺</x:v>
      </x:c>
      <x:c r="C220" s="30" t="str">
        <x:v>task.result_evidence_ids</x:v>
      </x:c>
      <x:c r="D220" s="30" t="str">
        <x:v>完成证据</x:v>
      </x:c>
      <x:c r="E220" s="30" t="str">
        <x:v>状态</x:v>
      </x:c>
      <x:c r="F220" s="30" t="str">
        <x:v>list[id]</x:v>
      </x:c>
      <x:c r="G220" s="30" t="str">
        <x:v>动作回执/图像/送达/签收</x:v>
      </x:c>
      <x:c r="H220" s="30" t="str">
        <x:v>Agent提出；任务执行管理提交</x:v>
      </x:c>
      <x:c r="I220" s="30" t="str">
        <x:v>本机和实际收件人；不共享隐含全局任务表</x:v>
      </x:c>
      <x:c r="J220" s="30" t="str">
        <x:v>A001；A002；A003；A004；A006；A008；A010；A012；A013；A022；A024；A027；A029；A037；A038；A041；A042；A043；A044；A047；A048；A050；A051；A052；A053；A054；A055；A056；A057；A058；A059；A060；A065；A066</x:v>
      </x:c>
      <x:c r="K220" s="30" t="str">
        <x:v>A054；A059</x:v>
      </x:c>
      <x:c r="L220" s="30" t="n">
        <x:v>95</x:v>
      </x:c>
      <x:c r="M220" s="30" t="str">
        <x:v>S19；S24；S25</x:v>
      </x:c>
      <x:c r="N220" s="30" t="str">
        <x:v>https://design.ros2.org/articles/actions.html</x:v>
      </x:c>
    </x:row>
    <x:row r="221" ht="120" customHeight="1">
      <x:c r="A221" s="30" t="str">
        <x:v>F217</x:v>
      </x:c>
      <x:c r="B221" s="30" t="str">
        <x:v>任务与承诺</x:v>
      </x:c>
      <x:c r="C221" s="30" t="str">
        <x:v>task.failure_reason</x:v>
      </x:c>
      <x:c r="D221" s="30" t="str">
        <x:v>失败或阻塞原因</x:v>
      </x:c>
      <x:c r="E221" s="30" t="str">
        <x:v>状态</x:v>
      </x:c>
      <x:c r="F221" s="30" t="str">
        <x:v>enum</x:v>
      </x:c>
      <x:c r="G221" s="30" t="str">
        <x:v>none/capability/resource/access/network/compute/hazard/stale/canceled/deadline</x:v>
      </x:c>
      <x:c r="H221" s="30" t="str">
        <x:v>Agent提出；任务执行管理提交</x:v>
      </x:c>
      <x:c r="I221" s="30" t="str">
        <x:v>本机和实际收件人；不共享隐含全局任务表</x:v>
      </x:c>
      <x:c r="J221" s="30" t="str">
        <x:v>A001；A002；A003；A004；A006；A008；A010；A012；A013；A022；A024；A027；A029；A037；A038；A041；A042；A043；A044；A047；A048；A050；A051；A052；A053；A054；A055；A056；A057；A058；A059；A060；A065；A066</x:v>
      </x:c>
      <x:c r="K221" s="30" t="str">
        <x:v>A054</x:v>
      </x:c>
      <x:c r="L221" s="30" t="n">
        <x:v>95</x:v>
      </x:c>
      <x:c r="M221" s="30" t="str">
        <x:v>S19；S24；S25</x:v>
      </x:c>
      <x:c r="N221" s="30" t="str">
        <x:v>https://design.ros2.org/articles/actions.html</x:v>
      </x:c>
    </x:row>
    <x:row r="222" ht="120" customHeight="1">
      <x:c r="A222" s="30" t="str">
        <x:v>F218</x:v>
      </x:c>
      <x:c r="B222" s="30" t="str">
        <x:v>任务与承诺</x:v>
      </x:c>
      <x:c r="C222" s="30" t="str">
        <x:v>task.last_event_s</x:v>
      </x:c>
      <x:c r="D222" s="30" t="str">
        <x:v>最近状态事件</x:v>
      </x:c>
      <x:c r="E222" s="30" t="str">
        <x:v>状态</x:v>
      </x:c>
      <x:c r="F222" s="30" t="str">
        <x:v>float</x:v>
      </x:c>
      <x:c r="G222" s="30" t="str">
        <x:v>仿真时刻</x:v>
      </x:c>
      <x:c r="H222" s="30" t="str">
        <x:v>Agent提出；任务执行管理提交</x:v>
      </x:c>
      <x:c r="I222" s="30" t="str">
        <x:v>本机和实际收件人；不共享隐含全局任务表</x:v>
      </x:c>
      <x:c r="J222" s="30" t="str">
        <x:v>A001；A002；A003；A004；A006；A008；A010；A012；A013；A022；A024；A027；A029；A037；A038；A041；A042；A043；A044；A047；A048；A050；A051；A052；A053；A054；A055；A056；A057；A058；A059；A060；A065；A066</x:v>
      </x:c>
      <x:c r="K222" s="30" t="str">
        <x:v>初始化/配置或相应状态所有者；不是任意Agent写入</x:v>
      </x:c>
      <x:c r="L222" s="30" t="n">
        <x:v>95</x:v>
      </x:c>
      <x:c r="M222" s="30" t="str">
        <x:v>S19；S24；S25</x:v>
      </x:c>
      <x:c r="N222" s="30" t="str">
        <x:v>https://design.ros2.org/articles/actions.html</x:v>
      </x:c>
    </x:row>
    <x:row r="223" ht="120" customHeight="1">
      <x:c r="A223" s="30" t="str">
        <x:v>F219</x:v>
      </x:c>
      <x:c r="B223" s="30" t="str">
        <x:v>任务与承诺</x:v>
      </x:c>
      <x:c r="C223" s="30" t="str">
        <x:v>task.opportunity_cost</x:v>
      </x:c>
      <x:c r="D223" s="30" t="str">
        <x:v>原承诺机会成本估计</x:v>
      </x:c>
      <x:c r="E223" s="30" t="str">
        <x:v>认知</x:v>
      </x:c>
      <x:c r="F223" s="30" t="str">
        <x:v>record</x:v>
      </x:c>
      <x:c r="G223" s="30" t="str">
        <x:v>原任务延迟/失约估计，非固定常数</x:v>
      </x:c>
      <x:c r="H223" s="30" t="str">
        <x:v>Agent提出；任务执行管理提交</x:v>
      </x:c>
      <x:c r="I223" s="30" t="str">
        <x:v>本机和实际收件人；不共享隐含全局任务表</x:v>
      </x:c>
      <x:c r="J223" s="30" t="str">
        <x:v>A001；A002；A003；A004；A006；A008；A010；A012；A013；A022；A024；A027；A029；A037；A038；A041；A042；A043；A044；A047；A048；A050；A051；A052；A053；A054；A055；A056；A057；A058；A059；A060；A065；A066</x:v>
      </x:c>
      <x:c r="K223" s="30" t="str">
        <x:v>初始化/配置或相应状态所有者；不是任意Agent写入</x:v>
      </x:c>
      <x:c r="L223" s="30" t="n">
        <x:v>95</x:v>
      </x:c>
      <x:c r="M223" s="30" t="str">
        <x:v>S19；S24；S25</x:v>
      </x:c>
      <x:c r="N223" s="30" t="str">
        <x:v>https://design.ros2.org/articles/actions.html</x:v>
      </x:c>
    </x:row>
    <x:row r="224" ht="120" customHeight="1">
      <x:c r="A224" s="30" t="str">
        <x:v>F220</x:v>
      </x:c>
      <x:c r="B224" s="30" t="str">
        <x:v>分配消息与协商</x:v>
      </x:c>
      <x:c r="C224" s="30" t="str">
        <x:v>assignment.task_ref</x:v>
      </x:c>
      <x:c r="D224" s="30" t="str">
        <x:v>任务及版本</x:v>
      </x:c>
      <x:c r="E224" s="30" t="str">
        <x:v>标识</x:v>
      </x:c>
      <x:c r="F224" s="30" t="str">
        <x:v>record</x:v>
      </x:c>
      <x:c r="G224" s="30" t="str">
        <x:v>task_id/revision</x:v>
      </x:c>
      <x:c r="H224" s="30" t="str">
        <x:v>协作消息/接受者</x:v>
      </x:c>
      <x:c r="I224" s="30" t="str">
        <x:v>每个参与方仅持有自身进展</x:v>
      </x:c>
      <x:c r="J224" s="30" t="str">
        <x:v>A036；A037；A051；A052；A053；A054；A056；A058；A059；A065</x:v>
      </x:c>
      <x:c r="K224" s="30" t="str">
        <x:v>A052</x:v>
      </x:c>
      <x:c r="L224" s="30" t="n">
        <x:v>75</x:v>
      </x:c>
      <x:c r="M224" s="30" t="str">
        <x:v>S19；S24；S25</x:v>
      </x:c>
      <x:c r="N224" s="30" t="str">
        <x:v>https://design.ros2.org/articles/actions.html</x:v>
      </x:c>
    </x:row>
    <x:row r="225" ht="120" customHeight="1">
      <x:c r="A225" s="30" t="str">
        <x:v>F221</x:v>
      </x:c>
      <x:c r="B225" s="30" t="str">
        <x:v>分配消息与协商</x:v>
      </x:c>
      <x:c r="C225" s="30" t="str">
        <x:v>assignment.sender_id</x:v>
      </x:c>
      <x:c r="D225" s="30" t="str">
        <x:v>分配/提议发起者</x:v>
      </x:c>
      <x:c r="E225" s="30" t="str">
        <x:v>标识</x:v>
      </x:c>
      <x:c r="F225" s="30" t="str">
        <x:v>id</x:v>
      </x:c>
      <x:c r="G225" s="30" t="str">
        <x:v>Agent</x:v>
      </x:c>
      <x:c r="H225" s="30" t="str">
        <x:v>协作消息/接受者</x:v>
      </x:c>
      <x:c r="I225" s="30" t="str">
        <x:v>每个参与方仅持有自身进展</x:v>
      </x:c>
      <x:c r="J225" s="30" t="str">
        <x:v>A036；A037；A051；A052；A053；A054；A056；A058；A059；A065</x:v>
      </x:c>
      <x:c r="K225" s="30" t="str">
        <x:v>初始化/配置或相应状态所有者；不是任意Agent写入</x:v>
      </x:c>
      <x:c r="L225" s="30" t="n">
        <x:v>75</x:v>
      </x:c>
      <x:c r="M225" s="30" t="str">
        <x:v>S19；S24；S25</x:v>
      </x:c>
      <x:c r="N225" s="30" t="str">
        <x:v>https://design.ros2.org/articles/actions.html</x:v>
      </x:c>
    </x:row>
    <x:row r="226" ht="120" customHeight="1">
      <x:c r="A226" s="30" t="str">
        <x:v>F222</x:v>
      </x:c>
      <x:c r="B226" s="30" t="str">
        <x:v>分配消息与协商</x:v>
      </x:c>
      <x:c r="C226" s="30" t="str">
        <x:v>assignment.receiver_id</x:v>
      </x:c>
      <x:c r="D226" s="30" t="str">
        <x:v>接收候选</x:v>
      </x:c>
      <x:c r="E226" s="30" t="str">
        <x:v>标识</x:v>
      </x:c>
      <x:c r="F226" s="30" t="str">
        <x:v>id</x:v>
      </x:c>
      <x:c r="G226" s="30" t="str">
        <x:v>Agent</x:v>
      </x:c>
      <x:c r="H226" s="30" t="str">
        <x:v>协作消息/接受者</x:v>
      </x:c>
      <x:c r="I226" s="30" t="str">
        <x:v>每个参与方仅持有自身进展</x:v>
      </x:c>
      <x:c r="J226" s="30" t="str">
        <x:v>A036；A037；A051；A052；A053；A054；A056；A058；A059；A065</x:v>
      </x:c>
      <x:c r="K226" s="30" t="str">
        <x:v>初始化/配置或相应状态所有者；不是任意Agent写入</x:v>
      </x:c>
      <x:c r="L226" s="30" t="n">
        <x:v>75</x:v>
      </x:c>
      <x:c r="M226" s="30" t="str">
        <x:v>S19；S24；S25</x:v>
      </x:c>
      <x:c r="N226" s="30" t="str">
        <x:v>https://design.ros2.org/articles/actions.html</x:v>
      </x:c>
    </x:row>
    <x:row r="227" ht="120" customHeight="1">
      <x:c r="A227" s="30" t="str">
        <x:v>F223</x:v>
      </x:c>
      <x:c r="B227" s="30" t="str">
        <x:v>分配消息与协商</x:v>
      </x:c>
      <x:c r="C227" s="30" t="str">
        <x:v>assignment.bid</x:v>
      </x:c>
      <x:c r="D227" s="30" t="str">
        <x:v>参与建议</x:v>
      </x:c>
      <x:c r="E227" s="30" t="str">
        <x:v>认知</x:v>
      </x:c>
      <x:c r="F227" s="30" t="str">
        <x:v>record</x:v>
      </x:c>
      <x:c r="G227" s="30" t="str">
        <x:v>角色/可用时间/成本/依据</x:v>
      </x:c>
      <x:c r="H227" s="30" t="str">
        <x:v>协作消息/接受者</x:v>
      </x:c>
      <x:c r="I227" s="30" t="str">
        <x:v>每个参与方仅持有自身进展</x:v>
      </x:c>
      <x:c r="J227" s="30" t="str">
        <x:v>A036；A037；A051；A052；A053；A054；A056；A058；A059；A065</x:v>
      </x:c>
      <x:c r="K227" s="30" t="str">
        <x:v>A051</x:v>
      </x:c>
      <x:c r="L227" s="30" t="n">
        <x:v>75</x:v>
      </x:c>
      <x:c r="M227" s="30" t="str">
        <x:v>S19；S24；S25</x:v>
      </x:c>
      <x:c r="N227" s="30" t="str">
        <x:v>https://design.ros2.org/articles/actions.html</x:v>
      </x:c>
    </x:row>
    <x:row r="228" ht="120" customHeight="1">
      <x:c r="A228" s="30" t="str">
        <x:v>F224</x:v>
      </x:c>
      <x:c r="B228" s="30" t="str">
        <x:v>分配消息与协商</x:v>
      </x:c>
      <x:c r="C228" s="30" t="str">
        <x:v>assignment.message_id</x:v>
      </x:c>
      <x:c r="D228" s="30" t="str">
        <x:v>实际传输消息</x:v>
      </x:c>
      <x:c r="E228" s="30" t="str">
        <x:v>状态</x:v>
      </x:c>
      <x:c r="F228" s="30" t="str">
        <x:v>id</x:v>
      </x:c>
      <x:c r="G228" s="30" t="str">
        <x:v>ns-3应用消息</x:v>
      </x:c>
      <x:c r="H228" s="30" t="str">
        <x:v>协作消息/接受者</x:v>
      </x:c>
      <x:c r="I228" s="30" t="str">
        <x:v>每个参与方仅持有自身进展</x:v>
      </x:c>
      <x:c r="J228" s="30" t="str">
        <x:v>A036；A037；A051；A052；A053；A054；A056；A058；A059；A065</x:v>
      </x:c>
      <x:c r="K228" s="30" t="str">
        <x:v>初始化/配置或相应状态所有者；不是任意Agent写入</x:v>
      </x:c>
      <x:c r="L228" s="30" t="n">
        <x:v>75</x:v>
      </x:c>
      <x:c r="M228" s="30" t="str">
        <x:v>S19；S24；S25</x:v>
      </x:c>
      <x:c r="N228" s="30" t="str">
        <x:v>https://design.ros2.org/articles/actions.html</x:v>
      </x:c>
    </x:row>
    <x:row r="229" ht="120" customHeight="1">
      <x:c r="A229" s="30" t="str">
        <x:v>F225</x:v>
      </x:c>
      <x:c r="B229" s="30" t="str">
        <x:v>分配消息与协商</x:v>
      </x:c>
      <x:c r="C229" s="30" t="str">
        <x:v>assignment.delivery_state</x:v>
      </x:c>
      <x:c r="D229" s="30" t="str">
        <x:v>投递状态</x:v>
      </x:c>
      <x:c r="E229" s="30" t="str">
        <x:v>状态</x:v>
      </x:c>
      <x:c r="F229" s="30" t="str">
        <x:v>enum</x:v>
      </x:c>
      <x:c r="G229" s="30" t="str">
        <x:v>not_sent/queued/sending/delivered/failed</x:v>
      </x:c>
      <x:c r="H229" s="30" t="str">
        <x:v>协作消息/接受者</x:v>
      </x:c>
      <x:c r="I229" s="30" t="str">
        <x:v>每个参与方仅持有自身进展</x:v>
      </x:c>
      <x:c r="J229" s="30" t="str">
        <x:v>A036；A037；A051；A052；A053；A054；A056；A058；A059；A065</x:v>
      </x:c>
      <x:c r="K229" s="30" t="str">
        <x:v>A037；A065</x:v>
      </x:c>
      <x:c r="L229" s="30" t="n">
        <x:v>75</x:v>
      </x:c>
      <x:c r="M229" s="30" t="str">
        <x:v>S19；S24；S25</x:v>
      </x:c>
      <x:c r="N229" s="30" t="str">
        <x:v>https://design.ros2.org/articles/actions.html</x:v>
      </x:c>
    </x:row>
    <x:row r="230" ht="120" customHeight="1">
      <x:c r="A230" s="30" t="str">
        <x:v>F226</x:v>
      </x:c>
      <x:c r="B230" s="30" t="str">
        <x:v>分配消息与协商</x:v>
      </x:c>
      <x:c r="C230" s="30" t="str">
        <x:v>assignment.decision</x:v>
      </x:c>
      <x:c r="D230" s="30" t="str">
        <x:v>对方决定</x:v>
      </x:c>
      <x:c r="E230" s="30" t="str">
        <x:v>状态</x:v>
      </x:c>
      <x:c r="F230" s="30" t="str">
        <x:v>enum</x:v>
      </x:c>
      <x:c r="G230" s="30" t="str">
        <x:v>unknown/accepted/rejected/counter_offer</x:v>
      </x:c>
      <x:c r="H230" s="30" t="str">
        <x:v>协作消息/接受者</x:v>
      </x:c>
      <x:c r="I230" s="30" t="str">
        <x:v>每个参与方仅持有自身进展</x:v>
      </x:c>
      <x:c r="J230" s="30" t="str">
        <x:v>A036；A037；A051；A052；A053；A054；A056；A058；A059；A065</x:v>
      </x:c>
      <x:c r="K230" s="30" t="str">
        <x:v>A053；A059</x:v>
      </x:c>
      <x:c r="L230" s="30" t="n">
        <x:v>75</x:v>
      </x:c>
      <x:c r="M230" s="30" t="str">
        <x:v>S19；S24；S25</x:v>
      </x:c>
      <x:c r="N230" s="30" t="str">
        <x:v>https://design.ros2.org/articles/actions.html</x:v>
      </x:c>
    </x:row>
    <x:row r="231" ht="120" customHeight="1">
      <x:c r="A231" s="30" t="str">
        <x:v>F227</x:v>
      </x:c>
      <x:c r="B231" s="30" t="str">
        <x:v>分配消息与协商</x:v>
      </x:c>
      <x:c r="C231" s="30" t="str">
        <x:v>assignment.decision_reason</x:v>
      </x:c>
      <x:c r="D231" s="30" t="str">
        <x:v>接受/拒绝依据</x:v>
      </x:c>
      <x:c r="E231" s="30" t="str">
        <x:v>认知</x:v>
      </x:c>
      <x:c r="F231" s="30" t="str">
        <x:v>record</x:v>
      </x:c>
      <x:c r="G231" s="30" t="str">
        <x:v>设备/资源/承诺/信息条件</x:v>
      </x:c>
      <x:c r="H231" s="30" t="str">
        <x:v>协作消息/接受者</x:v>
      </x:c>
      <x:c r="I231" s="30" t="str">
        <x:v>每个参与方仅持有自身进展</x:v>
      </x:c>
      <x:c r="J231" s="30" t="str">
        <x:v>A036；A037；A051；A052；A053；A054；A056；A058；A059；A065</x:v>
      </x:c>
      <x:c r="K231" s="30" t="str">
        <x:v>A051</x:v>
      </x:c>
      <x:c r="L231" s="30" t="n">
        <x:v>75</x:v>
      </x:c>
      <x:c r="M231" s="30" t="str">
        <x:v>S19；S24；S25</x:v>
      </x:c>
      <x:c r="N231" s="30" t="str">
        <x:v>https://design.ros2.org/articles/actions.html</x:v>
      </x:c>
    </x:row>
    <x:row r="232" ht="120" customHeight="1">
      <x:c r="A232" s="30" t="str">
        <x:v>F228</x:v>
      </x:c>
      <x:c r="B232" s="30" t="str">
        <x:v>分配消息与协商</x:v>
      </x:c>
      <x:c r="C232" s="30" t="str">
        <x:v>assignment.lease_end_s</x:v>
      </x:c>
      <x:c r="D232" s="30" t="str">
        <x:v>占用/承诺有效期</x:v>
      </x:c>
      <x:c r="E232" s="30" t="str">
        <x:v>状态</x:v>
      </x:c>
      <x:c r="F232" s="30" t="str">
        <x:v>float</x:v>
      </x:c>
      <x:c r="G232" s="30" t="str">
        <x:v>null或时刻</x:v>
      </x:c>
      <x:c r="H232" s="30" t="str">
        <x:v>协作消息/接受者</x:v>
      </x:c>
      <x:c r="I232" s="30" t="str">
        <x:v>每个参与方仅持有自身进展</x:v>
      </x:c>
      <x:c r="J232" s="30" t="str">
        <x:v>A036；A037；A051；A052；A053；A054；A056；A058；A059；A065</x:v>
      </x:c>
      <x:c r="K232" s="30" t="str">
        <x:v>初始化/配置或相应状态所有者；不是任意Agent写入</x:v>
      </x:c>
      <x:c r="L232" s="30" t="n">
        <x:v>75</x:v>
      </x:c>
      <x:c r="M232" s="30" t="str">
        <x:v>S19；S24；S25</x:v>
      </x:c>
      <x:c r="N232" s="30" t="str">
        <x:v>https://design.ros2.org/articles/actions.html</x:v>
      </x:c>
    </x:row>
    <x:row r="233" ht="120" customHeight="1">
      <x:c r="A233" s="30" t="str">
        <x:v>F229</x:v>
      </x:c>
      <x:c r="B233" s="30" t="str">
        <x:v>分配消息与协商</x:v>
      </x:c>
      <x:c r="C233" s="30" t="str">
        <x:v>assignment.acknowledged_revision</x:v>
      </x:c>
      <x:c r="D233" s="30" t="str">
        <x:v>已确认的版本</x:v>
      </x:c>
      <x:c r="E233" s="30" t="str">
        <x:v>状态</x:v>
      </x:c>
      <x:c r="F233" s="30" t="str">
        <x:v>int</x:v>
      </x:c>
      <x:c r="G233" s="30" t="str">
        <x:v>null或版本，不得以旧ack生效新任务</x:v>
      </x:c>
      <x:c r="H233" s="30" t="str">
        <x:v>协作消息/接受者</x:v>
      </x:c>
      <x:c r="I233" s="30" t="str">
        <x:v>每个参与方仅持有自身进展</x:v>
      </x:c>
      <x:c r="J233" s="30" t="str">
        <x:v>A036；A037；A051；A052；A053；A054；A056；A058；A059；A065</x:v>
      </x:c>
      <x:c r="K233" s="30" t="str">
        <x:v>初始化/配置或相应状态所有者；不是任意Agent写入</x:v>
      </x:c>
      <x:c r="L233" s="30" t="n">
        <x:v>75</x:v>
      </x:c>
      <x:c r="M233" s="30" t="str">
        <x:v>S19；S24；S25</x:v>
      </x:c>
      <x:c r="N233" s="30" t="str">
        <x:v>https://design.ros2.org/articles/actions.html</x:v>
      </x:c>
    </x:row>
    <x:row r="234" ht="120" customHeight="1">
      <x:c r="A234" s="30" t="str">
        <x:v>F230</x:v>
      </x:c>
      <x:c r="B234" s="30" t="str">
        <x:v>动作实例与反馈</x:v>
      </x:c>
      <x:c r="C234" s="30" t="str">
        <x:v>action.type</x:v>
      </x:c>
      <x:c r="D234" s="30" t="str">
        <x:v>操作类型</x:v>
      </x:c>
      <x:c r="E234" s="30" t="str">
        <x:v>配置</x:v>
      </x:c>
      <x:c r="F234" s="30" t="str">
        <x:v>id</x:v>
      </x:c>
      <x:c r="G234" s="30" t="str">
        <x:v>原子操作A001起</x:v>
      </x:c>
      <x:c r="H234" s="30" t="str">
        <x:v>相应执行后端</x:v>
      </x:c>
      <x:c r="I234" s="30" t="str">
        <x:v>执行Agent拿可观察回执，不拿全部拒绝真值</x:v>
      </x:c>
      <x:c r="J234" s="30" t="str">
        <x:v>A001；A002；A003；A004；A005；A006；A008；A012；A013；A014；A015；A016；A017；A018；A019；A020；A021；A022；A023；A024；A025；A026；A028；A029；A030；A031；A044；A054；A055；A056；A057；A060；A061；A062；A063</x:v>
      </x:c>
      <x:c r="K234" s="30" t="str">
        <x:v>初始化/配置或相应状态所有者；不是任意Agent写入</x:v>
      </x:c>
      <x:c r="L234" s="30" t="n">
        <x:v>81</x:v>
      </x:c>
      <x:c r="M234" s="30" t="str">
        <x:v>S02；S19；S24</x:v>
      </x:c>
      <x:c r="N234" s="30" t="str">
        <x:v>https://www.nist.gov/programs-projects/department-homeland-security-response-robot-performance-standards
https://design.ros2.org/articles/actions.html</x:v>
      </x:c>
    </x:row>
    <x:row r="235" ht="120" customHeight="1">
      <x:c r="A235" s="30" t="str">
        <x:v>F231</x:v>
      </x:c>
      <x:c r="B235" s="30" t="str">
        <x:v>动作实例与反馈</x:v>
      </x:c>
      <x:c r="C235" s="30" t="str">
        <x:v>action.executor_id</x:v>
      </x:c>
      <x:c r="D235" s="30" t="str">
        <x:v>执行平台/服务</x:v>
      </x:c>
      <x:c r="E235" s="30" t="str">
        <x:v>标识</x:v>
      </x:c>
      <x:c r="F235" s="30" t="str">
        <x:v>id</x:v>
      </x:c>
      <x:c r="G235" s="30" t="str">
        <x:v>合法能力主体</x:v>
      </x:c>
      <x:c r="H235" s="30" t="str">
        <x:v>相应执行后端</x:v>
      </x:c>
      <x:c r="I235" s="30" t="str">
        <x:v>执行Agent拿可观察回执，不拿全部拒绝真值</x:v>
      </x:c>
      <x:c r="J235" s="30" t="str">
        <x:v>A001；A002；A003；A004；A005；A006；A008；A012；A013；A014；A015；A016；A017；A018；A019；A020；A021；A022；A023；A024；A025；A026；A028；A029；A030；A031；A044；A054；A055；A056；A057；A060；A061；A062；A063</x:v>
      </x:c>
      <x:c r="K235" s="30" t="str">
        <x:v>初始化/配置或相应状态所有者；不是任意Agent写入</x:v>
      </x:c>
      <x:c r="L235" s="30" t="n">
        <x:v>81</x:v>
      </x:c>
      <x:c r="M235" s="30" t="str">
        <x:v>S02；S19；S24</x:v>
      </x:c>
      <x:c r="N235" s="30" t="str">
        <x:v>https://www.nist.gov/programs-projects/department-homeland-security-response-robot-performance-standards
https://design.ros2.org/articles/actions.html</x:v>
      </x:c>
    </x:row>
    <x:row r="236" ht="120" customHeight="1">
      <x:c r="A236" s="30" t="str">
        <x:v>F232</x:v>
      </x:c>
      <x:c r="B236" s="30" t="str">
        <x:v>动作实例与反馈</x:v>
      </x:c>
      <x:c r="C236" s="30" t="str">
        <x:v>action.task_ref</x:v>
      </x:c>
      <x:c r="D236" s="30" t="str">
        <x:v>关联任务版本</x:v>
      </x:c>
      <x:c r="E236" s="30" t="str">
        <x:v>标识</x:v>
      </x:c>
      <x:c r="F236" s="30" t="str">
        <x:v>record</x:v>
      </x:c>
      <x:c r="G236" s="30" t="str">
        <x:v>task_id/revision</x:v>
      </x:c>
      <x:c r="H236" s="30" t="str">
        <x:v>相应执行后端</x:v>
      </x:c>
      <x:c r="I236" s="30" t="str">
        <x:v>执行Agent拿可观察回执，不拿全部拒绝真值</x:v>
      </x:c>
      <x:c r="J236" s="30" t="str">
        <x:v>A001；A002；A003；A004；A005；A006；A008；A012；A013；A014；A015；A016；A017；A018；A019；A020；A021；A022；A023；A024；A025；A026；A028；A029；A030；A031；A044；A054；A055；A056；A057；A060；A061；A062；A063</x:v>
      </x:c>
      <x:c r="K236" s="30" t="str">
        <x:v>初始化/配置或相应状态所有者；不是任意Agent写入</x:v>
      </x:c>
      <x:c r="L236" s="30" t="n">
        <x:v>81</x:v>
      </x:c>
      <x:c r="M236" s="30" t="str">
        <x:v>S02；S19；S24</x:v>
      </x:c>
      <x:c r="N236" s="30" t="str">
        <x:v>https://www.nist.gov/programs-projects/department-homeland-security-response-robot-performance-standards
https://design.ros2.org/articles/actions.html</x:v>
      </x:c>
    </x:row>
    <x:row r="237" ht="120" customHeight="1">
      <x:c r="A237" s="30" t="str">
        <x:v>F233</x:v>
      </x:c>
      <x:c r="B237" s="30" t="str">
        <x:v>动作实例与反馈</x:v>
      </x:c>
      <x:c r="C237" s="30" t="str">
        <x:v>action.target_ref</x:v>
      </x:c>
      <x:c r="D237" s="30" t="str">
        <x:v>动作对象</x:v>
      </x:c>
      <x:c r="E237" s="30" t="str">
        <x:v>状态</x:v>
      </x:c>
      <x:c r="F237" s="30" t="str">
        <x:v>id</x:v>
      </x:c>
      <x:c r="G237" s="30" t="str">
        <x:v>合法已知引用或目标坐标</x:v>
      </x:c>
      <x:c r="H237" s="30" t="str">
        <x:v>相应执行后端</x:v>
      </x:c>
      <x:c r="I237" s="30" t="str">
        <x:v>执行Agent拿可观察回执，不拿全部拒绝真值</x:v>
      </x:c>
      <x:c r="J237" s="30" t="str">
        <x:v>A001；A002；A003；A004；A005；A006；A008；A012；A013；A014；A015；A016；A017；A018；A019；A020；A021；A022；A023；A024；A025；A026；A028；A029；A030；A031；A044；A054；A055；A056；A057；A060；A061；A062；A063</x:v>
      </x:c>
      <x:c r="K237" s="30" t="str">
        <x:v>初始化/配置或相应状态所有者；不是任意Agent写入</x:v>
      </x:c>
      <x:c r="L237" s="30" t="n">
        <x:v>81</x:v>
      </x:c>
      <x:c r="M237" s="30" t="str">
        <x:v>S02；S19；S24</x:v>
      </x:c>
      <x:c r="N237" s="30" t="str">
        <x:v>https://www.nist.gov/programs-projects/department-homeland-security-response-robot-performance-standards
https://design.ros2.org/articles/actions.html</x:v>
      </x:c>
    </x:row>
    <x:row r="238" ht="120" customHeight="1">
      <x:c r="A238" s="30" t="str">
        <x:v>F234</x:v>
      </x:c>
      <x:c r="B238" s="30" t="str">
        <x:v>动作实例与反馈</x:v>
      </x:c>
      <x:c r="C238" s="30" t="str">
        <x:v>action.parameters</x:v>
      </x:c>
      <x:c r="D238" s="30" t="str">
        <x:v>动作参数</x:v>
      </x:c>
      <x:c r="E238" s="30" t="str">
        <x:v>配置</x:v>
      </x:c>
      <x:c r="F238" s="30" t="str">
        <x:v>record</x:v>
      </x:c>
      <x:c r="G238" s="30" t="str">
        <x:v>与操作schema匹配</x:v>
      </x:c>
      <x:c r="H238" s="30" t="str">
        <x:v>相应执行后端</x:v>
      </x:c>
      <x:c r="I238" s="30" t="str">
        <x:v>执行Agent拿可观察回执，不拿全部拒绝真值</x:v>
      </x:c>
      <x:c r="J238" s="30" t="str">
        <x:v>A001；A002；A003；A004；A005；A006；A008；A012；A013；A014；A015；A016；A017；A018；A019；A020；A021；A022；A023；A024；A025；A026；A028；A029；A030；A031；A044；A054；A055；A056；A057；A060；A061；A062；A063</x:v>
      </x:c>
      <x:c r="K238" s="30" t="str">
        <x:v>A066</x:v>
      </x:c>
      <x:c r="L238" s="30" t="n">
        <x:v>81</x:v>
      </x:c>
      <x:c r="M238" s="30" t="str">
        <x:v>S02；S19；S24</x:v>
      </x:c>
      <x:c r="N238" s="30" t="str">
        <x:v>https://www.nist.gov/programs-projects/department-homeland-security-response-robot-performance-standards
https://design.ros2.org/articles/actions.html</x:v>
      </x:c>
    </x:row>
    <x:row r="239" ht="120" customHeight="1">
      <x:c r="A239" s="30" t="str">
        <x:v>F235</x:v>
      </x:c>
      <x:c r="B239" s="30" t="str">
        <x:v>动作实例与反馈</x:v>
      </x:c>
      <x:c r="C239" s="30" t="str">
        <x:v>action.status</x:v>
      </x:c>
      <x:c r="D239" s="30" t="str">
        <x:v>动作状态</x:v>
      </x:c>
      <x:c r="E239" s="30" t="str">
        <x:v>状态</x:v>
      </x:c>
      <x:c r="F239" s="30" t="str">
        <x:v>enum</x:v>
      </x:c>
      <x:c r="G239" s="30" t="str">
        <x:v>requested/rejected/accepted/running/succeeded/partial/failed/canceled</x:v>
      </x:c>
      <x:c r="H239" s="30" t="str">
        <x:v>相应执行后端</x:v>
      </x:c>
      <x:c r="I239" s="30" t="str">
        <x:v>执行Agent拿可观察回执，不拿全部拒绝真值</x:v>
      </x:c>
      <x:c r="J239" s="30" t="str">
        <x:v>A001；A002；A003；A004；A005；A006；A008；A012；A013；A014；A015；A016；A017；A018；A019；A020；A021；A022；A023；A024；A025；A026；A028；A029；A030；A031；A044；A054；A055；A056；A057；A060；A061；A062；A063</x:v>
      </x:c>
      <x:c r="K239" s="30" t="str">
        <x:v>A055</x:v>
      </x:c>
      <x:c r="L239" s="30" t="n">
        <x:v>81</x:v>
      </x:c>
      <x:c r="M239" s="30" t="str">
        <x:v>S02；S19；S24</x:v>
      </x:c>
      <x:c r="N239" s="30" t="str">
        <x:v>https://www.nist.gov/programs-projects/department-homeland-security-response-robot-performance-standards
https://design.ros2.org/articles/actions.html</x:v>
      </x:c>
    </x:row>
    <x:row r="240" ht="120" customHeight="1">
      <x:c r="A240" s="30" t="str">
        <x:v>F236</x:v>
      </x:c>
      <x:c r="B240" s="30" t="str">
        <x:v>动作实例与反馈</x:v>
      </x:c>
      <x:c r="C240" s="30" t="str">
        <x:v>action.start_s</x:v>
      </x:c>
      <x:c r="D240" s="30" t="str">
        <x:v>开始时刻</x:v>
      </x:c>
      <x:c r="E240" s="30" t="str">
        <x:v>状态</x:v>
      </x:c>
      <x:c r="F240" s="30" t="str">
        <x:v>float</x:v>
      </x:c>
      <x:c r="G240" s="30" t="str">
        <x:v>null或仿真时间</x:v>
      </x:c>
      <x:c r="H240" s="30" t="str">
        <x:v>相应执行后端</x:v>
      </x:c>
      <x:c r="I240" s="30" t="str">
        <x:v>执行Agent拿可观察回执，不拿全部拒绝真值</x:v>
      </x:c>
      <x:c r="J240" s="30" t="str">
        <x:v>A001；A002；A003；A004；A005；A006；A008；A012；A013；A014；A015；A016；A017；A018；A019；A020；A021；A022；A023；A024；A025；A026；A028；A029；A030；A031；A044；A054；A055；A056；A057；A060；A061；A062；A063</x:v>
      </x:c>
      <x:c r="K240" s="30" t="str">
        <x:v>初始化/配置或相应状态所有者；不是任意Agent写入</x:v>
      </x:c>
      <x:c r="L240" s="30" t="n">
        <x:v>81</x:v>
      </x:c>
      <x:c r="M240" s="30" t="str">
        <x:v>S02；S19；S24</x:v>
      </x:c>
      <x:c r="N240" s="30" t="str">
        <x:v>https://www.nist.gov/programs-projects/department-homeland-security-response-robot-performance-standards
https://design.ros2.org/articles/actions.html</x:v>
      </x:c>
    </x:row>
    <x:row r="241" ht="120" customHeight="1">
      <x:c r="A241" s="30" t="str">
        <x:v>F237</x:v>
      </x:c>
      <x:c r="B241" s="30" t="str">
        <x:v>动作实例与反馈</x:v>
      </x:c>
      <x:c r="C241" s="30" t="str">
        <x:v>action.finish_s</x:v>
      </x:c>
      <x:c r="D241" s="30" t="str">
        <x:v>结束时刻</x:v>
      </x:c>
      <x:c r="E241" s="30" t="str">
        <x:v>状态</x:v>
      </x:c>
      <x:c r="F241" s="30" t="str">
        <x:v>float</x:v>
      </x:c>
      <x:c r="G241" s="30" t="str">
        <x:v>null或仿真时间</x:v>
      </x:c>
      <x:c r="H241" s="30" t="str">
        <x:v>相应执行后端</x:v>
      </x:c>
      <x:c r="I241" s="30" t="str">
        <x:v>执行Agent拿可观察回执，不拿全部拒绝真值</x:v>
      </x:c>
      <x:c r="J241" s="30" t="str">
        <x:v>A001；A002；A003；A004；A005；A006；A008；A012；A013；A014；A015；A016；A017；A018；A019；A020；A021；A022；A023；A024；A025；A026；A028；A029；A030；A031；A044；A054；A055；A056；A057；A060；A061；A062；A063</x:v>
      </x:c>
      <x:c r="K241" s="30" t="str">
        <x:v>初始化/配置或相应状态所有者；不是任意Agent写入</x:v>
      </x:c>
      <x:c r="L241" s="30" t="n">
        <x:v>81</x:v>
      </x:c>
      <x:c r="M241" s="30" t="str">
        <x:v>S02；S19；S24</x:v>
      </x:c>
      <x:c r="N241" s="30" t="str">
        <x:v>https://www.nist.gov/programs-projects/department-homeland-security-response-robot-performance-standards
https://design.ros2.org/articles/actions.html</x:v>
      </x:c>
    </x:row>
    <x:row r="242" ht="120" customHeight="1">
      <x:c r="A242" s="30" t="str">
        <x:v>F238</x:v>
      </x:c>
      <x:c r="B242" s="30" t="str">
        <x:v>动作实例与反馈</x:v>
      </x:c>
      <x:c r="C242" s="30" t="str">
        <x:v>action.reserved_resources</x:v>
      </x:c>
      <x:c r="D242" s="30" t="str">
        <x:v>预留资源</x:v>
      </x:c>
      <x:c r="E242" s="30" t="str">
        <x:v>状态</x:v>
      </x:c>
      <x:c r="F242" s="30" t="str">
        <x:v>record</x:v>
      </x:c>
      <x:c r="G242" s="30" t="str">
        <x:v>载荷/电量/设备/CPU/显存/队列</x:v>
      </x:c>
      <x:c r="H242" s="30" t="str">
        <x:v>相应执行后端</x:v>
      </x:c>
      <x:c r="I242" s="30" t="str">
        <x:v>执行Agent拿可观察回执，不拿全部拒绝真值</x:v>
      </x:c>
      <x:c r="J242" s="30" t="str">
        <x:v>A001；A002；A003；A004；A005；A006；A008；A012；A013；A014；A015；A016；A017；A018；A019；A020；A021；A022；A023；A024；A025；A026；A028；A029；A030；A031；A044；A054；A055；A056；A057；A060；A061；A062；A063</x:v>
      </x:c>
      <x:c r="K242" s="30" t="str">
        <x:v>初始化/配置或相应状态所有者；不是任意Agent写入</x:v>
      </x:c>
      <x:c r="L242" s="30" t="n">
        <x:v>81</x:v>
      </x:c>
      <x:c r="M242" s="30" t="str">
        <x:v>S02；S19；S24</x:v>
      </x:c>
      <x:c r="N242" s="30" t="str">
        <x:v>https://www.nist.gov/programs-projects/department-homeland-security-response-robot-performance-standards
https://design.ros2.org/articles/actions.html</x:v>
      </x:c>
    </x:row>
    <x:row r="243" ht="120" customHeight="1">
      <x:c r="A243" s="30" t="str">
        <x:v>F239</x:v>
      </x:c>
      <x:c r="B243" s="30" t="str">
        <x:v>动作实例与反馈</x:v>
      </x:c>
      <x:c r="C243" s="30" t="str">
        <x:v>action.consumed_resources</x:v>
      </x:c>
      <x:c r="D243" s="30" t="str">
        <x:v>实际消耗</x:v>
      </x:c>
      <x:c r="E243" s="30" t="str">
        <x:v>状态</x:v>
      </x:c>
      <x:c r="F243" s="30" t="str">
        <x:v>record</x:v>
      </x:c>
      <x:c r="G243" s="30" t="str">
        <x:v>含单位；失败也可消耗</x:v>
      </x:c>
      <x:c r="H243" s="30" t="str">
        <x:v>相应执行后端</x:v>
      </x:c>
      <x:c r="I243" s="30" t="str">
        <x:v>执行Agent拿可观察回执，不拿全部拒绝真值</x:v>
      </x:c>
      <x:c r="J243" s="30" t="str">
        <x:v>A001；A002；A003；A004；A005；A006；A008；A012；A013；A014；A015；A016；A017；A018；A019；A020；A021；A022；A023；A024；A025；A026；A028；A029；A030；A031；A044；A054；A055；A056；A057；A060；A061；A062；A063</x:v>
      </x:c>
      <x:c r="K243" s="30" t="str">
        <x:v>初始化/配置或相应状态所有者；不是任意Agent写入</x:v>
      </x:c>
      <x:c r="L243" s="30" t="n">
        <x:v>81</x:v>
      </x:c>
      <x:c r="M243" s="30" t="str">
        <x:v>S02；S19；S24</x:v>
      </x:c>
      <x:c r="N243" s="30" t="str">
        <x:v>https://www.nist.gov/programs-projects/department-homeland-security-response-robot-performance-standards
https://design.ros2.org/articles/actions.html</x:v>
      </x:c>
    </x:row>
    <x:row r="244" ht="120" customHeight="1">
      <x:c r="A244" s="30" t="str">
        <x:v>F240</x:v>
      </x:c>
      <x:c r="B244" s="30" t="str">
        <x:v>动作实例与反馈</x:v>
      </x:c>
      <x:c r="C244" s="30" t="str">
        <x:v>action.feedback</x:v>
      </x:c>
      <x:c r="D244" s="30" t="str">
        <x:v>进度反馈</x:v>
      </x:c>
      <x:c r="E244" s="30" t="str">
        <x:v>状态</x:v>
      </x:c>
      <x:c r="F244" s="30" t="str">
        <x:v>record</x:v>
      </x:c>
      <x:c r="G244" s="30" t="str">
        <x:v>可观察事件/局部受阻等</x:v>
      </x:c>
      <x:c r="H244" s="30" t="str">
        <x:v>相应执行后端</x:v>
      </x:c>
      <x:c r="I244" s="30" t="str">
        <x:v>执行Agent拿可观察回执，不拿全部拒绝真值</x:v>
      </x:c>
      <x:c r="J244" s="30" t="str">
        <x:v>A001；A002；A003；A004；A005；A006；A008；A012；A013；A014；A015；A016；A017；A018；A019；A020；A021；A022；A023；A024；A025；A026；A028；A029；A030；A031；A044；A054；A055；A056；A057；A060；A061；A062；A063</x:v>
      </x:c>
      <x:c r="K244" s="30" t="str">
        <x:v>初始化/配置或相应状态所有者；不是任意Agent写入</x:v>
      </x:c>
      <x:c r="L244" s="30" t="n">
        <x:v>81</x:v>
      </x:c>
      <x:c r="M244" s="30" t="str">
        <x:v>S02；S19；S24</x:v>
      </x:c>
      <x:c r="N244" s="30" t="str">
        <x:v>https://www.nist.gov/programs-projects/department-homeland-security-response-robot-performance-standards
https://design.ros2.org/articles/actions.html</x:v>
      </x:c>
    </x:row>
    <x:row r="245" ht="120" customHeight="1">
      <x:c r="A245" s="30" t="str">
        <x:v>F241</x:v>
      </x:c>
      <x:c r="B245" s="30" t="str">
        <x:v>动作实例与反馈</x:v>
      </x:c>
      <x:c r="C245" s="30" t="str">
        <x:v>action.result</x:v>
      </x:c>
      <x:c r="D245" s="30" t="str">
        <x:v>执行结果</x:v>
      </x:c>
      <x:c r="E245" s="30" t="str">
        <x:v>状态</x:v>
      </x:c>
      <x:c r="F245" s="30" t="str">
        <x:v>record</x:v>
      </x:c>
      <x:c r="G245" s="30" t="str">
        <x:v>明确成功/失败/部分和证据</x:v>
      </x:c>
      <x:c r="H245" s="30" t="str">
        <x:v>相应执行后端</x:v>
      </x:c>
      <x:c r="I245" s="30" t="str">
        <x:v>执行Agent拿可观察回执，不拿全部拒绝真值</x:v>
      </x:c>
      <x:c r="J245" s="30" t="str">
        <x:v>A001；A002；A003；A004；A005；A006；A008；A012；A013；A014；A015；A016；A017；A018；A019；A020；A021；A022；A023；A024；A025；A026；A028；A029；A030；A031；A044；A054；A055；A056；A057；A060；A061；A062；A063</x:v>
      </x:c>
      <x:c r="K245" s="30" t="str">
        <x:v>初始化/配置或相应状态所有者；不是任意Agent写入</x:v>
      </x:c>
      <x:c r="L245" s="30" t="n">
        <x:v>81</x:v>
      </x:c>
      <x:c r="M245" s="30" t="str">
        <x:v>S02；S19；S24</x:v>
      </x:c>
      <x:c r="N245" s="30" t="str">
        <x:v>https://www.nist.gov/programs-projects/department-homeland-security-response-robot-performance-standards
https://design.ros2.org/articles/actions.html</x:v>
      </x:c>
    </x:row>
    <x:row r="246" ht="120" customHeight="1">
      <x:c r="A246" s="30" t="str">
        <x:v>F242</x:v>
      </x:c>
      <x:c r="B246" s="30" t="str">
        <x:v>动作实例与反馈</x:v>
      </x:c>
      <x:c r="C246" s="30" t="str">
        <x:v>action.rejection_code</x:v>
      </x:c>
      <x:c r="D246" s="30" t="str">
        <x:v>准入拒绝代码</x:v>
      </x:c>
      <x:c r="E246" s="30" t="str">
        <x:v>状态</x:v>
      </x:c>
      <x:c r="F246" s="30" t="str">
        <x:v>enum</x:v>
      </x:c>
      <x:c r="G246" s="30" t="str">
        <x:v>none/no_capability/incompatible/insufficient/busy/stale/unauthorized</x:v>
      </x:c>
      <x:c r="H246" s="30" t="str">
        <x:v>相应执行后端</x:v>
      </x:c>
      <x:c r="I246" s="30" t="str">
        <x:v>执行Agent拿可观察回执，不拿全部拒绝真值</x:v>
      </x:c>
      <x:c r="J246" s="30" t="str">
        <x:v>A001；A002；A003；A004；A005；A006；A008；A012；A013；A014；A015；A016；A017；A018；A019；A020；A021；A022；A023；A024；A025；A026；A028；A029；A030；A031；A044；A054；A055；A056；A057；A060；A061；A062；A063</x:v>
      </x:c>
      <x:c r="K246" s="30" t="str">
        <x:v>初始化/配置或相应状态所有者；不是任意Agent写入</x:v>
      </x:c>
      <x:c r="L246" s="30" t="n">
        <x:v>81</x:v>
      </x:c>
      <x:c r="M246" s="30" t="str">
        <x:v>S02；S19；S24</x:v>
      </x:c>
      <x:c r="N246" s="30" t="str">
        <x:v>https://www.nist.gov/programs-projects/department-homeland-security-response-robot-performance-standards
https://design.ros2.org/articles/actions.html</x:v>
      </x:c>
    </x:row>
    <x:row r="247" ht="120" customHeight="1">
      <x:c r="A247" s="30" t="str">
        <x:v>F243</x:v>
      </x:c>
      <x:c r="B247" s="30" t="str">
        <x:v>动作实例与反馈</x:v>
      </x:c>
      <x:c r="C247" s="30" t="str">
        <x:v>action.failure_code</x:v>
      </x:c>
      <x:c r="D247" s="30" t="str">
        <x:v>运行失败代码</x:v>
      </x:c>
      <x:c r="E247" s="30" t="str">
        <x:v>状态</x:v>
      </x:c>
      <x:c r="F247" s="30" t="str">
        <x:v>enum</x:v>
      </x:c>
      <x:c r="G247" s="30" t="str">
        <x:v>none/blocked/lost_link/timeout/sensor/model/hazard/actuator/energy</x:v>
      </x:c>
      <x:c r="H247" s="30" t="str">
        <x:v>相应执行后端</x:v>
      </x:c>
      <x:c r="I247" s="30" t="str">
        <x:v>执行Agent拿可观察回执，不拿全部拒绝真值</x:v>
      </x:c>
      <x:c r="J247" s="30" t="str">
        <x:v>A001；A002；A003；A004；A005；A006；A008；A012；A013；A014；A015；A016；A017；A018；A019；A020；A021；A022；A023；A024；A025；A026；A028；A029；A030；A031；A044；A054；A055；A056；A057；A060；A061；A062；A063</x:v>
      </x:c>
      <x:c r="K247" s="30" t="str">
        <x:v>初始化/配置或相应状态所有者；不是任意Agent写入</x:v>
      </x:c>
      <x:c r="L247" s="30" t="n">
        <x:v>81</x:v>
      </x:c>
      <x:c r="M247" s="30" t="str">
        <x:v>S02；S19；S24</x:v>
      </x:c>
      <x:c r="N247" s="30" t="str">
        <x:v>https://www.nist.gov/programs-projects/department-homeland-security-response-robot-performance-standards
https://design.ros2.org/articles/actions.html</x:v>
      </x:c>
    </x:row>
    <x:row r="248" ht="120" customHeight="1">
      <x:c r="A248" s="30" t="str">
        <x:v>F244</x:v>
      </x:c>
      <x:c r="B248" s="30" t="str">
        <x:v>动作实例与反馈</x:v>
      </x:c>
      <x:c r="C248" s="30" t="str">
        <x:v>action.cancel_requested</x:v>
      </x:c>
      <x:c r="D248" s="30" t="str">
        <x:v>取消请求状态</x:v>
      </x:c>
      <x:c r="E248" s="30" t="str">
        <x:v>状态</x:v>
      </x:c>
      <x:c r="F248" s="30" t="str">
        <x:v>bool</x:v>
      </x:c>
      <x:c r="G248" s="30" t="str">
        <x:v>true/false；请求不等于已终止</x:v>
      </x:c>
      <x:c r="H248" s="30" t="str">
        <x:v>相应执行后端</x:v>
      </x:c>
      <x:c r="I248" s="30" t="str">
        <x:v>执行Agent拿可观察回执，不拿全部拒绝真值</x:v>
      </x:c>
      <x:c r="J248" s="30" t="str">
        <x:v>A001；A002；A003；A004；A005；A006；A008；A012；A013；A014；A015；A016；A017；A018；A019；A020；A021；A022；A023；A024；A025；A026；A028；A029；A030；A031；A044；A054；A055；A056；A057；A060；A061；A062；A063</x:v>
      </x:c>
      <x:c r="K248" s="30" t="str">
        <x:v>A055</x:v>
      </x:c>
      <x:c r="L248" s="30" t="n">
        <x:v>81</x:v>
      </x:c>
      <x:c r="M248" s="30" t="str">
        <x:v>S02；S19；S24</x:v>
      </x:c>
      <x:c r="N248" s="30" t="str">
        <x:v>https://www.nist.gov/programs-projects/department-homeland-security-response-robot-performance-standards
https://design.ros2.org/articles/actions.html</x:v>
      </x:c>
    </x:row>
    <x:row r="249" ht="120" customHeight="1">
      <x:c r="A249" s="30" t="str">
        <x:v>F245</x:v>
      </x:c>
      <x:c r="B249" s="30" t="str">
        <x:v>动作实例与反馈</x:v>
      </x:c>
      <x:c r="C249" s="30" t="str">
        <x:v>action.backend_mode</x:v>
      </x:c>
      <x:c r="D249" s="30" t="str">
        <x:v>执行保真模式</x:v>
      </x:c>
      <x:c r="E249" s="30" t="str">
        <x:v>配置</x:v>
      </x:c>
      <x:c r="F249" s="30" t="str">
        <x:v>enum</x:v>
      </x:c>
      <x:c r="G249" s="30" t="str">
        <x:v>gazebo/ns3/compute_model/real_inference/abstract_service/stub</x:v>
      </x:c>
      <x:c r="H249" s="30" t="str">
        <x:v>相应执行后端</x:v>
      </x:c>
      <x:c r="I249" s="30" t="str">
        <x:v>执行Agent拿可观察回执，不拿全部拒绝真值</x:v>
      </x:c>
      <x:c r="J249" s="30" t="str">
        <x:v>A001；A002；A003；A004；A005；A006；A008；A012；A013；A014；A015；A016；A017；A018；A019；A020；A021；A022；A023；A024；A025；A026；A028；A029；A030；A031；A044；A054；A055；A056；A057；A060；A061；A062；A063</x:v>
      </x:c>
      <x:c r="K249" s="30" t="str">
        <x:v>初始化/配置或相应状态所有者；不是任意Agent写入</x:v>
      </x:c>
      <x:c r="L249" s="30" t="n">
        <x:v>81</x:v>
      </x:c>
      <x:c r="M249" s="30" t="str">
        <x:v>S02；S19；S24</x:v>
      </x:c>
      <x:c r="N249" s="30" t="str">
        <x:v>https://www.nist.gov/programs-projects/department-homeland-security-response-robot-performance-standards
https://design.ros2.org/articles/actions.html</x:v>
      </x:c>
    </x:row>
    <x:row r="250" ht="120" customHeight="1">
      <x:c r="A250" s="30" t="str">
        <x:v>F246</x:v>
      </x:c>
      <x:c r="B250" s="30" t="str">
        <x:v>无线设备</x:v>
      </x:c>
      <x:c r="C250" s="30" t="str">
        <x:v>radio.interface_id</x:v>
      </x:c>
      <x:c r="D250" s="30" t="str">
        <x:v>无线接口ID</x:v>
      </x:c>
      <x:c r="E250" s="30" t="str">
        <x:v>标识</x:v>
      </x:c>
      <x:c r="F250" s="30" t="str">
        <x:v>id</x:v>
      </x:c>
      <x:c r="G250" s="30" t="str">
        <x:v>同平台允许多接口</x:v>
      </x:c>
      <x:c r="H250" s="30" t="str">
        <x:v>ns-3适配/设备管理</x:v>
      </x:c>
      <x:c r="I250" s="30" t="str">
        <x:v>本机配置和反馈；队友通过通信报告</x:v>
      </x:c>
      <x:c r="J250" s="30" t="str">
        <x:v>A032；A033；A034；A035；A036；A037；A065</x:v>
      </x:c>
      <x:c r="K250" s="30" t="str">
        <x:v>初始化/配置或相应状态所有者；不是任意Agent写入</x:v>
      </x:c>
      <x:c r="L250" s="30" t="n">
        <x:v>52</x:v>
      </x:c>
      <x:c r="M250" s="30" t="str">
        <x:v>S17；S18；S24</x:v>
      </x:c>
      <x:c r="N250" s="30" t="str">
        <x:v>https://www.nsnam.org/docs/models/html/wifi-design.html
https://www.nsnam.org/docs/models/html/energy.html</x:v>
      </x:c>
    </x:row>
    <x:row r="251" ht="120" customHeight="1">
      <x:c r="A251" s="30" t="str">
        <x:v>F247</x:v>
      </x:c>
      <x:c r="B251" s="30" t="str">
        <x:v>无线设备</x:v>
      </x:c>
      <x:c r="C251" s="30" t="str">
        <x:v>radio.protocol</x:v>
      </x:c>
      <x:c r="D251" s="30" t="str">
        <x:v>协议配置</x:v>
      </x:c>
      <x:c r="E251" s="30" t="str">
        <x:v>配置</x:v>
      </x:c>
      <x:c r="F251" s="30" t="str">
        <x:v>enum</x:v>
      </x:c>
      <x:c r="G251" s="30" t="str">
        <x:v>具体Wi-Fi/其他已接入协议</x:v>
      </x:c>
      <x:c r="H251" s="30" t="str">
        <x:v>ns-3适配/设备管理</x:v>
      </x:c>
      <x:c r="I251" s="30" t="str">
        <x:v>本机配置和反馈；队友通过通信报告</x:v>
      </x:c>
      <x:c r="J251" s="30" t="str">
        <x:v>A032；A033；A034；A035；A036；A037；A065</x:v>
      </x:c>
      <x:c r="K251" s="30" t="str">
        <x:v>初始化/配置或相应状态所有者；不是任意Agent写入</x:v>
      </x:c>
      <x:c r="L251" s="30" t="n">
        <x:v>52</x:v>
      </x:c>
      <x:c r="M251" s="30" t="str">
        <x:v>S17；S18；S24</x:v>
      </x:c>
      <x:c r="N251" s="30" t="str">
        <x:v>https://www.nsnam.org/docs/models/html/wifi-design.html
https://www.nsnam.org/docs/models/html/energy.html</x:v>
      </x:c>
    </x:row>
    <x:row r="252" ht="120" customHeight="1">
      <x:c r="A252" s="30" t="str">
        <x:v>F248</x:v>
      </x:c>
      <x:c r="B252" s="30" t="str">
        <x:v>无线设备</x:v>
      </x:c>
      <x:c r="C252" s="30" t="str">
        <x:v>radio.channel</x:v>
      </x:c>
      <x:c r="D252" s="30" t="str">
        <x:v>信道</x:v>
      </x:c>
      <x:c r="E252" s="30" t="str">
        <x:v>状态</x:v>
      </x:c>
      <x:c r="F252" s="30" t="str">
        <x:v>record</x:v>
      </x:c>
      <x:c r="G252" s="30" t="str">
        <x:v>频点+带宽</x:v>
      </x:c>
      <x:c r="H252" s="30" t="str">
        <x:v>ns-3适配/设备管理</x:v>
      </x:c>
      <x:c r="I252" s="30" t="str">
        <x:v>本机配置和反馈；队友通过通信报告</x:v>
      </x:c>
      <x:c r="J252" s="30" t="str">
        <x:v>A032；A033；A034；A035；A036；A037；A065</x:v>
      </x:c>
      <x:c r="K252" s="30" t="str">
        <x:v>A033</x:v>
      </x:c>
      <x:c r="L252" s="30" t="n">
        <x:v>52</x:v>
      </x:c>
      <x:c r="M252" s="30" t="str">
        <x:v>S17；S18；S24</x:v>
      </x:c>
      <x:c r="N252" s="30" t="str">
        <x:v>https://www.nsnam.org/docs/models/html/wifi-design.html
https://www.nsnam.org/docs/models/html/energy.html</x:v>
      </x:c>
    </x:row>
    <x:row r="253" ht="120" customHeight="1">
      <x:c r="A253" s="30" t="str">
        <x:v>F249</x:v>
      </x:c>
      <x:c r="B253" s="30" t="str">
        <x:v>无线设备</x:v>
      </x:c>
      <x:c r="C253" s="30" t="str">
        <x:v>radio.tx_power_dbm</x:v>
      </x:c>
      <x:c r="D253" s="30" t="str">
        <x:v>发送功率</x:v>
      </x:c>
      <x:c r="E253" s="30" t="str">
        <x:v>状态</x:v>
      </x:c>
      <x:c r="F253" s="30" t="str">
        <x:v>float</x:v>
      </x:c>
      <x:c r="G253" s="30" t="str">
        <x:v>合法设备范围</x:v>
      </x:c>
      <x:c r="H253" s="30" t="str">
        <x:v>ns-3适配/设备管理</x:v>
      </x:c>
      <x:c r="I253" s="30" t="str">
        <x:v>本机配置和反馈；队友通过通信报告</x:v>
      </x:c>
      <x:c r="J253" s="30" t="str">
        <x:v>A032；A033；A034；A035；A036；A037；A065</x:v>
      </x:c>
      <x:c r="K253" s="30" t="str">
        <x:v>A033</x:v>
      </x:c>
      <x:c r="L253" s="30" t="n">
        <x:v>52</x:v>
      </x:c>
      <x:c r="M253" s="30" t="str">
        <x:v>S17；S18；S24</x:v>
      </x:c>
      <x:c r="N253" s="30" t="str">
        <x:v>https://www.nsnam.org/docs/models/html/wifi-design.html
https://www.nsnam.org/docs/models/html/energy.html</x:v>
      </x:c>
    </x:row>
    <x:row r="254" ht="120" customHeight="1">
      <x:c r="A254" s="30" t="str">
        <x:v>F250</x:v>
      </x:c>
      <x:c r="B254" s="30" t="str">
        <x:v>无线设备</x:v>
      </x:c>
      <x:c r="C254" s="30" t="str">
        <x:v>radio.antenna</x:v>
      </x:c>
      <x:c r="D254" s="30" t="str">
        <x:v>天线配置</x:v>
      </x:c>
      <x:c r="E254" s="30" t="str">
        <x:v>配置</x:v>
      </x:c>
      <x:c r="F254" s="30" t="str">
        <x:v>record</x:v>
      </x:c>
      <x:c r="G254" s="30" t="str">
        <x:v>模型/增益/方向，支持性按后端核验</x:v>
      </x:c>
      <x:c r="H254" s="30" t="str">
        <x:v>ns-3适配/设备管理</x:v>
      </x:c>
      <x:c r="I254" s="30" t="str">
        <x:v>本机配置和反馈；队友通过通信报告</x:v>
      </x:c>
      <x:c r="J254" s="30" t="str">
        <x:v>A032；A033；A034；A035；A036；A037；A065</x:v>
      </x:c>
      <x:c r="K254" s="30" t="str">
        <x:v>初始化/配置或相应状态所有者；不是任意Agent写入</x:v>
      </x:c>
      <x:c r="L254" s="30" t="n">
        <x:v>52</x:v>
      </x:c>
      <x:c r="M254" s="30" t="str">
        <x:v>S17；S18；S24</x:v>
      </x:c>
      <x:c r="N254" s="30" t="str">
        <x:v>https://www.nsnam.org/docs/models/html/wifi-design.html
https://www.nsnam.org/docs/models/html/energy.html</x:v>
      </x:c>
    </x:row>
    <x:row r="255" ht="120" customHeight="1">
      <x:c r="A255" s="30" t="str">
        <x:v>F251</x:v>
      </x:c>
      <x:c r="B255" s="30" t="str">
        <x:v>无线设备</x:v>
      </x:c>
      <x:c r="C255" s="30" t="str">
        <x:v>radio.enabled</x:v>
      </x:c>
      <x:c r="D255" s="30" t="str">
        <x:v>接口启用</x:v>
      </x:c>
      <x:c r="E255" s="30" t="str">
        <x:v>状态</x:v>
      </x:c>
      <x:c r="F255" s="30" t="str">
        <x:v>bool</x:v>
      </x:c>
      <x:c r="G255" s="30" t="str">
        <x:v>true/false</x:v>
      </x:c>
      <x:c r="H255" s="30" t="str">
        <x:v>ns-3适配/设备管理</x:v>
      </x:c>
      <x:c r="I255" s="30" t="str">
        <x:v>本机配置和反馈；队友通过通信报告</x:v>
      </x:c>
      <x:c r="J255" s="30" t="str">
        <x:v>A032；A033；A034；A035；A036；A037；A065</x:v>
      </x:c>
      <x:c r="K255" s="30" t="str">
        <x:v>A034</x:v>
      </x:c>
      <x:c r="L255" s="30" t="n">
        <x:v>52</x:v>
      </x:c>
      <x:c r="M255" s="30" t="str">
        <x:v>S17；S18；S24</x:v>
      </x:c>
      <x:c r="N255" s="30" t="str">
        <x:v>https://www.nsnam.org/docs/models/html/wifi-design.html
https://www.nsnam.org/docs/models/html/energy.html</x:v>
      </x:c>
    </x:row>
    <x:row r="256" ht="120" customHeight="1">
      <x:c r="A256" s="30" t="str">
        <x:v>F252</x:v>
      </x:c>
      <x:c r="B256" s="30" t="str">
        <x:v>无线设备</x:v>
      </x:c>
      <x:c r="C256" s="30" t="str">
        <x:v>radio.phy_state</x:v>
      </x:c>
      <x:c r="D256" s="30" t="str">
        <x:v>无线状态</x:v>
      </x:c>
      <x:c r="E256" s="30" t="str">
        <x:v>状态</x:v>
      </x:c>
      <x:c r="F256" s="30" t="str">
        <x:v>enum</x:v>
      </x:c>
      <x:c r="G256" s="30" t="str">
        <x:v>idle/tx/rx/cca_busy/sleep/off</x:v>
      </x:c>
      <x:c r="H256" s="30" t="str">
        <x:v>ns-3适配/设备管理</x:v>
      </x:c>
      <x:c r="I256" s="30" t="str">
        <x:v>本机配置和反馈；队友通过通信报告</x:v>
      </x:c>
      <x:c r="J256" s="30" t="str">
        <x:v>A032；A033；A034；A035；A036；A037；A065</x:v>
      </x:c>
      <x:c r="K256" s="30" t="str">
        <x:v>初始化/配置或相应状态所有者；不是任意Agent写入</x:v>
      </x:c>
      <x:c r="L256" s="30" t="n">
        <x:v>52</x:v>
      </x:c>
      <x:c r="M256" s="30" t="str">
        <x:v>S17；S18；S24</x:v>
      </x:c>
      <x:c r="N256" s="30" t="str">
        <x:v>https://www.nsnam.org/docs/models/html/wifi-design.html
https://www.nsnam.org/docs/models/html/energy.html</x:v>
      </x:c>
    </x:row>
    <x:row r="257" ht="120" customHeight="1">
      <x:c r="A257" s="30" t="str">
        <x:v>F253</x:v>
      </x:c>
      <x:c r="B257" s="30" t="str">
        <x:v>无线设备</x:v>
      </x:c>
      <x:c r="C257" s="30" t="str">
        <x:v>radio.queue_bytes</x:v>
      </x:c>
      <x:c r="D257" s="30" t="str">
        <x:v>设备队列字节</x:v>
      </x:c>
      <x:c r="E257" s="30" t="str">
        <x:v>状态</x:v>
      </x:c>
      <x:c r="F257" s="30" t="str">
        <x:v>int</x:v>
      </x:c>
      <x:c r="G257" s="30" t="str">
        <x:v>非负</x:v>
      </x:c>
      <x:c r="H257" s="30" t="str">
        <x:v>ns-3适配/设备管理</x:v>
      </x:c>
      <x:c r="I257" s="30" t="str">
        <x:v>本机配置和反馈；队友通过通信报告</x:v>
      </x:c>
      <x:c r="J257" s="30" t="str">
        <x:v>A032；A033；A034；A035；A036；A037；A065</x:v>
      </x:c>
      <x:c r="K257" s="30" t="str">
        <x:v>A035；A036</x:v>
      </x:c>
      <x:c r="L257" s="30" t="n">
        <x:v>52</x:v>
      </x:c>
      <x:c r="M257" s="30" t="str">
        <x:v>S17；S18；S24</x:v>
      </x:c>
      <x:c r="N257" s="30" t="str">
        <x:v>https://www.nsnam.org/docs/models/html/wifi-design.html
https://www.nsnam.org/docs/models/html/energy.html</x:v>
      </x:c>
    </x:row>
    <x:row r="258" ht="120" customHeight="1">
      <x:c r="A258" s="30" t="str">
        <x:v>F254</x:v>
      </x:c>
      <x:c r="B258" s="30" t="str">
        <x:v>无线设备</x:v>
      </x:c>
      <x:c r="C258" s="30" t="str">
        <x:v>radio.queue_limit_bytes</x:v>
      </x:c>
      <x:c r="D258" s="30" t="str">
        <x:v>队列上限</x:v>
      </x:c>
      <x:c r="E258" s="30" t="str">
        <x:v>配置</x:v>
      </x:c>
      <x:c r="F258" s="30" t="str">
        <x:v>int</x:v>
      </x:c>
      <x:c r="G258" s="30" t="str">
        <x:v>非负</x:v>
      </x:c>
      <x:c r="H258" s="30" t="str">
        <x:v>ns-3适配/设备管理</x:v>
      </x:c>
      <x:c r="I258" s="30" t="str">
        <x:v>本机配置和反馈；队友通过通信报告</x:v>
      </x:c>
      <x:c r="J258" s="30" t="str">
        <x:v>A032；A033；A034；A035；A036；A037；A065</x:v>
      </x:c>
      <x:c r="K258" s="30" t="str">
        <x:v>初始化/配置或相应状态所有者；不是任意Agent写入</x:v>
      </x:c>
      <x:c r="L258" s="30" t="n">
        <x:v>52</x:v>
      </x:c>
      <x:c r="M258" s="30" t="str">
        <x:v>S17；S18；S24</x:v>
      </x:c>
      <x:c r="N258" s="30" t="str">
        <x:v>https://www.nsnam.org/docs/models/html/wifi-design.html
https://www.nsnam.org/docs/models/html/energy.html</x:v>
      </x:c>
    </x:row>
    <x:row r="259" ht="120" customHeight="1">
      <x:c r="A259" s="30" t="str">
        <x:v>F255</x:v>
      </x:c>
      <x:c r="B259" s="30" t="str">
        <x:v>无线设备</x:v>
      </x:c>
      <x:c r="C259" s="30" t="str">
        <x:v>radio.mtu_bytes</x:v>
      </x:c>
      <x:c r="D259" s="30" t="str">
        <x:v>传输单元上限</x:v>
      </x:c>
      <x:c r="E259" s="30" t="str">
        <x:v>配置</x:v>
      </x:c>
      <x:c r="F259" s="30" t="str">
        <x:v>int</x:v>
      </x:c>
      <x:c r="G259" s="30" t="str">
        <x:v>正整数</x:v>
      </x:c>
      <x:c r="H259" s="30" t="str">
        <x:v>ns-3适配/设备管理</x:v>
      </x:c>
      <x:c r="I259" s="30" t="str">
        <x:v>本机配置和反馈；队友通过通信报告</x:v>
      </x:c>
      <x:c r="J259" s="30" t="str">
        <x:v>A032；A033；A034；A035；A036；A037；A065</x:v>
      </x:c>
      <x:c r="K259" s="30" t="str">
        <x:v>初始化/配置或相应状态所有者；不是任意Agent写入</x:v>
      </x:c>
      <x:c r="L259" s="30" t="n">
        <x:v>52</x:v>
      </x:c>
      <x:c r="M259" s="30" t="str">
        <x:v>S17；S18；S24</x:v>
      </x:c>
      <x:c r="N259" s="30" t="str">
        <x:v>https://www.nsnam.org/docs/models/html/wifi-design.html
https://www.nsnam.org/docs/models/html/energy.html</x:v>
      </x:c>
    </x:row>
    <x:row r="260" ht="120" customHeight="1">
      <x:c r="A260" s="30" t="str">
        <x:v>F256</x:v>
      </x:c>
      <x:c r="B260" s="30" t="str">
        <x:v>无线设备</x:v>
      </x:c>
      <x:c r="C260" s="30" t="str">
        <x:v>radio.retry_limit</x:v>
      </x:c>
      <x:c r="D260" s="30" t="str">
        <x:v>重试限制</x:v>
      </x:c>
      <x:c r="E260" s="30" t="str">
        <x:v>配置</x:v>
      </x:c>
      <x:c r="F260" s="30" t="str">
        <x:v>int</x:v>
      </x:c>
      <x:c r="G260" s="30" t="str">
        <x:v>非负，区分MAC与应用层</x:v>
      </x:c>
      <x:c r="H260" s="30" t="str">
        <x:v>ns-3适配/设备管理</x:v>
      </x:c>
      <x:c r="I260" s="30" t="str">
        <x:v>本机配置和反馈；队友通过通信报告</x:v>
      </x:c>
      <x:c r="J260" s="30" t="str">
        <x:v>A032；A033；A034；A035；A036；A037；A065</x:v>
      </x:c>
      <x:c r="K260" s="30" t="str">
        <x:v>初始化/配置或相应状态所有者；不是任意Agent写入</x:v>
      </x:c>
      <x:c r="L260" s="30" t="n">
        <x:v>52</x:v>
      </x:c>
      <x:c r="M260" s="30" t="str">
        <x:v>S17；S18；S24</x:v>
      </x:c>
      <x:c r="N260" s="30" t="str">
        <x:v>https://www.nsnam.org/docs/models/html/wifi-design.html
https://www.nsnam.org/docs/models/html/energy.html</x:v>
      </x:c>
    </x:row>
    <x:row r="261" ht="120" customHeight="1">
      <x:c r="A261" s="30" t="str">
        <x:v>F257</x:v>
      </x:c>
      <x:c r="B261" s="30" t="str">
        <x:v>无线设备</x:v>
      </x:c>
      <x:c r="C261" s="30" t="str">
        <x:v>radio.routing_mode</x:v>
      </x:c>
      <x:c r="D261" s="30" t="str">
        <x:v>转发方式</x:v>
      </x:c>
      <x:c r="E261" s="30" t="str">
        <x:v>配置</x:v>
      </x:c>
      <x:c r="F261" s="30" t="str">
        <x:v>enum</x:v>
      </x:c>
      <x:c r="G261" s="30" t="str">
        <x:v>direct/IP_multihop/application_store_forward</x:v>
      </x:c>
      <x:c r="H261" s="30" t="str">
        <x:v>ns-3适配/设备管理</x:v>
      </x:c>
      <x:c r="I261" s="30" t="str">
        <x:v>本机配置和反馈；队友通过通信报告</x:v>
      </x:c>
      <x:c r="J261" s="30" t="str">
        <x:v>A032；A033；A034；A035；A036；A037；A065</x:v>
      </x:c>
      <x:c r="K261" s="30" t="str">
        <x:v>A033</x:v>
      </x:c>
      <x:c r="L261" s="30" t="n">
        <x:v>52</x:v>
      </x:c>
      <x:c r="M261" s="30" t="str">
        <x:v>S17；S18；S24</x:v>
      </x:c>
      <x:c r="N261" s="30" t="str">
        <x:v>https://www.nsnam.org/docs/models/html/wifi-design.html
https://www.nsnam.org/docs/models/html/energy.html</x:v>
      </x:c>
    </x:row>
    <x:row r="262" ht="120" customHeight="1">
      <x:c r="A262" s="30" t="str">
        <x:v>F258</x:v>
      </x:c>
      <x:c r="B262" s="30" t="str">
        <x:v>无线设备</x:v>
      </x:c>
      <x:c r="C262" s="30" t="str">
        <x:v>radio.energy_Wh</x:v>
      </x:c>
      <x:c r="D262" s="30" t="str">
        <x:v>无线累计能耗</x:v>
      </x:c>
      <x:c r="E262" s="30" t="str">
        <x:v>状态</x:v>
      </x:c>
      <x:c r="F262" s="30" t="str">
        <x:v>float</x:v>
      </x:c>
      <x:c r="G262" s="30" t="str">
        <x:v>非负；仅统一能源账本子项</x:v>
      </x:c>
      <x:c r="H262" s="30" t="str">
        <x:v>ns-3适配/设备管理</x:v>
      </x:c>
      <x:c r="I262" s="30" t="str">
        <x:v>本机配置和反馈；队友通过通信报告</x:v>
      </x:c>
      <x:c r="J262" s="30" t="str">
        <x:v>A032；A033；A034；A035；A036；A037；A065</x:v>
      </x:c>
      <x:c r="K262" s="30" t="str">
        <x:v>初始化/配置或相应状态所有者；不是任意Agent写入</x:v>
      </x:c>
      <x:c r="L262" s="30" t="n">
        <x:v>52</x:v>
      </x:c>
      <x:c r="M262" s="30" t="str">
        <x:v>S17；S18；S24</x:v>
      </x:c>
      <x:c r="N262" s="30" t="str">
        <x:v>https://www.nsnam.org/docs/models/html/wifi-design.html
https://www.nsnam.org/docs/models/html/energy.html</x:v>
      </x:c>
    </x:row>
    <x:row r="263" ht="120" customHeight="1">
      <x:c r="A263" s="30" t="str">
        <x:v>F259</x:v>
      </x:c>
      <x:c r="B263" s="30" t="str">
        <x:v>无线设备</x:v>
      </x:c>
      <x:c r="C263" s="30" t="str">
        <x:v>radio.position_source</x:v>
      </x:c>
      <x:c r="D263" s="30" t="str">
        <x:v>位置同步来源</x:v>
      </x:c>
      <x:c r="E263" s="30" t="str">
        <x:v>配置</x:v>
      </x:c>
      <x:c r="F263" s="30" t="str">
        <x:v>id</x:v>
      </x:c>
      <x:c r="G263" s="30" t="str">
        <x:v>统一实体位姿及仿真时刻</x:v>
      </x:c>
      <x:c r="H263" s="30" t="str">
        <x:v>ns-3适配/设备管理</x:v>
      </x:c>
      <x:c r="I263" s="30" t="str">
        <x:v>本机配置和反馈；队友通过通信报告</x:v>
      </x:c>
      <x:c r="J263" s="30" t="str">
        <x:v>A032；A033；A034；A035；A036；A037；A065</x:v>
      </x:c>
      <x:c r="K263" s="30" t="str">
        <x:v>初始化/配置或相应状态所有者；不是任意Agent写入</x:v>
      </x:c>
      <x:c r="L263" s="30" t="n">
        <x:v>52</x:v>
      </x:c>
      <x:c r="M263" s="30" t="str">
        <x:v>S17；S18；S24</x:v>
      </x:c>
      <x:c r="N263" s="30" t="str">
        <x:v>https://www.nsnam.org/docs/models/html/wifi-design.html
https://www.nsnam.org/docs/models/html/energy.html</x:v>
      </x:c>
    </x:row>
    <x:row r="264" ht="120" customHeight="1">
      <x:c r="A264" s="30" t="str">
        <x:v>F260</x:v>
      </x:c>
      <x:c r="B264" s="30" t="str">
        <x:v>无线设备</x:v>
      </x:c>
      <x:c r="C264" s="30" t="str">
        <x:v>radio.last_contact_s</x:v>
      </x:c>
      <x:c r="D264" s="30" t="str">
        <x:v>最近有效联系</x:v>
      </x:c>
      <x:c r="E264" s="30" t="str">
        <x:v>状态</x:v>
      </x:c>
      <x:c r="F264" s="30" t="str">
        <x:v>float</x:v>
      </x:c>
      <x:c r="G264" s="30" t="str">
        <x:v>null或仿真时间</x:v>
      </x:c>
      <x:c r="H264" s="30" t="str">
        <x:v>ns-3适配/设备管理</x:v>
      </x:c>
      <x:c r="I264" s="30" t="str">
        <x:v>本机配置和反馈；队友通过通信报告</x:v>
      </x:c>
      <x:c r="J264" s="30" t="str">
        <x:v>A032；A033；A034；A035；A036；A037；A065</x:v>
      </x:c>
      <x:c r="K264" s="30" t="str">
        <x:v>初始化/配置或相应状态所有者；不是任意Agent写入</x:v>
      </x:c>
      <x:c r="L264" s="30" t="n">
        <x:v>52</x:v>
      </x:c>
      <x:c r="M264" s="30" t="str">
        <x:v>S17；S18；S24</x:v>
      </x:c>
      <x:c r="N264" s="30" t="str">
        <x:v>https://www.nsnam.org/docs/models/html/wifi-design.html
https://www.nsnam.org/docs/models/html/energy.html</x:v>
      </x:c>
    </x:row>
    <x:row r="265" ht="120" customHeight="1">
      <x:c r="A265" s="30" t="str">
        <x:v>F261</x:v>
      </x:c>
      <x:c r="B265" s="30" t="str">
        <x:v>无线设备</x:v>
      </x:c>
      <x:c r="C265" s="30" t="str">
        <x:v>radio.relay_enabled</x:v>
      </x:c>
      <x:c r="D265" s="30" t="str">
        <x:v>中继功能启用</x:v>
      </x:c>
      <x:c r="E265" s="30" t="str">
        <x:v>状态</x:v>
      </x:c>
      <x:c r="F265" s="30" t="str">
        <x:v>bool</x:v>
      </x:c>
      <x:c r="G265" s="30" t="str">
        <x:v>true/false，实际可用另由流量反馈判断</x:v>
      </x:c>
      <x:c r="H265" s="30" t="str">
        <x:v>ns-3适配/设备管理</x:v>
      </x:c>
      <x:c r="I265" s="30" t="str">
        <x:v>本机配置和反馈；队友通过通信报告</x:v>
      </x:c>
      <x:c r="J265" s="30" t="str">
        <x:v>A032；A033；A034；A035；A036；A037；A065</x:v>
      </x:c>
      <x:c r="K265" s="30" t="str">
        <x:v>A033；A034</x:v>
      </x:c>
      <x:c r="L265" s="30" t="n">
        <x:v>52</x:v>
      </x:c>
      <x:c r="M265" s="30" t="str">
        <x:v>S17；S18；S24</x:v>
      </x:c>
      <x:c r="N265" s="30" t="str">
        <x:v>https://www.nsnam.org/docs/models/html/wifi-design.html
https://www.nsnam.org/docs/models/html/energy.html</x:v>
      </x:c>
    </x:row>
    <x:row r="266" ht="120" customHeight="1">
      <x:c r="A266" s="30" t="str">
        <x:v>F262</x:v>
      </x:c>
      <x:c r="B266" s="30" t="str">
        <x:v>链路观测与派生</x:v>
      </x:c>
      <x:c r="C266" s="30" t="str">
        <x:v>link.sender_id</x:v>
      </x:c>
      <x:c r="D266" s="30" t="str">
        <x:v>链路发送端</x:v>
      </x:c>
      <x:c r="E266" s="30" t="str">
        <x:v>标识</x:v>
      </x:c>
      <x:c r="F266" s="30" t="str">
        <x:v>id</x:v>
      </x:c>
      <x:c r="G266" s="30" t="str">
        <x:v>接口或节点</x:v>
      </x:c>
      <x:c r="H266" s="30" t="str">
        <x:v>ns-3统计/本机探测</x:v>
      </x:c>
      <x:c r="I266" s="30" t="str">
        <x:v>只能使用实际测得或显式估计的量</x:v>
      </x:c>
      <x:c r="J266" s="30" t="str">
        <x:v>A032；A033；A035；A036；A037；A042；A065</x:v>
      </x:c>
      <x:c r="K266" s="30" t="str">
        <x:v>初始化/配置或相应状态所有者；不是任意Agent写入</x:v>
      </x:c>
      <x:c r="L266" s="30" t="n">
        <x:v>53</x:v>
      </x:c>
      <x:c r="M266" s="30" t="str">
        <x:v>S17；S24；S25</x:v>
      </x:c>
      <x:c r="N266" s="30" t="str">
        <x:v>https://www.nsnam.org/docs/models/html/wifi-design.html</x:v>
      </x:c>
    </x:row>
    <x:row r="267" ht="120" customHeight="1">
      <x:c r="A267" s="30" t="str">
        <x:v>F263</x:v>
      </x:c>
      <x:c r="B267" s="30" t="str">
        <x:v>链路观测与派生</x:v>
      </x:c>
      <x:c r="C267" s="30" t="str">
        <x:v>link.receiver_id</x:v>
      </x:c>
      <x:c r="D267" s="30" t="str">
        <x:v>链路接收端</x:v>
      </x:c>
      <x:c r="E267" s="30" t="str">
        <x:v>标识</x:v>
      </x:c>
      <x:c r="F267" s="30" t="str">
        <x:v>id</x:v>
      </x:c>
      <x:c r="G267" s="30" t="str">
        <x:v>接口或节点</x:v>
      </x:c>
      <x:c r="H267" s="30" t="str">
        <x:v>ns-3统计/本机探测</x:v>
      </x:c>
      <x:c r="I267" s="30" t="str">
        <x:v>只能使用实际测得或显式估计的量</x:v>
      </x:c>
      <x:c r="J267" s="30" t="str">
        <x:v>A032；A033；A035；A036；A037；A042；A065</x:v>
      </x:c>
      <x:c r="K267" s="30" t="str">
        <x:v>初始化/配置或相应状态所有者；不是任意Agent写入</x:v>
      </x:c>
      <x:c r="L267" s="30" t="n">
        <x:v>53</x:v>
      </x:c>
      <x:c r="M267" s="30" t="str">
        <x:v>S17；S24；S25</x:v>
      </x:c>
      <x:c r="N267" s="30" t="str">
        <x:v>https://www.nsnam.org/docs/models/html/wifi-design.html</x:v>
      </x:c>
    </x:row>
    <x:row r="268" ht="120" customHeight="1">
      <x:c r="A268" s="30" t="str">
        <x:v>F264</x:v>
      </x:c>
      <x:c r="B268" s="30" t="str">
        <x:v>链路观测与派生</x:v>
      </x:c>
      <x:c r="C268" s="30" t="str">
        <x:v>link.state</x:v>
      </x:c>
      <x:c r="D268" s="30" t="str">
        <x:v>链路估计状态</x:v>
      </x:c>
      <x:c r="E268" s="30" t="str">
        <x:v>派生</x:v>
      </x:c>
      <x:c r="F268" s="30" t="str">
        <x:v>enum</x:v>
      </x:c>
      <x:c r="G268" s="30" t="str">
        <x:v>unknown/reachable/intermittent/unreachable</x:v>
      </x:c>
      <x:c r="H268" s="30" t="str">
        <x:v>ns-3统计/本机探测</x:v>
      </x:c>
      <x:c r="I268" s="30" t="str">
        <x:v>只能使用实际测得或显式估计的量</x:v>
      </x:c>
      <x:c r="J268" s="30" t="str">
        <x:v>A032；A033；A035；A036；A037；A042；A065</x:v>
      </x:c>
      <x:c r="K268" s="30" t="str">
        <x:v>A032</x:v>
      </x:c>
      <x:c r="L268" s="30" t="n">
        <x:v>53</x:v>
      </x:c>
      <x:c r="M268" s="30" t="str">
        <x:v>S17；S24；S25</x:v>
      </x:c>
      <x:c r="N268" s="30" t="str">
        <x:v>https://www.nsnam.org/docs/models/html/wifi-design.html</x:v>
      </x:c>
    </x:row>
    <x:row r="269" ht="120" customHeight="1">
      <x:c r="A269" s="30" t="str">
        <x:v>F265</x:v>
      </x:c>
      <x:c r="B269" s="30" t="str">
        <x:v>链路观测与派生</x:v>
      </x:c>
      <x:c r="C269" s="30" t="str">
        <x:v>link.rssi_dbm</x:v>
      </x:c>
      <x:c r="D269" s="30" t="str">
        <x:v>RSSI</x:v>
      </x:c>
      <x:c r="E269" s="30" t="str">
        <x:v>记录</x:v>
      </x:c>
      <x:c r="F269" s="30" t="str">
        <x:v>float</x:v>
      </x:c>
      <x:c r="G269" s="30" t="str">
        <x:v>null或后端实际可测值</x:v>
      </x:c>
      <x:c r="H269" s="30" t="str">
        <x:v>ns-3统计/本机探测</x:v>
      </x:c>
      <x:c r="I269" s="30" t="str">
        <x:v>只能使用实际测得或显式估计的量</x:v>
      </x:c>
      <x:c r="J269" s="30" t="str">
        <x:v>A032；A033；A035；A036；A037；A042；A065</x:v>
      </x:c>
      <x:c r="K269" s="30" t="str">
        <x:v>A032</x:v>
      </x:c>
      <x:c r="L269" s="30" t="n">
        <x:v>53</x:v>
      </x:c>
      <x:c r="M269" s="30" t="str">
        <x:v>S17；S24；S25</x:v>
      </x:c>
      <x:c r="N269" s="30" t="str">
        <x:v>https://www.nsnam.org/docs/models/html/wifi-design.html</x:v>
      </x:c>
    </x:row>
    <x:row r="270" ht="120" customHeight="1">
      <x:c r="A270" s="30" t="str">
        <x:v>F266</x:v>
      </x:c>
      <x:c r="B270" s="30" t="str">
        <x:v>链路观测与派生</x:v>
      </x:c>
      <x:c r="C270" s="30" t="str">
        <x:v>link.sinr_db</x:v>
      </x:c>
      <x:c r="D270" s="30" t="str">
        <x:v>SINR</x:v>
      </x:c>
      <x:c r="E270" s="30" t="str">
        <x:v>记录</x:v>
      </x:c>
      <x:c r="F270" s="30" t="str">
        <x:v>float</x:v>
      </x:c>
      <x:c r="G270" s="30" t="str">
        <x:v>null或后端实际可测值</x:v>
      </x:c>
      <x:c r="H270" s="30" t="str">
        <x:v>ns-3统计/本机探测</x:v>
      </x:c>
      <x:c r="I270" s="30" t="str">
        <x:v>只能使用实际测得或显式估计的量</x:v>
      </x:c>
      <x:c r="J270" s="30" t="str">
        <x:v>A032；A033；A035；A036；A037；A042；A065</x:v>
      </x:c>
      <x:c r="K270" s="30" t="str">
        <x:v>A032</x:v>
      </x:c>
      <x:c r="L270" s="30" t="n">
        <x:v>53</x:v>
      </x:c>
      <x:c r="M270" s="30" t="str">
        <x:v>S17；S24；S25</x:v>
      </x:c>
      <x:c r="N270" s="30" t="str">
        <x:v>https://www.nsnam.org/docs/models/html/wifi-design.html</x:v>
      </x:c>
    </x:row>
    <x:row r="271" ht="120" customHeight="1">
      <x:c r="A271" s="30" t="str">
        <x:v>F267</x:v>
      </x:c>
      <x:c r="B271" s="30" t="str">
        <x:v>链路观测与派生</x:v>
      </x:c>
      <x:c r="C271" s="30" t="str">
        <x:v>link.goodput_bps</x:v>
      </x:c>
      <x:c r="D271" s="30" t="str">
        <x:v>有效吞吐估计</x:v>
      </x:c>
      <x:c r="E271" s="30" t="str">
        <x:v>派生</x:v>
      </x:c>
      <x:c r="F271" s="30" t="str">
        <x:v>float</x:v>
      </x:c>
      <x:c r="G271" s="30" t="str">
        <x:v>非负，带采样窗口</x:v>
      </x:c>
      <x:c r="H271" s="30" t="str">
        <x:v>ns-3统计/本机探测</x:v>
      </x:c>
      <x:c r="I271" s="30" t="str">
        <x:v>只能使用实际测得或显式估计的量</x:v>
      </x:c>
      <x:c r="J271" s="30" t="str">
        <x:v>A032；A033；A035；A036；A037；A042；A065</x:v>
      </x:c>
      <x:c r="K271" s="30" t="str">
        <x:v>初始化/配置或相应状态所有者；不是任意Agent写入</x:v>
      </x:c>
      <x:c r="L271" s="30" t="n">
        <x:v>53</x:v>
      </x:c>
      <x:c r="M271" s="30" t="str">
        <x:v>S17；S24；S25</x:v>
      </x:c>
      <x:c r="N271" s="30" t="str">
        <x:v>https://www.nsnam.org/docs/models/html/wifi-design.html</x:v>
      </x:c>
    </x:row>
    <x:row r="272" ht="120" customHeight="1">
      <x:c r="A272" s="30" t="str">
        <x:v>F268</x:v>
      </x:c>
      <x:c r="B272" s="30" t="str">
        <x:v>链路观测与派生</x:v>
      </x:c>
      <x:c r="C272" s="30" t="str">
        <x:v>link.latency_s</x:v>
      </x:c>
      <x:c r="D272" s="30" t="str">
        <x:v>链路时延统计</x:v>
      </x:c>
      <x:c r="E272" s="30" t="str">
        <x:v>派生</x:v>
      </x:c>
      <x:c r="F272" s="30" t="str">
        <x:v>record</x:v>
      </x:c>
      <x:c r="G272" s="30" t="str">
        <x:v>均值/分位/窗口；不是固定常数</x:v>
      </x:c>
      <x:c r="H272" s="30" t="str">
        <x:v>ns-3统计/本机探测</x:v>
      </x:c>
      <x:c r="I272" s="30" t="str">
        <x:v>只能使用实际测得或显式估计的量</x:v>
      </x:c>
      <x:c r="J272" s="30" t="str">
        <x:v>A032；A033；A035；A036；A037；A042；A065</x:v>
      </x:c>
      <x:c r="K272" s="30" t="str">
        <x:v>初始化/配置或相应状态所有者；不是任意Agent写入</x:v>
      </x:c>
      <x:c r="L272" s="30" t="n">
        <x:v>53</x:v>
      </x:c>
      <x:c r="M272" s="30" t="str">
        <x:v>S17；S24；S25</x:v>
      </x:c>
      <x:c r="N272" s="30" t="str">
        <x:v>https://www.nsnam.org/docs/models/html/wifi-design.html</x:v>
      </x:c>
    </x:row>
    <x:row r="273" ht="120" customHeight="1">
      <x:c r="A273" s="30" t="str">
        <x:v>F269</x:v>
      </x:c>
      <x:c r="B273" s="30" t="str">
        <x:v>链路观测与派生</x:v>
      </x:c>
      <x:c r="C273" s="30" t="str">
        <x:v>link.loss_rate</x:v>
      </x:c>
      <x:c r="D273" s="30" t="str">
        <x:v>丢失比例</x:v>
      </x:c>
      <x:c r="E273" s="30" t="str">
        <x:v>派生</x:v>
      </x:c>
      <x:c r="F273" s="30" t="str">
        <x:v>float</x:v>
      </x:c>
      <x:c r="G273" s="30" t="str">
        <x:v>[0,1]，统计样本数另存</x:v>
      </x:c>
      <x:c r="H273" s="30" t="str">
        <x:v>ns-3统计/本机探测</x:v>
      </x:c>
      <x:c r="I273" s="30" t="str">
        <x:v>只能使用实际测得或显式估计的量</x:v>
      </x:c>
      <x:c r="J273" s="30" t="str">
        <x:v>A032；A033；A035；A036；A037；A042；A065</x:v>
      </x:c>
      <x:c r="K273" s="30" t="str">
        <x:v>初始化/配置或相应状态所有者；不是任意Agent写入</x:v>
      </x:c>
      <x:c r="L273" s="30" t="n">
        <x:v>53</x:v>
      </x:c>
      <x:c r="M273" s="30" t="str">
        <x:v>S17；S24；S25</x:v>
      </x:c>
      <x:c r="N273" s="30" t="str">
        <x:v>https://www.nsnam.org/docs/models/html/wifi-design.html</x:v>
      </x:c>
    </x:row>
    <x:row r="274" ht="120" customHeight="1">
      <x:c r="A274" s="30" t="str">
        <x:v>F270</x:v>
      </x:c>
      <x:c r="B274" s="30" t="str">
        <x:v>链路观测与派生</x:v>
      </x:c>
      <x:c r="C274" s="30" t="str">
        <x:v>link.sample_count</x:v>
      </x:c>
      <x:c r="D274" s="30" t="str">
        <x:v>统计样本数</x:v>
      </x:c>
      <x:c r="E274" s="30" t="str">
        <x:v>记录</x:v>
      </x:c>
      <x:c r="F274" s="30" t="str">
        <x:v>int</x:v>
      </x:c>
      <x:c r="G274" s="30" t="str">
        <x:v>非负</x:v>
      </x:c>
      <x:c r="H274" s="30" t="str">
        <x:v>ns-3统计/本机探测</x:v>
      </x:c>
      <x:c r="I274" s="30" t="str">
        <x:v>只能使用实际测得或显式估计的量</x:v>
      </x:c>
      <x:c r="J274" s="30" t="str">
        <x:v>A032；A033；A035；A036；A037；A042；A065</x:v>
      </x:c>
      <x:c r="K274" s="30" t="str">
        <x:v>A032</x:v>
      </x:c>
      <x:c r="L274" s="30" t="n">
        <x:v>53</x:v>
      </x:c>
      <x:c r="M274" s="30" t="str">
        <x:v>S17；S24；S25</x:v>
      </x:c>
      <x:c r="N274" s="30" t="str">
        <x:v>https://www.nsnam.org/docs/models/html/wifi-design.html</x:v>
      </x:c>
    </x:row>
    <x:row r="275" ht="120" customHeight="1">
      <x:c r="A275" s="30" t="str">
        <x:v>F271</x:v>
      </x:c>
      <x:c r="B275" s="30" t="str">
        <x:v>链路观测与派生</x:v>
      </x:c>
      <x:c r="C275" s="30" t="str">
        <x:v>link.sampled_at_s</x:v>
      </x:c>
      <x:c r="D275" s="30" t="str">
        <x:v>最近采样时间</x:v>
      </x:c>
      <x:c r="E275" s="30" t="str">
        <x:v>记录</x:v>
      </x:c>
      <x:c r="F275" s="30" t="str">
        <x:v>float</x:v>
      </x:c>
      <x:c r="G275" s="30" t="str">
        <x:v>仿真时间</x:v>
      </x:c>
      <x:c r="H275" s="30" t="str">
        <x:v>ns-3统计/本机探测</x:v>
      </x:c>
      <x:c r="I275" s="30" t="str">
        <x:v>只能使用实际测得或显式估计的量</x:v>
      </x:c>
      <x:c r="J275" s="30" t="str">
        <x:v>A032；A033；A035；A036；A037；A042；A065</x:v>
      </x:c>
      <x:c r="K275" s="30" t="str">
        <x:v>A032</x:v>
      </x:c>
      <x:c r="L275" s="30" t="n">
        <x:v>53</x:v>
      </x:c>
      <x:c r="M275" s="30" t="str">
        <x:v>S17；S24；S25</x:v>
      </x:c>
      <x:c r="N275" s="30" t="str">
        <x:v>https://www.nsnam.org/docs/models/html/wifi-design.html</x:v>
      </x:c>
    </x:row>
    <x:row r="276" ht="120" customHeight="1">
      <x:c r="A276" s="30" t="str">
        <x:v>F272</x:v>
      </x:c>
      <x:c r="B276" s="30" t="str">
        <x:v>链路观测与派生</x:v>
      </x:c>
      <x:c r="C276" s="30" t="str">
        <x:v>link.route</x:v>
      </x:c>
      <x:c r="D276" s="30" t="str">
        <x:v>实际或估计转发路径</x:v>
      </x:c>
      <x:c r="E276" s="30" t="str">
        <x:v>状态</x:v>
      </x:c>
      <x:c r="F276" s="30" t="str">
        <x:v>list[id]</x:v>
      </x:c>
      <x:c r="G276" s="30" t="str">
        <x:v>逐跳节点及策略来源</x:v>
      </x:c>
      <x:c r="H276" s="30" t="str">
        <x:v>ns-3统计/本机探测</x:v>
      </x:c>
      <x:c r="I276" s="30" t="str">
        <x:v>只能使用实际测得或显式估计的量</x:v>
      </x:c>
      <x:c r="J276" s="30" t="str">
        <x:v>A032；A033；A035；A036；A037；A042；A065</x:v>
      </x:c>
      <x:c r="K276" s="30" t="str">
        <x:v>初始化/配置或相应状态所有者；不是任意Agent写入</x:v>
      </x:c>
      <x:c r="L276" s="30" t="n">
        <x:v>53</x:v>
      </x:c>
      <x:c r="M276" s="30" t="str">
        <x:v>S17；S24；S25</x:v>
      </x:c>
      <x:c r="N276" s="30" t="str">
        <x:v>https://www.nsnam.org/docs/models/html/wifi-design.html</x:v>
      </x:c>
    </x:row>
    <x:row r="277" ht="120" customHeight="1">
      <x:c r="A277" s="30" t="str">
        <x:v>F273</x:v>
      </x:c>
      <x:c r="B277" s="30" t="str">
        <x:v>链路观测与派生</x:v>
      </x:c>
      <x:c r="C277" s="30" t="str">
        <x:v>link.outage_duration_s</x:v>
      </x:c>
      <x:c r="D277" s="30" t="str">
        <x:v>持续失联时长</x:v>
      </x:c>
      <x:c r="E277" s="30" t="str">
        <x:v>派生</x:v>
      </x:c>
      <x:c r="F277" s="30" t="str">
        <x:v>float</x:v>
      </x:c>
      <x:c r="G277" s="30" t="str">
        <x:v>非负</x:v>
      </x:c>
      <x:c r="H277" s="30" t="str">
        <x:v>ns-3统计/本机探测</x:v>
      </x:c>
      <x:c r="I277" s="30" t="str">
        <x:v>只能使用实际测得或显式估计的量</x:v>
      </x:c>
      <x:c r="J277" s="30" t="str">
        <x:v>A032；A033；A035；A036；A037；A042；A065</x:v>
      </x:c>
      <x:c r="K277" s="30" t="str">
        <x:v>初始化/配置或相应状态所有者；不是任意Agent写入</x:v>
      </x:c>
      <x:c r="L277" s="30" t="n">
        <x:v>53</x:v>
      </x:c>
      <x:c r="M277" s="30" t="str">
        <x:v>S17；S24；S25</x:v>
      </x:c>
      <x:c r="N277" s="30" t="str">
        <x:v>https://www.nsnam.org/docs/models/html/wifi-design.html</x:v>
      </x:c>
    </x:row>
    <x:row r="278" ht="120" customHeight="1">
      <x:c r="A278" s="30" t="str">
        <x:v>F274</x:v>
      </x:c>
      <x:c r="B278" s="30" t="str">
        <x:v>链路观测与派生</x:v>
      </x:c>
      <x:c r="C278" s="30" t="str">
        <x:v>link.quality_source</x:v>
      </x:c>
      <x:c r="D278" s="30" t="str">
        <x:v>链路知识来源</x:v>
      </x:c>
      <x:c r="E278" s="30" t="str">
        <x:v>标识</x:v>
      </x:c>
      <x:c r="F278" s="30" t="str">
        <x:v>enum</x:v>
      </x:c>
      <x:c r="G278" s="30" t="str">
        <x:v>probe/delivery_log/model_estimate</x:v>
      </x:c>
      <x:c r="H278" s="30" t="str">
        <x:v>ns-3统计/本机探测</x:v>
      </x:c>
      <x:c r="I278" s="30" t="str">
        <x:v>只能使用实际测得或显式估计的量</x:v>
      </x:c>
      <x:c r="J278" s="30" t="str">
        <x:v>A032；A033；A035；A036；A037；A042；A065</x:v>
      </x:c>
      <x:c r="K278" s="30" t="str">
        <x:v>初始化/配置或相应状态所有者；不是任意Agent写入</x:v>
      </x:c>
      <x:c r="L278" s="30" t="n">
        <x:v>53</x:v>
      </x:c>
      <x:c r="M278" s="30" t="str">
        <x:v>S17；S24；S25</x:v>
      </x:c>
      <x:c r="N278" s="30" t="str">
        <x:v>https://www.nsnam.org/docs/models/html/wifi-design.html</x:v>
      </x:c>
    </x:row>
    <x:row r="279" ht="120" customHeight="1">
      <x:c r="A279" s="30" t="str">
        <x:v>F275</x:v>
      </x:c>
      <x:c r="B279" s="30" t="str">
        <x:v>业务消息与数据传输</x:v>
      </x:c>
      <x:c r="C279" s="30" t="str">
        <x:v>message.kind</x:v>
      </x:c>
      <x:c r="D279" s="30" t="str">
        <x:v>消息类型</x:v>
      </x:c>
      <x:c r="E279" s="30" t="str">
        <x:v>配置</x:v>
      </x:c>
      <x:c r="F279" s="30" t="str">
        <x:v>enum</x:v>
      </x:c>
      <x:c r="G279" s="30" t="str">
        <x:v>cue/report/evidence/task/bid/assignment/ack/correction/result/control</x:v>
      </x:c>
      <x:c r="H279" s="30" t="str">
        <x:v>通信适配/应用收件器</x:v>
      </x:c>
      <x:c r="I279" s="30" t="str">
        <x:v>发送者/实际接收者各自可读</x:v>
      </x:c>
      <x:c r="J279" s="30" t="str">
        <x:v>A027；A032；A035；A036；A037；A041；A042；A047；A052；A053；A054；A058；A059；A060；A065</x:v>
      </x:c>
      <x:c r="K279" s="30" t="str">
        <x:v>初始化/配置或相应状态所有者；不是任意Agent写入</x:v>
      </x:c>
      <x:c r="L279" s="30" t="n">
        <x:v>91</x:v>
      </x:c>
      <x:c r="M279" s="30" t="str">
        <x:v>S17；S24；S25</x:v>
      </x:c>
      <x:c r="N279" s="30" t="str">
        <x:v>https://www.nsnam.org/docs/models/html/wifi-design.html</x:v>
      </x:c>
    </x:row>
    <x:row r="280" ht="120" customHeight="1">
      <x:c r="A280" s="30" t="str">
        <x:v>F276</x:v>
      </x:c>
      <x:c r="B280" s="30" t="str">
        <x:v>业务消息与数据传输</x:v>
      </x:c>
      <x:c r="C280" s="30" t="str">
        <x:v>message.sender_id</x:v>
      </x:c>
      <x:c r="D280" s="30" t="str">
        <x:v>发送者</x:v>
      </x:c>
      <x:c r="E280" s="30" t="str">
        <x:v>标识</x:v>
      </x:c>
      <x:c r="F280" s="30" t="str">
        <x:v>id</x:v>
      </x:c>
      <x:c r="G280" s="30" t="str">
        <x:v>Agent或服务</x:v>
      </x:c>
      <x:c r="H280" s="30" t="str">
        <x:v>通信适配/应用收件器</x:v>
      </x:c>
      <x:c r="I280" s="30" t="str">
        <x:v>发送者/实际接收者各自可读</x:v>
      </x:c>
      <x:c r="J280" s="30" t="str">
        <x:v>A027；A032；A035；A036；A037；A041；A042；A047；A052；A053；A054；A058；A059；A060；A065</x:v>
      </x:c>
      <x:c r="K280" s="30" t="str">
        <x:v>初始化/配置或相应状态所有者；不是任意Agent写入</x:v>
      </x:c>
      <x:c r="L280" s="30" t="n">
        <x:v>91</x:v>
      </x:c>
      <x:c r="M280" s="30" t="str">
        <x:v>S17；S24；S25</x:v>
      </x:c>
      <x:c r="N280" s="30" t="str">
        <x:v>https://www.nsnam.org/docs/models/html/wifi-design.html</x:v>
      </x:c>
    </x:row>
    <x:row r="281" ht="120" customHeight="1">
      <x:c r="A281" s="30" t="str">
        <x:v>F277</x:v>
      </x:c>
      <x:c r="B281" s="30" t="str">
        <x:v>业务消息与数据传输</x:v>
      </x:c>
      <x:c r="C281" s="30" t="str">
        <x:v>message.receiver_ids</x:v>
      </x:c>
      <x:c r="D281" s="30" t="str">
        <x:v>接收者</x:v>
      </x:c>
      <x:c r="E281" s="30" t="str">
        <x:v>配置</x:v>
      </x:c>
      <x:c r="F281" s="30" t="str">
        <x:v>list[id]</x:v>
      </x:c>
      <x:c r="G281" s="30" t="str">
        <x:v>显式集合</x:v>
      </x:c>
      <x:c r="H281" s="30" t="str">
        <x:v>通信适配/应用收件器</x:v>
      </x:c>
      <x:c r="I281" s="30" t="str">
        <x:v>发送者/实际接收者各自可读</x:v>
      </x:c>
      <x:c r="J281" s="30" t="str">
        <x:v>A027；A032；A035；A036；A037；A041；A042；A047；A052；A053；A054；A058；A059；A060；A065</x:v>
      </x:c>
      <x:c r="K281" s="30" t="str">
        <x:v>初始化/配置或相应状态所有者；不是任意Agent写入</x:v>
      </x:c>
      <x:c r="L281" s="30" t="n">
        <x:v>91</x:v>
      </x:c>
      <x:c r="M281" s="30" t="str">
        <x:v>S17；S24；S25</x:v>
      </x:c>
      <x:c r="N281" s="30" t="str">
        <x:v>https://www.nsnam.org/docs/models/html/wifi-design.html</x:v>
      </x:c>
    </x:row>
    <x:row r="282" ht="120" customHeight="1">
      <x:c r="A282" s="30" t="str">
        <x:v>F278</x:v>
      </x:c>
      <x:c r="B282" s="30" t="str">
        <x:v>业务消息与数据传输</x:v>
      </x:c>
      <x:c r="C282" s="30" t="str">
        <x:v>message.payload_ref</x:v>
      </x:c>
      <x:c r="D282" s="30" t="str">
        <x:v>发送内容</x:v>
      </x:c>
      <x:c r="E282" s="30" t="str">
        <x:v>状态</x:v>
      </x:c>
      <x:c r="F282" s="30" t="str">
        <x:v>record</x:v>
      </x:c>
      <x:c r="G282" s="30" t="str">
        <x:v>必须可解析为实际传输内容，不免费共享引用</x:v>
      </x:c>
      <x:c r="H282" s="30" t="str">
        <x:v>通信适配/应用收件器</x:v>
      </x:c>
      <x:c r="I282" s="30" t="str">
        <x:v>发送者/实际接收者各自可读</x:v>
      </x:c>
      <x:c r="J282" s="30" t="str">
        <x:v>A027；A032；A035；A036；A037；A041；A042；A047；A052；A053；A054；A058；A059；A060；A065</x:v>
      </x:c>
      <x:c r="K282" s="30" t="str">
        <x:v>初始化/配置或相应状态所有者；不是任意Agent写入</x:v>
      </x:c>
      <x:c r="L282" s="30" t="n">
        <x:v>91</x:v>
      </x:c>
      <x:c r="M282" s="30" t="str">
        <x:v>S17；S24；S25</x:v>
      </x:c>
      <x:c r="N282" s="30" t="str">
        <x:v>https://www.nsnam.org/docs/models/html/wifi-design.html</x:v>
      </x:c>
    </x:row>
    <x:row r="283" ht="120" customHeight="1">
      <x:c r="A283" s="30" t="str">
        <x:v>F279</x:v>
      </x:c>
      <x:c r="B283" s="30" t="str">
        <x:v>业务消息与数据传输</x:v>
      </x:c>
      <x:c r="C283" s="30" t="str">
        <x:v>message.size_bytes</x:v>
      </x:c>
      <x:c r="D283" s="30" t="str">
        <x:v>编码后大小</x:v>
      </x:c>
      <x:c r="E283" s="30" t="str">
        <x:v>状态</x:v>
      </x:c>
      <x:c r="F283" s="30" t="str">
        <x:v>int</x:v>
      </x:c>
      <x:c r="G283" s="30" t="str">
        <x:v>实际字节数，非token数</x:v>
      </x:c>
      <x:c r="H283" s="30" t="str">
        <x:v>通信适配/应用收件器</x:v>
      </x:c>
      <x:c r="I283" s="30" t="str">
        <x:v>发送者/实际接收者各自可读</x:v>
      </x:c>
      <x:c r="J283" s="30" t="str">
        <x:v>A027；A032；A035；A036；A037；A041；A042；A047；A052；A053；A054；A058；A059；A060；A065</x:v>
      </x:c>
      <x:c r="K283" s="30" t="str">
        <x:v>A036</x:v>
      </x:c>
      <x:c r="L283" s="30" t="n">
        <x:v>91</x:v>
      </x:c>
      <x:c r="M283" s="30" t="str">
        <x:v>S17；S24；S25</x:v>
      </x:c>
      <x:c r="N283" s="30" t="str">
        <x:v>https://www.nsnam.org/docs/models/html/wifi-design.html</x:v>
      </x:c>
    </x:row>
    <x:row r="284" ht="120" customHeight="1">
      <x:c r="A284" s="30" t="str">
        <x:v>F280</x:v>
      </x:c>
      <x:c r="B284" s="30" t="str">
        <x:v>业务消息与数据传输</x:v>
      </x:c>
      <x:c r="C284" s="30" t="str">
        <x:v>message.fragment_count</x:v>
      </x:c>
      <x:c r="D284" s="30" t="str">
        <x:v>分块数</x:v>
      </x:c>
      <x:c r="E284" s="30" t="str">
        <x:v>派生</x:v>
      </x:c>
      <x:c r="F284" s="30" t="str">
        <x:v>int</x:v>
      </x:c>
      <x:c r="G284" s="30" t="str">
        <x:v>正数或0未发送</x:v>
      </x:c>
      <x:c r="H284" s="30" t="str">
        <x:v>通信适配/应用收件器</x:v>
      </x:c>
      <x:c r="I284" s="30" t="str">
        <x:v>发送者/实际接收者各自可读</x:v>
      </x:c>
      <x:c r="J284" s="30" t="str">
        <x:v>A027；A032；A035；A036；A037；A041；A042；A047；A052；A053；A054；A058；A059；A060；A065</x:v>
      </x:c>
      <x:c r="K284" s="30" t="str">
        <x:v>初始化/配置或相应状态所有者；不是任意Agent写入</x:v>
      </x:c>
      <x:c r="L284" s="30" t="n">
        <x:v>91</x:v>
      </x:c>
      <x:c r="M284" s="30" t="str">
        <x:v>S17；S24；S25</x:v>
      </x:c>
      <x:c r="N284" s="30" t="str">
        <x:v>https://www.nsnam.org/docs/models/html/wifi-design.html</x:v>
      </x:c>
    </x:row>
    <x:row r="285" ht="120" customHeight="1">
      <x:c r="A285" s="30" t="str">
        <x:v>F281</x:v>
      </x:c>
      <x:c r="B285" s="30" t="str">
        <x:v>业务消息与数据传输</x:v>
      </x:c>
      <x:c r="C285" s="30" t="str">
        <x:v>message.received_fragments</x:v>
      </x:c>
      <x:c r="D285" s="30" t="str">
        <x:v>已到分块</x:v>
      </x:c>
      <x:c r="E285" s="30" t="str">
        <x:v>状态</x:v>
      </x:c>
      <x:c r="F285" s="30" t="str">
        <x:v>set[int]</x:v>
      </x:c>
      <x:c r="G285" s="30" t="str">
        <x:v>按接收方分别记录</x:v>
      </x:c>
      <x:c r="H285" s="30" t="str">
        <x:v>通信适配/应用收件器</x:v>
      </x:c>
      <x:c r="I285" s="30" t="str">
        <x:v>发送者/实际接收者各自可读</x:v>
      </x:c>
      <x:c r="J285" s="30" t="str">
        <x:v>A027；A032；A035；A036；A037；A041；A042；A047；A052；A053；A054；A058；A059；A060；A065</x:v>
      </x:c>
      <x:c r="K285" s="30" t="str">
        <x:v>A065</x:v>
      </x:c>
      <x:c r="L285" s="30" t="n">
        <x:v>91</x:v>
      </x:c>
      <x:c r="M285" s="30" t="str">
        <x:v>S17；S24；S25</x:v>
      </x:c>
      <x:c r="N285" s="30" t="str">
        <x:v>https://www.nsnam.org/docs/models/html/wifi-design.html</x:v>
      </x:c>
    </x:row>
    <x:row r="286" ht="120" customHeight="1">
      <x:c r="A286" s="30" t="str">
        <x:v>F282</x:v>
      </x:c>
      <x:c r="B286" s="30" t="str">
        <x:v>业务消息与数据传输</x:v>
      </x:c>
      <x:c r="C286" s="30" t="str">
        <x:v>message.content_hash</x:v>
      </x:c>
      <x:c r="D286" s="30" t="str">
        <x:v>完整性校验</x:v>
      </x:c>
      <x:c r="E286" s="30" t="str">
        <x:v>标识</x:v>
      </x:c>
      <x:c r="F286" s="30" t="str">
        <x:v>hash</x:v>
      </x:c>
      <x:c r="G286" s="30" t="str">
        <x:v>端到端同内容校验</x:v>
      </x:c>
      <x:c r="H286" s="30" t="str">
        <x:v>通信适配/应用收件器</x:v>
      </x:c>
      <x:c r="I286" s="30" t="str">
        <x:v>发送者/实际接收者各自可读</x:v>
      </x:c>
      <x:c r="J286" s="30" t="str">
        <x:v>A027；A032；A035；A036；A037；A041；A042；A047；A052；A053；A054；A058；A059；A060；A065</x:v>
      </x:c>
      <x:c r="K286" s="30" t="str">
        <x:v>初始化/配置或相应状态所有者；不是任意Agent写入</x:v>
      </x:c>
      <x:c r="L286" s="30" t="n">
        <x:v>91</x:v>
      </x:c>
      <x:c r="M286" s="30" t="str">
        <x:v>S17；S24；S25</x:v>
      </x:c>
      <x:c r="N286" s="30" t="str">
        <x:v>https://www.nsnam.org/docs/models/html/wifi-design.html</x:v>
      </x:c>
    </x:row>
    <x:row r="287" ht="120" customHeight="1">
      <x:c r="A287" s="30" t="str">
        <x:v>F283</x:v>
      </x:c>
      <x:c r="B287" s="30" t="str">
        <x:v>业务消息与数据传输</x:v>
      </x:c>
      <x:c r="C287" s="30" t="str">
        <x:v>message.priority</x:v>
      </x:c>
      <x:c r="D287" s="30" t="str">
        <x:v>传输优先级</x:v>
      </x:c>
      <x:c r="E287" s="30" t="str">
        <x:v>配置</x:v>
      </x:c>
      <x:c r="F287" s="30" t="str">
        <x:v>int</x:v>
      </x:c>
      <x:c r="G287" s="30" t="str">
        <x:v>按调度策略</x:v>
      </x:c>
      <x:c r="H287" s="30" t="str">
        <x:v>通信适配/应用收件器</x:v>
      </x:c>
      <x:c r="I287" s="30" t="str">
        <x:v>发送者/实际接收者各自可读</x:v>
      </x:c>
      <x:c r="J287" s="30" t="str">
        <x:v>A027；A032；A035；A036；A037；A041；A042；A047；A052；A053；A054；A058；A059；A060；A065</x:v>
      </x:c>
      <x:c r="K287" s="30" t="str">
        <x:v>初始化/配置或相应状态所有者；不是任意Agent写入</x:v>
      </x:c>
      <x:c r="L287" s="30" t="n">
        <x:v>91</x:v>
      </x:c>
      <x:c r="M287" s="30" t="str">
        <x:v>S17；S24；S25</x:v>
      </x:c>
      <x:c r="N287" s="30" t="str">
        <x:v>https://www.nsnam.org/docs/models/html/wifi-design.html</x:v>
      </x:c>
    </x:row>
    <x:row r="288" ht="120" customHeight="1">
      <x:c r="A288" s="30" t="str">
        <x:v>F284</x:v>
      </x:c>
      <x:c r="B288" s="30" t="str">
        <x:v>业务消息与数据传输</x:v>
      </x:c>
      <x:c r="C288" s="30" t="str">
        <x:v>message.ttl_s</x:v>
      </x:c>
      <x:c r="D288" s="30" t="str">
        <x:v>有效时长</x:v>
      </x:c>
      <x:c r="E288" s="30" t="str">
        <x:v>配置</x:v>
      </x:c>
      <x:c r="F288" s="30" t="str">
        <x:v>float</x:v>
      </x:c>
      <x:c r="G288" s="30" t="str">
        <x:v>非负</x:v>
      </x:c>
      <x:c r="H288" s="30" t="str">
        <x:v>通信适配/应用收件器</x:v>
      </x:c>
      <x:c r="I288" s="30" t="str">
        <x:v>发送者/实际接收者各自可读</x:v>
      </x:c>
      <x:c r="J288" s="30" t="str">
        <x:v>A027；A032；A035；A036；A037；A041；A042；A047；A052；A053；A054；A058；A059；A060；A065</x:v>
      </x:c>
      <x:c r="K288" s="30" t="str">
        <x:v>初始化/配置或相应状态所有者；不是任意Agent写入</x:v>
      </x:c>
      <x:c r="L288" s="30" t="n">
        <x:v>91</x:v>
      </x:c>
      <x:c r="M288" s="30" t="str">
        <x:v>S17；S24；S25</x:v>
      </x:c>
      <x:c r="N288" s="30" t="str">
        <x:v>https://www.nsnam.org/docs/models/html/wifi-design.html</x:v>
      </x:c>
    </x:row>
    <x:row r="289" ht="120" customHeight="1">
      <x:c r="A289" s="30" t="str">
        <x:v>F285</x:v>
      </x:c>
      <x:c r="B289" s="30" t="str">
        <x:v>业务消息与数据传输</x:v>
      </x:c>
      <x:c r="C289" s="30" t="str">
        <x:v>message.status</x:v>
      </x:c>
      <x:c r="D289" s="30" t="str">
        <x:v>应用层投递状态</x:v>
      </x:c>
      <x:c r="E289" s="30" t="str">
        <x:v>状态</x:v>
      </x:c>
      <x:c r="F289" s="30" t="str">
        <x:v>enum</x:v>
      </x:c>
      <x:c r="G289" s="30" t="str">
        <x:v>created/queued/transmitting/partial/delivered/expired/failed</x:v>
      </x:c>
      <x:c r="H289" s="30" t="str">
        <x:v>通信适配/应用收件器</x:v>
      </x:c>
      <x:c r="I289" s="30" t="str">
        <x:v>发送者/实际接收者各自可读</x:v>
      </x:c>
      <x:c r="J289" s="30" t="str">
        <x:v>A027；A032；A035；A036；A037；A041；A042；A047；A052；A053；A054；A058；A059；A060；A065</x:v>
      </x:c>
      <x:c r="K289" s="30" t="str">
        <x:v>A035；A036；A065</x:v>
      </x:c>
      <x:c r="L289" s="30" t="n">
        <x:v>91</x:v>
      </x:c>
      <x:c r="M289" s="30" t="str">
        <x:v>S17；S24；S25</x:v>
      </x:c>
      <x:c r="N289" s="30" t="str">
        <x:v>https://www.nsnam.org/docs/models/html/wifi-design.html</x:v>
      </x:c>
    </x:row>
    <x:row r="290" ht="120" customHeight="1">
      <x:c r="A290" s="30" t="str">
        <x:v>F286</x:v>
      </x:c>
      <x:c r="B290" s="30" t="str">
        <x:v>业务消息与数据传输</x:v>
      </x:c>
      <x:c r="C290" s="30" t="str">
        <x:v>message.sent_s</x:v>
      </x:c>
      <x:c r="D290" s="30" t="str">
        <x:v>首次发送时刻</x:v>
      </x:c>
      <x:c r="E290" s="30" t="str">
        <x:v>状态</x:v>
      </x:c>
      <x:c r="F290" s="30" t="str">
        <x:v>float</x:v>
      </x:c>
      <x:c r="G290" s="30" t="str">
        <x:v>null或仿真时间</x:v>
      </x:c>
      <x:c r="H290" s="30" t="str">
        <x:v>通信适配/应用收件器</x:v>
      </x:c>
      <x:c r="I290" s="30" t="str">
        <x:v>发送者/实际接收者各自可读</x:v>
      </x:c>
      <x:c r="J290" s="30" t="str">
        <x:v>A027；A032；A035；A036；A037；A041；A042；A047；A052；A053；A054；A058；A059；A060；A065</x:v>
      </x:c>
      <x:c r="K290" s="30" t="str">
        <x:v>A036</x:v>
      </x:c>
      <x:c r="L290" s="30" t="n">
        <x:v>91</x:v>
      </x:c>
      <x:c r="M290" s="30" t="str">
        <x:v>S17；S24；S25</x:v>
      </x:c>
      <x:c r="N290" s="30" t="str">
        <x:v>https://www.nsnam.org/docs/models/html/wifi-design.html</x:v>
      </x:c>
    </x:row>
    <x:row r="291" ht="120" customHeight="1">
      <x:c r="A291" s="30" t="str">
        <x:v>F287</x:v>
      </x:c>
      <x:c r="B291" s="30" t="str">
        <x:v>业务消息与数据传输</x:v>
      </x:c>
      <x:c r="C291" s="30" t="str">
        <x:v>message.delivered_s</x:v>
      </x:c>
      <x:c r="D291" s="30" t="str">
        <x:v>完整送达时刻</x:v>
      </x:c>
      <x:c r="E291" s="30" t="str">
        <x:v>状态</x:v>
      </x:c>
      <x:c r="F291" s="30" t="str">
        <x:v>float</x:v>
      </x:c>
      <x:c r="G291" s="30" t="str">
        <x:v>null或仿真时间</x:v>
      </x:c>
      <x:c r="H291" s="30" t="str">
        <x:v>通信适配/应用收件器</x:v>
      </x:c>
      <x:c r="I291" s="30" t="str">
        <x:v>发送者/实际接收者各自可读</x:v>
      </x:c>
      <x:c r="J291" s="30" t="str">
        <x:v>A027；A032；A035；A036；A037；A041；A042；A047；A052；A053；A054；A058；A059；A060；A065</x:v>
      </x:c>
      <x:c r="K291" s="30" t="str">
        <x:v>A065</x:v>
      </x:c>
      <x:c r="L291" s="30" t="n">
        <x:v>91</x:v>
      </x:c>
      <x:c r="M291" s="30" t="str">
        <x:v>S17；S24；S25</x:v>
      </x:c>
      <x:c r="N291" s="30" t="str">
        <x:v>https://www.nsnam.org/docs/models/html/wifi-design.html</x:v>
      </x:c>
    </x:row>
    <x:row r="292" ht="120" customHeight="1">
      <x:c r="A292" s="30" t="str">
        <x:v>F288</x:v>
      </x:c>
      <x:c r="B292" s="30" t="str">
        <x:v>业务消息与数据传输</x:v>
      </x:c>
      <x:c r="C292" s="30" t="str">
        <x:v>message.ack_state</x:v>
      </x:c>
      <x:c r="D292" s="30" t="str">
        <x:v>应用确认状态</x:v>
      </x:c>
      <x:c r="E292" s="30" t="str">
        <x:v>状态</x:v>
      </x:c>
      <x:c r="F292" s="30" t="str">
        <x:v>enum</x:v>
      </x:c>
      <x:c r="G292" s="30" t="str">
        <x:v>not_required/pending/acknowledged/timeout</x:v>
      </x:c>
      <x:c r="H292" s="30" t="str">
        <x:v>通信适配/应用收件器</x:v>
      </x:c>
      <x:c r="I292" s="30" t="str">
        <x:v>发送者/实际接收者各自可读</x:v>
      </x:c>
      <x:c r="J292" s="30" t="str">
        <x:v>A027；A032；A035；A036；A037；A041；A042；A047；A052；A053；A054；A058；A059；A060；A065</x:v>
      </x:c>
      <x:c r="K292" s="30" t="str">
        <x:v>A037</x:v>
      </x:c>
      <x:c r="L292" s="30" t="n">
        <x:v>91</x:v>
      </x:c>
      <x:c r="M292" s="30" t="str">
        <x:v>S17；S24；S25</x:v>
      </x:c>
      <x:c r="N292" s="30" t="str">
        <x:v>https://www.nsnam.org/docs/models/html/wifi-design.html</x:v>
      </x:c>
    </x:row>
    <x:row r="293" ht="120" customHeight="1">
      <x:c r="A293" s="30" t="str">
        <x:v>F289</x:v>
      </x:c>
      <x:c r="B293" s="30" t="str">
        <x:v>业务消息与数据传输</x:v>
      </x:c>
      <x:c r="C293" s="30" t="str">
        <x:v>message.retry_count</x:v>
      </x:c>
      <x:c r="D293" s="30" t="str">
        <x:v>应用重试次数</x:v>
      </x:c>
      <x:c r="E293" s="30" t="str">
        <x:v>状态</x:v>
      </x:c>
      <x:c r="F293" s="30" t="str">
        <x:v>int</x:v>
      </x:c>
      <x:c r="G293" s="30" t="str">
        <x:v>非负；不能与MAC重试混计</x:v>
      </x:c>
      <x:c r="H293" s="30" t="str">
        <x:v>通信适配/应用收件器</x:v>
      </x:c>
      <x:c r="I293" s="30" t="str">
        <x:v>发送者/实际接收者各自可读</x:v>
      </x:c>
      <x:c r="J293" s="30" t="str">
        <x:v>A027；A032；A035；A036；A037；A041；A042；A047；A052；A053；A054；A058；A059；A060；A065</x:v>
      </x:c>
      <x:c r="K293" s="30" t="str">
        <x:v>A037</x:v>
      </x:c>
      <x:c r="L293" s="30" t="n">
        <x:v>91</x:v>
      </x:c>
      <x:c r="M293" s="30" t="str">
        <x:v>S17；S24；S25</x:v>
      </x:c>
      <x:c r="N293" s="30" t="str">
        <x:v>https://www.nsnam.org/docs/models/html/wifi-design.html</x:v>
      </x:c>
    </x:row>
    <x:row r="294" ht="120" customHeight="1">
      <x:c r="A294" s="30" t="str">
        <x:v>F290</x:v>
      </x:c>
      <x:c r="B294" s="30" t="str">
        <x:v>业务消息与数据传输</x:v>
      </x:c>
      <x:c r="C294" s="30" t="str">
        <x:v>message.hop_trace</x:v>
      </x:c>
      <x:c r="D294" s="30" t="str">
        <x:v>逐跳传输记录</x:v>
      </x:c>
      <x:c r="E294" s="30" t="str">
        <x:v>记录</x:v>
      </x:c>
      <x:c r="F294" s="30" t="str">
        <x:v>list</x:v>
      </x:c>
      <x:c r="G294" s="30" t="str">
        <x:v>每跳send/receive/失败及时刻</x:v>
      </x:c>
      <x:c r="H294" s="30" t="str">
        <x:v>通信适配/应用收件器</x:v>
      </x:c>
      <x:c r="I294" s="30" t="str">
        <x:v>发送者/实际接收者各自可读</x:v>
      </x:c>
      <x:c r="J294" s="30" t="str">
        <x:v>A027；A032；A035；A036；A037；A041；A042；A047；A052；A053；A054；A058；A059；A060；A065</x:v>
      </x:c>
      <x:c r="K294" s="30" t="str">
        <x:v>A035</x:v>
      </x:c>
      <x:c r="L294" s="30" t="n">
        <x:v>91</x:v>
      </x:c>
      <x:c r="M294" s="30" t="str">
        <x:v>S17；S24；S25</x:v>
      </x:c>
      <x:c r="N294" s="30" t="str">
        <x:v>https://www.nsnam.org/docs/models/html/wifi-design.html</x:v>
      </x:c>
    </x:row>
    <x:row r="295" ht="120" customHeight="1">
      <x:c r="A295" s="30" t="str">
        <x:v>F291</x:v>
      </x:c>
      <x:c r="B295" s="30" t="str">
        <x:v>业务消息与数据传输</x:v>
      </x:c>
      <x:c r="C295" s="30" t="str">
        <x:v>message.correlation_id</x:v>
      </x:c>
      <x:c r="D295" s="30" t="str">
        <x:v>关联任务/作业/原消息</x:v>
      </x:c>
      <x:c r="E295" s="30" t="str">
        <x:v>标识</x:v>
      </x:c>
      <x:c r="F295" s="30" t="str">
        <x:v>id</x:v>
      </x:c>
      <x:c r="G295" s="30" t="str">
        <x:v>保持请求结果版本关联</x:v>
      </x:c>
      <x:c r="H295" s="30" t="str">
        <x:v>通信适配/应用收件器</x:v>
      </x:c>
      <x:c r="I295" s="30" t="str">
        <x:v>发送者/实际接收者各自可读</x:v>
      </x:c>
      <x:c r="J295" s="30" t="str">
        <x:v>A027；A032；A035；A036；A037；A041；A042；A047；A052；A053；A054；A058；A059；A060；A065</x:v>
      </x:c>
      <x:c r="K295" s="30" t="str">
        <x:v>初始化/配置或相应状态所有者；不是任意Agent写入</x:v>
      </x:c>
      <x:c r="L295" s="30" t="n">
        <x:v>91</x:v>
      </x:c>
      <x:c r="M295" s="30" t="str">
        <x:v>S17；S24；S25</x:v>
      </x:c>
      <x:c r="N295" s="30" t="str">
        <x:v>https://www.nsnam.org/docs/models/html/wifi-design.html</x:v>
      </x:c>
    </x:row>
    <x:row r="296" ht="120" customHeight="1">
      <x:c r="A296" s="30" t="str">
        <x:v>F292</x:v>
      </x:c>
      <x:c r="B296" s="30" t="str">
        <x:v>业务消息与数据传输</x:v>
      </x:c>
      <x:c r="C296" s="30" t="str">
        <x:v>message.local_availability</x:v>
      </x:c>
      <x:c r="D296" s="30" t="str">
        <x:v>接收方是否可消费</x:v>
      </x:c>
      <x:c r="E296" s="30" t="str">
        <x:v>派生</x:v>
      </x:c>
      <x:c r="F296" s="30" t="str">
        <x:v>map</x:v>
      </x:c>
      <x:c r="G296" s="30" t="str">
        <x:v>receiver→bool；完整校验/语义版本通过后为true</x:v>
      </x:c>
      <x:c r="H296" s="30" t="str">
        <x:v>通信适配/应用收件器</x:v>
      </x:c>
      <x:c r="I296" s="30" t="str">
        <x:v>发送者/实际接收者各自可读</x:v>
      </x:c>
      <x:c r="J296" s="30" t="str">
        <x:v>A027；A032；A035；A036；A037；A041；A042；A047；A052；A053；A054；A058；A059；A060；A065</x:v>
      </x:c>
      <x:c r="K296" s="30" t="str">
        <x:v>A065</x:v>
      </x:c>
      <x:c r="L296" s="30" t="n">
        <x:v>91</x:v>
      </x:c>
      <x:c r="M296" s="30" t="str">
        <x:v>S17；S24；S25</x:v>
      </x:c>
      <x:c r="N296" s="30" t="str">
        <x:v>https://www.nsnam.org/docs/models/html/wifi-design.html</x:v>
      </x:c>
    </x:row>
    <x:row r="297" ht="120" customHeight="1">
      <x:c r="A297" s="30" t="str">
        <x:v>F293</x:v>
      </x:c>
      <x:c r="B297" s="30" t="str">
        <x:v>计算节点</x:v>
      </x:c>
      <x:c r="C297" s="30" t="str">
        <x:v>compute.node_id</x:v>
      </x:c>
      <x:c r="D297" s="30" t="str">
        <x:v>计算节点ID</x:v>
      </x:c>
      <x:c r="E297" s="30" t="str">
        <x:v>标识</x:v>
      </x:c>
      <x:c r="F297" s="30" t="str">
        <x:v>id</x:v>
      </x:c>
      <x:c r="G297" s="30" t="str">
        <x:v>平台或边缘/中心节点</x:v>
      </x:c>
      <x:c r="H297" s="30" t="str">
        <x:v>计算资源模型/实际推理记录</x:v>
      </x:c>
      <x:c r="I297" s="30" t="str">
        <x:v>本机遥测可读；远端需服务发现/反馈</x:v>
      </x:c>
      <x:c r="J297" s="30" t="str">
        <x:v>A006；A007；A038；A039；A040；A042；A043；A044；A045；A046；A047；A048；A049；A050；A052；A061；A064；A066</x:v>
      </x:c>
      <x:c r="K297" s="30" t="str">
        <x:v>初始化/配置或相应状态所有者；不是任意Agent写入</x:v>
      </x:c>
      <x:c r="L297" s="30" t="n">
        <x:v>47</x:v>
      </x:c>
      <x:c r="M297" s="30" t="str">
        <x:v>S20；S21；S24</x:v>
      </x:c>
      <x:c r="N297" s="30" t="str">
        <x:v>https://kubernetes.io/docs/concepts/configuration/manage-resources-containers/
https://docs.mlcommons.org/inference/benchmarks/language/llama3_1-8b/</x:v>
      </x:c>
    </x:row>
    <x:row r="298" ht="120" customHeight="1">
      <x:c r="A298" s="30" t="str">
        <x:v>F294</x:v>
      </x:c>
      <x:c r="B298" s="30" t="str">
        <x:v>计算节点</x:v>
      </x:c>
      <x:c r="C298" s="30" t="str">
        <x:v>compute.device_kind</x:v>
      </x:c>
      <x:c r="D298" s="30" t="str">
        <x:v>设备类型</x:v>
      </x:c>
      <x:c r="E298" s="30" t="str">
        <x:v>配置</x:v>
      </x:c>
      <x:c r="F298" s="30" t="str">
        <x:v>enum</x:v>
      </x:c>
      <x:c r="G298" s="30" t="str">
        <x:v>cpu/gpu/npu/mixed</x:v>
      </x:c>
      <x:c r="H298" s="30" t="str">
        <x:v>计算资源模型/实际推理记录</x:v>
      </x:c>
      <x:c r="I298" s="30" t="str">
        <x:v>本机遥测可读；远端需服务发现/反馈</x:v>
      </x:c>
      <x:c r="J298" s="30" t="str">
        <x:v>A006；A007；A038；A039；A040；A042；A043；A044；A045；A046；A047；A048；A049；A050；A052；A061；A064；A066</x:v>
      </x:c>
      <x:c r="K298" s="30" t="str">
        <x:v>初始化/配置或相应状态所有者；不是任意Agent写入</x:v>
      </x:c>
      <x:c r="L298" s="30" t="n">
        <x:v>47</x:v>
      </x:c>
      <x:c r="M298" s="30" t="str">
        <x:v>S20；S21；S24</x:v>
      </x:c>
      <x:c r="N298" s="30" t="str">
        <x:v>https://kubernetes.io/docs/concepts/configuration/manage-resources-containers/
https://docs.mlcommons.org/inference/benchmarks/language/llama3_1-8b/</x:v>
      </x:c>
    </x:row>
    <x:row r="299" ht="120" customHeight="1">
      <x:c r="A299" s="30" t="str">
        <x:v>F295</x:v>
      </x:c>
      <x:c r="B299" s="30" t="str">
        <x:v>计算节点</x:v>
      </x:c>
      <x:c r="C299" s="30" t="str">
        <x:v>compute.cpu_capacity</x:v>
      </x:c>
      <x:c r="D299" s="30" t="str">
        <x:v>CPU容量</x:v>
      </x:c>
      <x:c r="E299" s="30" t="str">
        <x:v>配置</x:v>
      </x:c>
      <x:c r="F299" s="30" t="str">
        <x:v>float</x:v>
      </x:c>
      <x:c r="G299" s="30" t="str">
        <x:v>核心/份额单位明确</x:v>
      </x:c>
      <x:c r="H299" s="30" t="str">
        <x:v>计算资源模型/实际推理记录</x:v>
      </x:c>
      <x:c r="I299" s="30" t="str">
        <x:v>本机遥测可读；远端需服务发现/反馈</x:v>
      </x:c>
      <x:c r="J299" s="30" t="str">
        <x:v>A006；A007；A038；A039；A040；A042；A043；A044；A045；A046；A047；A048；A049；A050；A052；A061；A064；A066</x:v>
      </x:c>
      <x:c r="K299" s="30" t="str">
        <x:v>初始化/配置或相应状态所有者；不是任意Agent写入</x:v>
      </x:c>
      <x:c r="L299" s="30" t="n">
        <x:v>47</x:v>
      </x:c>
      <x:c r="M299" s="30" t="str">
        <x:v>S20；S21；S24</x:v>
      </x:c>
      <x:c r="N299" s="30" t="str">
        <x:v>https://kubernetes.io/docs/concepts/configuration/manage-resources-containers/
https://docs.mlcommons.org/inference/benchmarks/language/llama3_1-8b/</x:v>
      </x:c>
    </x:row>
    <x:row r="300" ht="120" customHeight="1">
      <x:c r="A300" s="30" t="str">
        <x:v>F296</x:v>
      </x:c>
      <x:c r="B300" s="30" t="str">
        <x:v>计算节点</x:v>
      </x:c>
      <x:c r="C300" s="30" t="str">
        <x:v>compute.accelerator_capacity</x:v>
      </x:c>
      <x:c r="D300" s="30" t="str">
        <x:v>加速器容量</x:v>
      </x:c>
      <x:c r="E300" s="30" t="str">
        <x:v>配置</x:v>
      </x:c>
      <x:c r="F300" s="30" t="str">
        <x:v>float</x:v>
      </x:c>
      <x:c r="G300" s="30" t="str">
        <x:v>并发份额/设备数；不能把TFLOPS当时延</x:v>
      </x:c>
      <x:c r="H300" s="30" t="str">
        <x:v>计算资源模型/实际推理记录</x:v>
      </x:c>
      <x:c r="I300" s="30" t="str">
        <x:v>本机遥测可读；远端需服务发现/反馈</x:v>
      </x:c>
      <x:c r="J300" s="30" t="str">
        <x:v>A006；A007；A038；A039；A040；A042；A043；A044；A045；A046；A047；A048；A049；A050；A052；A061；A064；A066</x:v>
      </x:c>
      <x:c r="K300" s="30" t="str">
        <x:v>初始化/配置或相应状态所有者；不是任意Agent写入</x:v>
      </x:c>
      <x:c r="L300" s="30" t="n">
        <x:v>47</x:v>
      </x:c>
      <x:c r="M300" s="30" t="str">
        <x:v>S20；S21；S24</x:v>
      </x:c>
      <x:c r="N300" s="30" t="str">
        <x:v>https://kubernetes.io/docs/concepts/configuration/manage-resources-containers/
https://docs.mlcommons.org/inference/benchmarks/language/llama3_1-8b/</x:v>
      </x:c>
    </x:row>
    <x:row r="301" ht="120" customHeight="1">
      <x:c r="A301" s="30" t="str">
        <x:v>F297</x:v>
      </x:c>
      <x:c r="B301" s="30" t="str">
        <x:v>计算节点</x:v>
      </x:c>
      <x:c r="C301" s="30" t="str">
        <x:v>compute.memory_capacity_bytes</x:v>
      </x:c>
      <x:c r="D301" s="30" t="str">
        <x:v>总内存/显存</x:v>
      </x:c>
      <x:c r="E301" s="30" t="str">
        <x:v>配置</x:v>
      </x:c>
      <x:c r="F301" s="30" t="str">
        <x:v>record</x:v>
      </x:c>
      <x:c r="G301" s="30" t="str">
        <x:v>RAM/VRAM分别列值</x:v>
      </x:c>
      <x:c r="H301" s="30" t="str">
        <x:v>计算资源模型/实际推理记录</x:v>
      </x:c>
      <x:c r="I301" s="30" t="str">
        <x:v>本机遥测可读；远端需服务发现/反馈</x:v>
      </x:c>
      <x:c r="J301" s="30" t="str">
        <x:v>A006；A007；A038；A039；A040；A042；A043；A044；A045；A046；A047；A048；A049；A050；A052；A061；A064；A066</x:v>
      </x:c>
      <x:c r="K301" s="30" t="str">
        <x:v>初始化/配置或相应状态所有者；不是任意Agent写入</x:v>
      </x:c>
      <x:c r="L301" s="30" t="n">
        <x:v>47</x:v>
      </x:c>
      <x:c r="M301" s="30" t="str">
        <x:v>S20；S21；S24</x:v>
      </x:c>
      <x:c r="N301" s="30" t="str">
        <x:v>https://kubernetes.io/docs/concepts/configuration/manage-resources-containers/
https://docs.mlcommons.org/inference/benchmarks/language/llama3_1-8b/</x:v>
      </x:c>
    </x:row>
    <x:row r="302" ht="120" customHeight="1">
      <x:c r="A302" s="30" t="str">
        <x:v>F298</x:v>
      </x:c>
      <x:c r="B302" s="30" t="str">
        <x:v>计算节点</x:v>
      </x:c>
      <x:c r="C302" s="30" t="str">
        <x:v>compute.memory_used_bytes</x:v>
      </x:c>
      <x:c r="D302" s="30" t="str">
        <x:v>已用内存/显存</x:v>
      </x:c>
      <x:c r="E302" s="30" t="str">
        <x:v>状态</x:v>
      </x:c>
      <x:c r="F302" s="30" t="str">
        <x:v>record</x:v>
      </x:c>
      <x:c r="G302" s="30" t="str">
        <x:v>RAM/VRAM，含权重与缓存</x:v>
      </x:c>
      <x:c r="H302" s="30" t="str">
        <x:v>计算资源模型/实际推理记录</x:v>
      </x:c>
      <x:c r="I302" s="30" t="str">
        <x:v>本机遥测可读；远端需服务发现/反馈</x:v>
      </x:c>
      <x:c r="J302" s="30" t="str">
        <x:v>A006；A007；A038；A039；A040；A042；A043；A044；A045；A046；A047；A048；A049；A050；A052；A061；A064；A066</x:v>
      </x:c>
      <x:c r="K302" s="30" t="str">
        <x:v>A044；A045；A049</x:v>
      </x:c>
      <x:c r="L302" s="30" t="n">
        <x:v>47</x:v>
      </x:c>
      <x:c r="M302" s="30" t="str">
        <x:v>S20；S21；S24</x:v>
      </x:c>
      <x:c r="N302" s="30" t="str">
        <x:v>https://kubernetes.io/docs/concepts/configuration/manage-resources-containers/
https://docs.mlcommons.org/inference/benchmarks/language/llama3_1-8b/</x:v>
      </x:c>
    </x:row>
    <x:row r="303" ht="120" customHeight="1">
      <x:c r="A303" s="30" t="str">
        <x:v>F299</x:v>
      </x:c>
      <x:c r="B303" s="30" t="str">
        <x:v>计算节点</x:v>
      </x:c>
      <x:c r="C303" s="30" t="str">
        <x:v>compute.cpu_allocated</x:v>
      </x:c>
      <x:c r="D303" s="30" t="str">
        <x:v>已分配CPU份额</x:v>
      </x:c>
      <x:c r="E303" s="30" t="str">
        <x:v>状态</x:v>
      </x:c>
      <x:c r="F303" s="30" t="str">
        <x:v>float</x:v>
      </x:c>
      <x:c r="G303" s="30" t="str">
        <x:v>非负</x:v>
      </x:c>
      <x:c r="H303" s="30" t="str">
        <x:v>计算资源模型/实际推理记录</x:v>
      </x:c>
      <x:c r="I303" s="30" t="str">
        <x:v>本机遥测可读；远端需服务发现/反馈</x:v>
      </x:c>
      <x:c r="J303" s="30" t="str">
        <x:v>A006；A007；A038；A039；A040；A042；A043；A044；A045；A046；A047；A048；A049；A050；A052；A061；A064；A066</x:v>
      </x:c>
      <x:c r="K303" s="30" t="str">
        <x:v>A044；A049</x:v>
      </x:c>
      <x:c r="L303" s="30" t="n">
        <x:v>47</x:v>
      </x:c>
      <x:c r="M303" s="30" t="str">
        <x:v>S20；S21；S24</x:v>
      </x:c>
      <x:c r="N303" s="30" t="str">
        <x:v>https://kubernetes.io/docs/concepts/configuration/manage-resources-containers/
https://docs.mlcommons.org/inference/benchmarks/language/llama3_1-8b/</x:v>
      </x:c>
    </x:row>
    <x:row r="304" ht="120" customHeight="1">
      <x:c r="A304" s="30" t="str">
        <x:v>F300</x:v>
      </x:c>
      <x:c r="B304" s="30" t="str">
        <x:v>计算节点</x:v>
      </x:c>
      <x:c r="C304" s="30" t="str">
        <x:v>compute.accelerator_allocated</x:v>
      </x:c>
      <x:c r="D304" s="30" t="str">
        <x:v>已分配加速器份额</x:v>
      </x:c>
      <x:c r="E304" s="30" t="str">
        <x:v>状态</x:v>
      </x:c>
      <x:c r="F304" s="30" t="str">
        <x:v>float</x:v>
      </x:c>
      <x:c r="G304" s="30" t="str">
        <x:v>非负</x:v>
      </x:c>
      <x:c r="H304" s="30" t="str">
        <x:v>计算资源模型/实际推理记录</x:v>
      </x:c>
      <x:c r="I304" s="30" t="str">
        <x:v>本机遥测可读；远端需服务发现/反馈</x:v>
      </x:c>
      <x:c r="J304" s="30" t="str">
        <x:v>A006；A007；A038；A039；A040；A042；A043；A044；A045；A046；A047；A048；A049；A050；A052；A061；A064；A066</x:v>
      </x:c>
      <x:c r="K304" s="30" t="str">
        <x:v>A049</x:v>
      </x:c>
      <x:c r="L304" s="30" t="n">
        <x:v>47</x:v>
      </x:c>
      <x:c r="M304" s="30" t="str">
        <x:v>S20；S21；S24</x:v>
      </x:c>
      <x:c r="N304" s="30" t="str">
        <x:v>https://kubernetes.io/docs/concepts/configuration/manage-resources-containers/
https://docs.mlcommons.org/inference/benchmarks/language/llama3_1-8b/</x:v>
      </x:c>
    </x:row>
    <x:row r="305" ht="120" customHeight="1">
      <x:c r="A305" s="30" t="str">
        <x:v>F301</x:v>
      </x:c>
      <x:c r="B305" s="30" t="str">
        <x:v>计算节点</x:v>
      </x:c>
      <x:c r="C305" s="30" t="str">
        <x:v>compute.max_concurrency</x:v>
      </x:c>
      <x:c r="D305" s="30" t="str">
        <x:v>最大并发作业数</x:v>
      </x:c>
      <x:c r="E305" s="30" t="str">
        <x:v>配置</x:v>
      </x:c>
      <x:c r="F305" s="30" t="str">
        <x:v>int</x:v>
      </x:c>
      <x:c r="G305" s="30" t="str">
        <x:v>非负</x:v>
      </x:c>
      <x:c r="H305" s="30" t="str">
        <x:v>计算资源模型/实际推理记录</x:v>
      </x:c>
      <x:c r="I305" s="30" t="str">
        <x:v>本机遥测可读；远端需服务发现/反馈</x:v>
      </x:c>
      <x:c r="J305" s="30" t="str">
        <x:v>A006；A007；A038；A039；A040；A042；A043；A044；A045；A046；A047；A048；A049；A050；A052；A061；A064；A066</x:v>
      </x:c>
      <x:c r="K305" s="30" t="str">
        <x:v>初始化/配置或相应状态所有者；不是任意Agent写入</x:v>
      </x:c>
      <x:c r="L305" s="30" t="n">
        <x:v>47</x:v>
      </x:c>
      <x:c r="M305" s="30" t="str">
        <x:v>S20；S21；S24</x:v>
      </x:c>
      <x:c r="N305" s="30" t="str">
        <x:v>https://kubernetes.io/docs/concepts/configuration/manage-resources-containers/
https://docs.mlcommons.org/inference/benchmarks/language/llama3_1-8b/</x:v>
      </x:c>
    </x:row>
    <x:row r="306" ht="120" customHeight="1">
      <x:c r="A306" s="30" t="str">
        <x:v>F302</x:v>
      </x:c>
      <x:c r="B306" s="30" t="str">
        <x:v>计算节点</x:v>
      </x:c>
      <x:c r="C306" s="30" t="str">
        <x:v>compute.queue_ids</x:v>
      </x:c>
      <x:c r="D306" s="30" t="str">
        <x:v>等待队列</x:v>
      </x:c>
      <x:c r="E306" s="30" t="str">
        <x:v>状态</x:v>
      </x:c>
      <x:c r="F306" s="30" t="str">
        <x:v>list[id]</x:v>
      </x:c>
      <x:c r="G306" s="30" t="str">
        <x:v>有序计算作业</x:v>
      </x:c>
      <x:c r="H306" s="30" t="str">
        <x:v>计算资源模型/实际推理记录</x:v>
      </x:c>
      <x:c r="I306" s="30" t="str">
        <x:v>本机遥测可读；远端需服务发现/反馈</x:v>
      </x:c>
      <x:c r="J306" s="30" t="str">
        <x:v>A006；A007；A038；A039；A040；A042；A043；A044；A045；A046；A047；A048；A049；A050；A052；A061；A064；A066</x:v>
      </x:c>
      <x:c r="K306" s="30" t="str">
        <x:v>A044；A048</x:v>
      </x:c>
      <x:c r="L306" s="30" t="n">
        <x:v>47</x:v>
      </x:c>
      <x:c r="M306" s="30" t="str">
        <x:v>S20；S21；S24</x:v>
      </x:c>
      <x:c r="N306" s="30" t="str">
        <x:v>https://kubernetes.io/docs/concepts/configuration/manage-resources-containers/
https://docs.mlcommons.org/inference/benchmarks/language/llama3_1-8b/</x:v>
      </x:c>
    </x:row>
    <x:row r="307" ht="120" customHeight="1">
      <x:c r="A307" s="30" t="str">
        <x:v>F303</x:v>
      </x:c>
      <x:c r="B307" s="30" t="str">
        <x:v>计算节点</x:v>
      </x:c>
      <x:c r="C307" s="30" t="str">
        <x:v>compute.running_job_ids</x:v>
      </x:c>
      <x:c r="D307" s="30" t="str">
        <x:v>运行作业</x:v>
      </x:c>
      <x:c r="E307" s="30" t="str">
        <x:v>状态</x:v>
      </x:c>
      <x:c r="F307" s="30" t="str">
        <x:v>list[id]</x:v>
      </x:c>
      <x:c r="G307" s="30" t="str">
        <x:v>真实占用</x:v>
      </x:c>
      <x:c r="H307" s="30" t="str">
        <x:v>计算资源模型/实际推理记录</x:v>
      </x:c>
      <x:c r="I307" s="30" t="str">
        <x:v>本机遥测可读；远端需服务发现/反馈</x:v>
      </x:c>
      <x:c r="J307" s="30" t="str">
        <x:v>A006；A007；A038；A039；A040；A042；A043；A044；A045；A046；A047；A048；A049；A050；A052；A061；A064；A066</x:v>
      </x:c>
      <x:c r="K307" s="30" t="str">
        <x:v>A048</x:v>
      </x:c>
      <x:c r="L307" s="30" t="n">
        <x:v>47</x:v>
      </x:c>
      <x:c r="M307" s="30" t="str">
        <x:v>S20；S21；S24</x:v>
      </x:c>
      <x:c r="N307" s="30" t="str">
        <x:v>https://kubernetes.io/docs/concepts/configuration/manage-resources-containers/
https://docs.mlcommons.org/inference/benchmarks/language/llama3_1-8b/</x:v>
      </x:c>
    </x:row>
    <x:row r="308" ht="120" customHeight="1">
      <x:c r="A308" s="30" t="str">
        <x:v>F304</x:v>
      </x:c>
      <x:c r="B308" s="30" t="str">
        <x:v>计算节点</x:v>
      </x:c>
      <x:c r="C308" s="30" t="str">
        <x:v>compute.availability</x:v>
      </x:c>
      <x:c r="D308" s="30" t="str">
        <x:v>节点状态</x:v>
      </x:c>
      <x:c r="E308" s="30" t="str">
        <x:v>状态</x:v>
      </x:c>
      <x:c r="F308" s="30" t="str">
        <x:v>enum</x:v>
      </x:c>
      <x:c r="G308" s="30" t="str">
        <x:v>available/busy/degraded/offline</x:v>
      </x:c>
      <x:c r="H308" s="30" t="str">
        <x:v>计算资源模型/实际推理记录</x:v>
      </x:c>
      <x:c r="I308" s="30" t="str">
        <x:v>本机遥测可读；远端需服务发现/反馈</x:v>
      </x:c>
      <x:c r="J308" s="30" t="str">
        <x:v>A006；A007；A038；A039；A040；A042；A043；A044；A045；A046；A047；A048；A049；A050；A052；A061；A064；A066</x:v>
      </x:c>
      <x:c r="K308" s="30" t="str">
        <x:v>A061</x:v>
      </x:c>
      <x:c r="L308" s="30" t="n">
        <x:v>47</x:v>
      </x:c>
      <x:c r="M308" s="30" t="str">
        <x:v>S20；S21；S24</x:v>
      </x:c>
      <x:c r="N308" s="30" t="str">
        <x:v>https://kubernetes.io/docs/concepts/configuration/manage-resources-containers/
https://docs.mlcommons.org/inference/benchmarks/language/llama3_1-8b/</x:v>
      </x:c>
    </x:row>
    <x:row r="309" ht="120" customHeight="1">
      <x:c r="A309" s="30" t="str">
        <x:v>F305</x:v>
      </x:c>
      <x:c r="B309" s="30" t="str">
        <x:v>计算节点</x:v>
      </x:c>
      <x:c r="C309" s="30" t="str">
        <x:v>compute.power_model</x:v>
      </x:c>
      <x:c r="D309" s="30" t="str">
        <x:v>计算功耗模型</x:v>
      </x:c>
      <x:c r="E309" s="30" t="str">
        <x:v>配置</x:v>
      </x:c>
      <x:c r="F309" s="30" t="str">
        <x:v>record</x:v>
      </x:c>
      <x:c r="G309" s="30" t="str">
        <x:v>标定/假设和计费范围</x:v>
      </x:c>
      <x:c r="H309" s="30" t="str">
        <x:v>计算资源模型/实际推理记录</x:v>
      </x:c>
      <x:c r="I309" s="30" t="str">
        <x:v>本机遥测可读；远端需服务发现/反馈</x:v>
      </x:c>
      <x:c r="J309" s="30" t="str">
        <x:v>A006；A007；A038；A039；A040；A042；A043；A044；A045；A046；A047；A048；A049；A050；A052；A061；A064；A066</x:v>
      </x:c>
      <x:c r="K309" s="30" t="str">
        <x:v>初始化/配置或相应状态所有者；不是任意Agent写入</x:v>
      </x:c>
      <x:c r="L309" s="30" t="n">
        <x:v>47</x:v>
      </x:c>
      <x:c r="M309" s="30" t="str">
        <x:v>S20；S21；S24</x:v>
      </x:c>
      <x:c r="N309" s="30" t="str">
        <x:v>https://kubernetes.io/docs/concepts/configuration/manage-resources-containers/
https://docs.mlcommons.org/inference/benchmarks/language/llama3_1-8b/</x:v>
      </x:c>
    </x:row>
    <x:row r="310" ht="120" customHeight="1">
      <x:c r="A310" s="30" t="str">
        <x:v>F306</x:v>
      </x:c>
      <x:c r="B310" s="30" t="str">
        <x:v>计算节点</x:v>
      </x:c>
      <x:c r="C310" s="30" t="str">
        <x:v>compute.energy_Wh</x:v>
      </x:c>
      <x:c r="D310" s="30" t="str">
        <x:v>计算累计耗能</x:v>
      </x:c>
      <x:c r="E310" s="30" t="str">
        <x:v>状态</x:v>
      </x:c>
      <x:c r="F310" s="30" t="str">
        <x:v>float</x:v>
      </x:c>
      <x:c r="G310" s="30" t="str">
        <x:v>非负；能源账本子项</x:v>
      </x:c>
      <x:c r="H310" s="30" t="str">
        <x:v>计算资源模型/实际推理记录</x:v>
      </x:c>
      <x:c r="I310" s="30" t="str">
        <x:v>本机遥测可读；远端需服务发现/反馈</x:v>
      </x:c>
      <x:c r="J310" s="30" t="str">
        <x:v>A006；A007；A038；A039；A040；A042；A043；A044；A045；A046；A047；A048；A049；A050；A052；A061；A064；A066</x:v>
      </x:c>
      <x:c r="K310" s="30" t="str">
        <x:v>初始化/配置或相应状态所有者；不是任意Agent写入</x:v>
      </x:c>
      <x:c r="L310" s="30" t="n">
        <x:v>47</x:v>
      </x:c>
      <x:c r="M310" s="30" t="str">
        <x:v>S20；S21；S24</x:v>
      </x:c>
      <x:c r="N310" s="30" t="str">
        <x:v>https://kubernetes.io/docs/concepts/configuration/manage-resources-containers/
https://docs.mlcommons.org/inference/benchmarks/language/llama3_1-8b/</x:v>
      </x:c>
    </x:row>
    <x:row r="311" ht="120" customHeight="1">
      <x:c r="A311" s="30" t="str">
        <x:v>F307</x:v>
      </x:c>
      <x:c r="B311" s="30" t="str">
        <x:v>计算节点</x:v>
      </x:c>
      <x:c r="C311" s="30" t="str">
        <x:v>compute.service_ids</x:v>
      </x:c>
      <x:c r="D311" s="30" t="str">
        <x:v>可发现服务</x:v>
      </x:c>
      <x:c r="E311" s="30" t="str">
        <x:v>状态</x:v>
      </x:c>
      <x:c r="F311" s="30" t="str">
        <x:v>list[id]</x:v>
      </x:c>
      <x:c r="G311" s="30" t="str">
        <x:v>只有实际加载/可启动服务</x:v>
      </x:c>
      <x:c r="H311" s="30" t="str">
        <x:v>计算资源模型/实际推理记录</x:v>
      </x:c>
      <x:c r="I311" s="30" t="str">
        <x:v>本机遥测可读；远端需服务发现/反馈</x:v>
      </x:c>
      <x:c r="J311" s="30" t="str">
        <x:v>A006；A007；A038；A039；A040；A042；A043；A044；A045；A046；A047；A048；A049；A050；A052；A061；A064；A066</x:v>
      </x:c>
      <x:c r="K311" s="30" t="str">
        <x:v>A045</x:v>
      </x:c>
      <x:c r="L311" s="30" t="n">
        <x:v>47</x:v>
      </x:c>
      <x:c r="M311" s="30" t="str">
        <x:v>S20；S21；S24</x:v>
      </x:c>
      <x:c r="N311" s="30" t="str">
        <x:v>https://kubernetes.io/docs/concepts/configuration/manage-resources-containers/
https://docs.mlcommons.org/inference/benchmarks/language/llama3_1-8b/</x:v>
      </x:c>
    </x:row>
    <x:row r="312" ht="120" customHeight="1">
      <x:c r="A312" s="30" t="str">
        <x:v>F308</x:v>
      </x:c>
      <x:c r="B312" s="30" t="str">
        <x:v>计算节点</x:v>
      </x:c>
      <x:c r="C312" s="30" t="str">
        <x:v>compute.storage_free_bytes</x:v>
      </x:c>
      <x:c r="D312" s="30" t="str">
        <x:v>可用存储</x:v>
      </x:c>
      <x:c r="E312" s="30" t="str">
        <x:v>状态</x:v>
      </x:c>
      <x:c r="F312" s="30" t="str">
        <x:v>int</x:v>
      </x:c>
      <x:c r="G312" s="30" t="str">
        <x:v>非负</x:v>
      </x:c>
      <x:c r="H312" s="30" t="str">
        <x:v>计算资源模型/实际推理记录</x:v>
      </x:c>
      <x:c r="I312" s="30" t="str">
        <x:v>本机遥测可读；远端需服务发现/反馈</x:v>
      </x:c>
      <x:c r="J312" s="30" t="str">
        <x:v>A006；A007；A038；A039；A040；A042；A043；A044；A045；A046；A047；A048；A049；A050；A052；A061；A064；A066</x:v>
      </x:c>
      <x:c r="K312" s="30" t="str">
        <x:v>初始化/配置或相应状态所有者；不是任意Agent写入</x:v>
      </x:c>
      <x:c r="L312" s="30" t="n">
        <x:v>47</x:v>
      </x:c>
      <x:c r="M312" s="30" t="str">
        <x:v>S20；S21；S24</x:v>
      </x:c>
      <x:c r="N312" s="30" t="str">
        <x:v>https://kubernetes.io/docs/concepts/configuration/manage-resources-containers/
https://docs.mlcommons.org/inference/benchmarks/language/llama3_1-8b/</x:v>
      </x:c>
    </x:row>
    <x:row r="313" ht="120" customHeight="1">
      <x:c r="A313" s="30" t="str">
        <x:v>F309</x:v>
      </x:c>
      <x:c r="B313" s="30" t="str">
        <x:v>计算节点</x:v>
      </x:c>
      <x:c r="C313" s="30" t="str">
        <x:v>compute.clock_policy</x:v>
      </x:c>
      <x:c r="D313" s="30" t="str">
        <x:v>仿真与实测计时策略</x:v>
      </x:c>
      <x:c r="E313" s="30" t="str">
        <x:v>配置</x:v>
      </x:c>
      <x:c r="F313" s="30" t="str">
        <x:v>enum</x:v>
      </x:c>
      <x:c r="G313" s="30" t="str">
        <x:v>simulated_service/realtime/measured_replay</x:v>
      </x:c>
      <x:c r="H313" s="30" t="str">
        <x:v>计算资源模型/实际推理记录</x:v>
      </x:c>
      <x:c r="I313" s="30" t="str">
        <x:v>本机遥测可读；远端需服务发现/反馈</x:v>
      </x:c>
      <x:c r="J313" s="30" t="str">
        <x:v>A006；A007；A038；A039；A040；A042；A043；A044；A045；A046；A047；A048；A049；A050；A052；A061；A064；A066</x:v>
      </x:c>
      <x:c r="K313" s="30" t="str">
        <x:v>初始化/配置或相应状态所有者；不是任意Agent写入</x:v>
      </x:c>
      <x:c r="L313" s="30" t="n">
        <x:v>47</x:v>
      </x:c>
      <x:c r="M313" s="30" t="str">
        <x:v>S20；S21；S24</x:v>
      </x:c>
      <x:c r="N313" s="30" t="str">
        <x:v>https://kubernetes.io/docs/concepts/configuration/manage-resources-containers/
https://docs.mlcommons.org/inference/benchmarks/language/llama3_1-8b/</x:v>
      </x:c>
    </x:row>
    <x:row r="314" ht="120" customHeight="1">
      <x:c r="A314" s="30" t="str">
        <x:v>F310</x:v>
      </x:c>
      <x:c r="B314" s="30" t="str">
        <x:v>计算节点</x:v>
      </x:c>
      <x:c r="C314" s="30" t="str">
        <x:v>compute.timing_profile_id</x:v>
      </x:c>
      <x:c r="D314" s="30" t="str">
        <x:v>工作量时延标定</x:v>
      </x:c>
      <x:c r="E314" s="30" t="str">
        <x:v>配置</x:v>
      </x:c>
      <x:c r="F314" s="30" t="str">
        <x:v>id</x:v>
      </x:c>
      <x:c r="G314" s="30" t="str">
        <x:v>设备/模型/输入/并发profile</x:v>
      </x:c>
      <x:c r="H314" s="30" t="str">
        <x:v>计算资源模型/实际推理记录</x:v>
      </x:c>
      <x:c r="I314" s="30" t="str">
        <x:v>本机遥测可读；远端需服务发现/反馈</x:v>
      </x:c>
      <x:c r="J314" s="30" t="str">
        <x:v>A006；A007；A038；A039；A040；A042；A043；A044；A045；A046；A047；A048；A049；A050；A052；A061；A064；A066</x:v>
      </x:c>
      <x:c r="K314" s="30" t="str">
        <x:v>初始化/配置或相应状态所有者；不是任意Agent写入</x:v>
      </x:c>
      <x:c r="L314" s="30" t="n">
        <x:v>47</x:v>
      </x:c>
      <x:c r="M314" s="30" t="str">
        <x:v>S20；S21；S24</x:v>
      </x:c>
      <x:c r="N314" s="30" t="str">
        <x:v>https://kubernetes.io/docs/concepts/configuration/manage-resources-containers/
https://docs.mlcommons.org/inference/benchmarks/language/llama3_1-8b/</x:v>
      </x:c>
    </x:row>
    <x:row r="315" ht="120" customHeight="1">
      <x:c r="A315" s="30" t="str">
        <x:v>F311</x:v>
      </x:c>
      <x:c r="B315" s="30" t="str">
        <x:v>计算节点</x:v>
      </x:c>
      <x:c r="C315" s="30" t="str">
        <x:v>compute.temperature_state</x:v>
      </x:c>
      <x:c r="D315" s="30" t="str">
        <x:v>热状态/降频</x:v>
      </x:c>
      <x:c r="E315" s="30" t="str">
        <x:v>状态</x:v>
      </x:c>
      <x:c r="F315" s="30" t="str">
        <x:v>enum</x:v>
      </x:c>
      <x:c r="G315" s="30" t="str">
        <x:v>nominal/throttled/not_modeled</x:v>
      </x:c>
      <x:c r="H315" s="30" t="str">
        <x:v>计算资源模型/实际推理记录</x:v>
      </x:c>
      <x:c r="I315" s="30" t="str">
        <x:v>本机遥测可读；远端需服务发现/反馈</x:v>
      </x:c>
      <x:c r="J315" s="30" t="str">
        <x:v>A006；A007；A038；A039；A040；A042；A043；A044；A045；A046；A047；A048；A049；A050；A052；A061；A064；A066</x:v>
      </x:c>
      <x:c r="K315" s="30" t="str">
        <x:v>初始化/配置或相应状态所有者；不是任意Agent写入</x:v>
      </x:c>
      <x:c r="L315" s="30" t="n">
        <x:v>47</x:v>
      </x:c>
      <x:c r="M315" s="30" t="str">
        <x:v>S20；S21；S24</x:v>
      </x:c>
      <x:c r="N315" s="30" t="str">
        <x:v>https://kubernetes.io/docs/concepts/configuration/manage-resources-containers/
https://docs.mlcommons.org/inference/benchmarks/language/llama3_1-8b/</x:v>
      </x:c>
    </x:row>
    <x:row r="316" ht="120" customHeight="1">
      <x:c r="A316" s="30" t="str">
        <x:v>F312</x:v>
      </x:c>
      <x:c r="B316" s="30" t="str">
        <x:v>计算节点</x:v>
      </x:c>
      <x:c r="C316" s="30" t="str">
        <x:v>compute.network_endpoint</x:v>
      </x:c>
      <x:c r="D316" s="30" t="str">
        <x:v>服务网络端点</x:v>
      </x:c>
      <x:c r="E316" s="30" t="str">
        <x:v>配置</x:v>
      </x:c>
      <x:c r="F316" s="30" t="str">
        <x:v>record</x:v>
      </x:c>
      <x:c r="G316" s="30" t="str">
        <x:v>请求与结果都受网络模型约束</x:v>
      </x:c>
      <x:c r="H316" s="30" t="str">
        <x:v>计算资源模型/实际推理记录</x:v>
      </x:c>
      <x:c r="I316" s="30" t="str">
        <x:v>本机遥测可读；远端需服务发现/反馈</x:v>
      </x:c>
      <x:c r="J316" s="30" t="str">
        <x:v>A006；A007；A038；A039；A040；A042；A043；A044；A045；A046；A047；A048；A049；A050；A052；A061；A064；A066</x:v>
      </x:c>
      <x:c r="K316" s="30" t="str">
        <x:v>初始化/配置或相应状态所有者；不是任意Agent写入</x:v>
      </x:c>
      <x:c r="L316" s="30" t="n">
        <x:v>47</x:v>
      </x:c>
      <x:c r="M316" s="30" t="str">
        <x:v>S20；S21；S24</x:v>
      </x:c>
      <x:c r="N316" s="30" t="str">
        <x:v>https://kubernetes.io/docs/concepts/configuration/manage-resources-containers/
https://docs.mlcommons.org/inference/benchmarks/language/llama3_1-8b/</x:v>
      </x:c>
    </x:row>
    <x:row r="317" ht="120" customHeight="1">
      <x:c r="A317" s="30" t="str">
        <x:v>F313</x:v>
      </x:c>
      <x:c r="B317" s="30" t="str">
        <x:v>模型与软件服务</x:v>
      </x:c>
      <x:c r="C317" s="30" t="str">
        <x:v>service.kind</x:v>
      </x:c>
      <x:c r="D317" s="30" t="str">
        <x:v>服务类型</x:v>
      </x:c>
      <x:c r="E317" s="30" t="str">
        <x:v>配置</x:v>
      </x:c>
      <x:c r="F317" s="30" t="str">
        <x:v>enum</x:v>
      </x:c>
      <x:c r="G317" s="30" t="str">
        <x:v>detector/VLM/LLM/localizer/planner/retriever/encoder/fusion</x:v>
      </x:c>
      <x:c r="H317" s="30" t="str">
        <x:v>服务生命周期管理</x:v>
      </x:c>
      <x:c r="I317" s="30" t="str">
        <x:v>服务能力可广告，当前就绪需实际反馈</x:v>
      </x:c>
      <x:c r="J317" s="30" t="str">
        <x:v>A006；A039；A042；A043；A044；A045；A046；A047；A048；A049；A061；A064</x:v>
      </x:c>
      <x:c r="K317" s="30" t="str">
        <x:v>初始化/配置或相应状态所有者；不是任意Agent写入</x:v>
      </x:c>
      <x:c r="L317" s="30" t="n">
        <x:v>37</x:v>
      </x:c>
      <x:c r="M317" s="30" t="str">
        <x:v>S20；S21；S24</x:v>
      </x:c>
      <x:c r="N317" s="30" t="str">
        <x:v>https://kubernetes.io/docs/concepts/configuration/manage-resources-containers/
https://docs.mlcommons.org/inference/benchmarks/language/llama3_1-8b/</x:v>
      </x:c>
    </x:row>
    <x:row r="318" ht="120" customHeight="1">
      <x:c r="A318" s="30" t="str">
        <x:v>F314</x:v>
      </x:c>
      <x:c r="B318" s="30" t="str">
        <x:v>模型与软件服务</x:v>
      </x:c>
      <x:c r="C318" s="30" t="str">
        <x:v>service.model_id</x:v>
      </x:c>
      <x:c r="D318" s="30" t="str">
        <x:v>模型标识</x:v>
      </x:c>
      <x:c r="E318" s="30" t="str">
        <x:v>配置</x:v>
      </x:c>
      <x:c r="F318" s="30" t="str">
        <x:v>id</x:v>
      </x:c>
      <x:c r="G318" s="30" t="str">
        <x:v>具体权重/算法版本</x:v>
      </x:c>
      <x:c r="H318" s="30" t="str">
        <x:v>服务生命周期管理</x:v>
      </x:c>
      <x:c r="I318" s="30" t="str">
        <x:v>服务能力可广告，当前就绪需实际反馈</x:v>
      </x:c>
      <x:c r="J318" s="30" t="str">
        <x:v>A006；A039；A042；A043；A044；A045；A046；A047；A048；A049；A061；A064</x:v>
      </x:c>
      <x:c r="K318" s="30" t="str">
        <x:v>初始化/配置或相应状态所有者；不是任意Agent写入</x:v>
      </x:c>
      <x:c r="L318" s="30" t="n">
        <x:v>37</x:v>
      </x:c>
      <x:c r="M318" s="30" t="str">
        <x:v>S20；S21；S24</x:v>
      </x:c>
      <x:c r="N318" s="30" t="str">
        <x:v>https://kubernetes.io/docs/concepts/configuration/manage-resources-containers/
https://docs.mlcommons.org/inference/benchmarks/language/llama3_1-8b/</x:v>
      </x:c>
    </x:row>
    <x:row r="319" ht="120" customHeight="1">
      <x:c r="A319" s="30" t="str">
        <x:v>F315</x:v>
      </x:c>
      <x:c r="B319" s="30" t="str">
        <x:v>模型与软件服务</x:v>
      </x:c>
      <x:c r="C319" s="30" t="str">
        <x:v>service.version</x:v>
      </x:c>
      <x:c r="D319" s="30" t="str">
        <x:v>服务版本</x:v>
      </x:c>
      <x:c r="E319" s="30" t="str">
        <x:v>配置</x:v>
      </x:c>
      <x:c r="F319" s="30" t="str">
        <x:v>str</x:v>
      </x:c>
      <x:c r="G319" s="30" t="str">
        <x:v>锁定版本</x:v>
      </x:c>
      <x:c r="H319" s="30" t="str">
        <x:v>服务生命周期管理</x:v>
      </x:c>
      <x:c r="I319" s="30" t="str">
        <x:v>服务能力可广告，当前就绪需实际反馈</x:v>
      </x:c>
      <x:c r="J319" s="30" t="str">
        <x:v>A006；A039；A042；A043；A044；A045；A046；A047；A048；A049；A061；A064</x:v>
      </x:c>
      <x:c r="K319" s="30" t="str">
        <x:v>初始化/配置或相应状态所有者；不是任意Agent写入</x:v>
      </x:c>
      <x:c r="L319" s="30" t="n">
        <x:v>37</x:v>
      </x:c>
      <x:c r="M319" s="30" t="str">
        <x:v>S20；S21；S24</x:v>
      </x:c>
      <x:c r="N319" s="30" t="str">
        <x:v>https://kubernetes.io/docs/concepts/configuration/manage-resources-containers/
https://docs.mlcommons.org/inference/benchmarks/language/llama3_1-8b/</x:v>
      </x:c>
    </x:row>
    <x:row r="320" ht="120" customHeight="1">
      <x:c r="A320" s="30" t="str">
        <x:v>F316</x:v>
      </x:c>
      <x:c r="B320" s="30" t="str">
        <x:v>模型与软件服务</x:v>
      </x:c>
      <x:c r="C320" s="30" t="str">
        <x:v>service.host_id</x:v>
      </x:c>
      <x:c r="D320" s="30" t="str">
        <x:v>部署节点</x:v>
      </x:c>
      <x:c r="E320" s="30" t="str">
        <x:v>状态</x:v>
      </x:c>
      <x:c r="F320" s="30" t="str">
        <x:v>id</x:v>
      </x:c>
      <x:c r="G320" s="30" t="str">
        <x:v>compute节点</x:v>
      </x:c>
      <x:c r="H320" s="30" t="str">
        <x:v>服务生命周期管理</x:v>
      </x:c>
      <x:c r="I320" s="30" t="str">
        <x:v>服务能力可广告，当前就绪需实际反馈</x:v>
      </x:c>
      <x:c r="J320" s="30" t="str">
        <x:v>A006；A039；A042；A043；A044；A045；A046；A047；A048；A049；A061；A064</x:v>
      </x:c>
      <x:c r="K320" s="30" t="str">
        <x:v>A045；A047</x:v>
      </x:c>
      <x:c r="L320" s="30" t="n">
        <x:v>37</x:v>
      </x:c>
      <x:c r="M320" s="30" t="str">
        <x:v>S20；S21；S24</x:v>
      </x:c>
      <x:c r="N320" s="30" t="str">
        <x:v>https://kubernetes.io/docs/concepts/configuration/manage-resources-containers/
https://docs.mlcommons.org/inference/benchmarks/language/llama3_1-8b/</x:v>
      </x:c>
    </x:row>
    <x:row r="321" ht="120" customHeight="1">
      <x:c r="A321" s="30" t="str">
        <x:v>F317</x:v>
      </x:c>
      <x:c r="B321" s="30" t="str">
        <x:v>模型与软件服务</x:v>
      </x:c>
      <x:c r="C321" s="30" t="str">
        <x:v>service.status</x:v>
      </x:c>
      <x:c r="D321" s="30" t="str">
        <x:v>服务状态</x:v>
      </x:c>
      <x:c r="E321" s="30" t="str">
        <x:v>状态</x:v>
      </x:c>
      <x:c r="F321" s="30" t="str">
        <x:v>enum</x:v>
      </x:c>
      <x:c r="G321" s="30" t="str">
        <x:v>unloaded/loading/ready/busy/draining/failed</x:v>
      </x:c>
      <x:c r="H321" s="30" t="str">
        <x:v>服务生命周期管理</x:v>
      </x:c>
      <x:c r="I321" s="30" t="str">
        <x:v>服务能力可广告，当前就绪需实际反馈</x:v>
      </x:c>
      <x:c r="J321" s="30" t="str">
        <x:v>A006；A039；A042；A043；A044；A045；A046；A047；A048；A049；A061；A064</x:v>
      </x:c>
      <x:c r="K321" s="30" t="str">
        <x:v>A045</x:v>
      </x:c>
      <x:c r="L321" s="30" t="n">
        <x:v>37</x:v>
      </x:c>
      <x:c r="M321" s="30" t="str">
        <x:v>S20；S21；S24</x:v>
      </x:c>
      <x:c r="N321" s="30" t="str">
        <x:v>https://kubernetes.io/docs/concepts/configuration/manage-resources-containers/
https://docs.mlcommons.org/inference/benchmarks/language/llama3_1-8b/</x:v>
      </x:c>
    </x:row>
    <x:row r="322" ht="120" customHeight="1">
      <x:c r="A322" s="30" t="str">
        <x:v>F318</x:v>
      </x:c>
      <x:c r="B322" s="30" t="str">
        <x:v>模型与软件服务</x:v>
      </x:c>
      <x:c r="C322" s="30" t="str">
        <x:v>service.input_schema</x:v>
      </x:c>
      <x:c r="D322" s="30" t="str">
        <x:v>输入格式</x:v>
      </x:c>
      <x:c r="E322" s="30" t="str">
        <x:v>配置</x:v>
      </x:c>
      <x:c r="F322" s="30" t="str">
        <x:v>record</x:v>
      </x:c>
      <x:c r="G322" s="30" t="str">
        <x:v>模态/张量形状/字段</x:v>
      </x:c>
      <x:c r="H322" s="30" t="str">
        <x:v>服务生命周期管理</x:v>
      </x:c>
      <x:c r="I322" s="30" t="str">
        <x:v>服务能力可广告，当前就绪需实际反馈</x:v>
      </x:c>
      <x:c r="J322" s="30" t="str">
        <x:v>A006；A039；A042；A043；A044；A045；A046；A047；A048；A049；A061；A064</x:v>
      </x:c>
      <x:c r="K322" s="30" t="str">
        <x:v>初始化/配置或相应状态所有者；不是任意Agent写入</x:v>
      </x:c>
      <x:c r="L322" s="30" t="n">
        <x:v>37</x:v>
      </x:c>
      <x:c r="M322" s="30" t="str">
        <x:v>S20；S21；S24</x:v>
      </x:c>
      <x:c r="N322" s="30" t="str">
        <x:v>https://kubernetes.io/docs/concepts/configuration/manage-resources-containers/
https://docs.mlcommons.org/inference/benchmarks/language/llama3_1-8b/</x:v>
      </x:c>
    </x:row>
    <x:row r="323" ht="120" customHeight="1">
      <x:c r="A323" s="30" t="str">
        <x:v>F319</x:v>
      </x:c>
      <x:c r="B323" s="30" t="str">
        <x:v>模型与软件服务</x:v>
      </x:c>
      <x:c r="C323" s="30" t="str">
        <x:v>service.output_schema</x:v>
      </x:c>
      <x:c r="D323" s="30" t="str">
        <x:v>输出格式</x:v>
      </x:c>
      <x:c r="E323" s="30" t="str">
        <x:v>配置</x:v>
      </x:c>
      <x:c r="F323" s="30" t="str">
        <x:v>record</x:v>
      </x:c>
      <x:c r="G323" s="30" t="str">
        <x:v>结果/置信度/证据</x:v>
      </x:c>
      <x:c r="H323" s="30" t="str">
        <x:v>服务生命周期管理</x:v>
      </x:c>
      <x:c r="I323" s="30" t="str">
        <x:v>服务能力可广告，当前就绪需实际反馈</x:v>
      </x:c>
      <x:c r="J323" s="30" t="str">
        <x:v>A006；A039；A042；A043；A044；A045；A046；A047；A048；A049；A061；A064</x:v>
      </x:c>
      <x:c r="K323" s="30" t="str">
        <x:v>初始化/配置或相应状态所有者；不是任意Agent写入</x:v>
      </x:c>
      <x:c r="L323" s="30" t="n">
        <x:v>37</x:v>
      </x:c>
      <x:c r="M323" s="30" t="str">
        <x:v>S20；S21；S24</x:v>
      </x:c>
      <x:c r="N323" s="30" t="str">
        <x:v>https://kubernetes.io/docs/concepts/configuration/manage-resources-containers/
https://docs.mlcommons.org/inference/benchmarks/language/llama3_1-8b/</x:v>
      </x:c>
    </x:row>
    <x:row r="324" ht="120" customHeight="1">
      <x:c r="A324" s="30" t="str">
        <x:v>F320</x:v>
      </x:c>
      <x:c r="B324" s="30" t="str">
        <x:v>模型与软件服务</x:v>
      </x:c>
      <x:c r="C324" s="30" t="str">
        <x:v>service.precision</x:v>
      </x:c>
      <x:c r="D324" s="30" t="str">
        <x:v>数值精度</x:v>
      </x:c>
      <x:c r="E324" s="30" t="str">
        <x:v>配置</x:v>
      </x:c>
      <x:c r="F324" s="30" t="str">
        <x:v>enum</x:v>
      </x:c>
      <x:c r="G324" s="30" t="str">
        <x:v>fp32/fp16/bf16/int8/int4/other</x:v>
      </x:c>
      <x:c r="H324" s="30" t="str">
        <x:v>服务生命周期管理</x:v>
      </x:c>
      <x:c r="I324" s="30" t="str">
        <x:v>服务能力可广告，当前就绪需实际反馈</x:v>
      </x:c>
      <x:c r="J324" s="30" t="str">
        <x:v>A006；A039；A042；A043；A044；A045；A046；A047；A048；A049；A061；A064</x:v>
      </x:c>
      <x:c r="K324" s="30" t="str">
        <x:v>初始化/配置或相应状态所有者；不是任意Agent写入</x:v>
      </x:c>
      <x:c r="L324" s="30" t="n">
        <x:v>37</x:v>
      </x:c>
      <x:c r="M324" s="30" t="str">
        <x:v>S20；S21；S24</x:v>
      </x:c>
      <x:c r="N324" s="30" t="str">
        <x:v>https://kubernetes.io/docs/concepts/configuration/manage-resources-containers/
https://docs.mlcommons.org/inference/benchmarks/language/llama3_1-8b/</x:v>
      </x:c>
    </x:row>
    <x:row r="325" ht="120" customHeight="1">
      <x:c r="A325" s="30" t="str">
        <x:v>F321</x:v>
      </x:c>
      <x:c r="B325" s="30" t="str">
        <x:v>模型与软件服务</x:v>
      </x:c>
      <x:c r="C325" s="30" t="str">
        <x:v>service.weights_bytes</x:v>
      </x:c>
      <x:c r="D325" s="30" t="str">
        <x:v>模型权重占用</x:v>
      </x:c>
      <x:c r="E325" s="30" t="str">
        <x:v>配置</x:v>
      </x:c>
      <x:c r="F325" s="30" t="str">
        <x:v>int</x:v>
      </x:c>
      <x:c r="G325" s="30" t="str">
        <x:v>非负</x:v>
      </x:c>
      <x:c r="H325" s="30" t="str">
        <x:v>服务生命周期管理</x:v>
      </x:c>
      <x:c r="I325" s="30" t="str">
        <x:v>服务能力可广告，当前就绪需实际反馈</x:v>
      </x:c>
      <x:c r="J325" s="30" t="str">
        <x:v>A006；A039；A042；A043；A044；A045；A046；A047；A048；A049；A061；A064</x:v>
      </x:c>
      <x:c r="K325" s="30" t="str">
        <x:v>初始化/配置或相应状态所有者；不是任意Agent写入</x:v>
      </x:c>
      <x:c r="L325" s="30" t="n">
        <x:v>37</x:v>
      </x:c>
      <x:c r="M325" s="30" t="str">
        <x:v>S20；S21；S24</x:v>
      </x:c>
      <x:c r="N325" s="30" t="str">
        <x:v>https://kubernetes.io/docs/concepts/configuration/manage-resources-containers/
https://docs.mlcommons.org/inference/benchmarks/language/llama3_1-8b/</x:v>
      </x:c>
    </x:row>
    <x:row r="326" ht="120" customHeight="1">
      <x:c r="A326" s="30" t="str">
        <x:v>F322</x:v>
      </x:c>
      <x:c r="B326" s="30" t="str">
        <x:v>模型与软件服务</x:v>
      </x:c>
      <x:c r="C326" s="30" t="str">
        <x:v>service.working_memory_bytes</x:v>
      </x:c>
      <x:c r="D326" s="30" t="str">
        <x:v>工作内存需求</x:v>
      </x:c>
      <x:c r="E326" s="30" t="str">
        <x:v>配置</x:v>
      </x:c>
      <x:c r="F326" s="30" t="str">
        <x:v>record</x:v>
      </x:c>
      <x:c r="G326" s="30" t="str">
        <x:v>输入/并发依赖profile</x:v>
      </x:c>
      <x:c r="H326" s="30" t="str">
        <x:v>服务生命周期管理</x:v>
      </x:c>
      <x:c r="I326" s="30" t="str">
        <x:v>服务能力可广告，当前就绪需实际反馈</x:v>
      </x:c>
      <x:c r="J326" s="30" t="str">
        <x:v>A006；A039；A042；A043；A044；A045；A046；A047；A048；A049；A061；A064</x:v>
      </x:c>
      <x:c r="K326" s="30" t="str">
        <x:v>初始化/配置或相应状态所有者；不是任意Agent写入</x:v>
      </x:c>
      <x:c r="L326" s="30" t="n">
        <x:v>37</x:v>
      </x:c>
      <x:c r="M326" s="30" t="str">
        <x:v>S20；S21；S24</x:v>
      </x:c>
      <x:c r="N326" s="30" t="str">
        <x:v>https://kubernetes.io/docs/concepts/configuration/manage-resources-containers/
https://docs.mlcommons.org/inference/benchmarks/language/llama3_1-8b/</x:v>
      </x:c>
    </x:row>
    <x:row r="327" ht="120" customHeight="1">
      <x:c r="A327" s="30" t="str">
        <x:v>F323</x:v>
      </x:c>
      <x:c r="B327" s="30" t="str">
        <x:v>模型与软件服务</x:v>
      </x:c>
      <x:c r="C327" s="30" t="str">
        <x:v>service.load_latency_profile</x:v>
      </x:c>
      <x:c r="D327" s="30" t="str">
        <x:v>加载时延模型</x:v>
      </x:c>
      <x:c r="E327" s="30" t="str">
        <x:v>配置</x:v>
      </x:c>
      <x:c r="F327" s="30" t="str">
        <x:v>id</x:v>
      </x:c>
      <x:c r="G327" s="30" t="str">
        <x:v>实测或声明假设</x:v>
      </x:c>
      <x:c r="H327" s="30" t="str">
        <x:v>服务生命周期管理</x:v>
      </x:c>
      <x:c r="I327" s="30" t="str">
        <x:v>服务能力可广告，当前就绪需实际反馈</x:v>
      </x:c>
      <x:c r="J327" s="30" t="str">
        <x:v>A006；A039；A042；A043；A044；A045；A046；A047；A048；A049；A061；A064</x:v>
      </x:c>
      <x:c r="K327" s="30" t="str">
        <x:v>初始化/配置或相应状态所有者；不是任意Agent写入</x:v>
      </x:c>
      <x:c r="L327" s="30" t="n">
        <x:v>37</x:v>
      </x:c>
      <x:c r="M327" s="30" t="str">
        <x:v>S20；S21；S24</x:v>
      </x:c>
      <x:c r="N327" s="30" t="str">
        <x:v>https://kubernetes.io/docs/concepts/configuration/manage-resources-containers/
https://docs.mlcommons.org/inference/benchmarks/language/llama3_1-8b/</x:v>
      </x:c>
    </x:row>
    <x:row r="328" ht="120" customHeight="1">
      <x:c r="A328" s="30" t="str">
        <x:v>F324</x:v>
      </x:c>
      <x:c r="B328" s="30" t="str">
        <x:v>模型与软件服务</x:v>
      </x:c>
      <x:c r="C328" s="30" t="str">
        <x:v>service.batch_policy</x:v>
      </x:c>
      <x:c r="D328" s="30" t="str">
        <x:v>批处理策略</x:v>
      </x:c>
      <x:c r="E328" s="30" t="str">
        <x:v>配置</x:v>
      </x:c>
      <x:c r="F328" s="30" t="str">
        <x:v>record</x:v>
      </x:c>
      <x:c r="G328" s="30" t="str">
        <x:v>最大批量/等候窗/兼容条件</x:v>
      </x:c>
      <x:c r="H328" s="30" t="str">
        <x:v>服务生命周期管理</x:v>
      </x:c>
      <x:c r="I328" s="30" t="str">
        <x:v>服务能力可广告，当前就绪需实际反馈</x:v>
      </x:c>
      <x:c r="J328" s="30" t="str">
        <x:v>A006；A039；A042；A043；A044；A045；A046；A047；A048；A049；A061；A064</x:v>
      </x:c>
      <x:c r="K328" s="30" t="str">
        <x:v>初始化/配置或相应状态所有者；不是任意Agent写入</x:v>
      </x:c>
      <x:c r="L328" s="30" t="n">
        <x:v>37</x:v>
      </x:c>
      <x:c r="M328" s="30" t="str">
        <x:v>S20；S21；S24</x:v>
      </x:c>
      <x:c r="N328" s="30" t="str">
        <x:v>https://kubernetes.io/docs/concepts/configuration/manage-resources-containers/
https://docs.mlcommons.org/inference/benchmarks/language/llama3_1-8b/</x:v>
      </x:c>
    </x:row>
    <x:row r="329" ht="120" customHeight="1">
      <x:c r="A329" s="30" t="str">
        <x:v>F325</x:v>
      </x:c>
      <x:c r="B329" s="30" t="str">
        <x:v>模型与软件服务</x:v>
      </x:c>
      <x:c r="C329" s="30" t="str">
        <x:v>service.context_limit</x:v>
      </x:c>
      <x:c r="D329" s="30" t="str">
        <x:v>上下文上限</x:v>
      </x:c>
      <x:c r="E329" s="30" t="str">
        <x:v>配置</x:v>
      </x:c>
      <x:c r="F329" s="30" t="str">
        <x:v>int</x:v>
      </x:c>
      <x:c r="G329" s="30" t="str">
        <x:v>tokens或模型特定单位</x:v>
      </x:c>
      <x:c r="H329" s="30" t="str">
        <x:v>服务生命周期管理</x:v>
      </x:c>
      <x:c r="I329" s="30" t="str">
        <x:v>服务能力可广告，当前就绪需实际反馈</x:v>
      </x:c>
      <x:c r="J329" s="30" t="str">
        <x:v>A006；A039；A042；A043；A044；A045；A046；A047；A048；A049；A061；A064</x:v>
      </x:c>
      <x:c r="K329" s="30" t="str">
        <x:v>初始化/配置或相应状态所有者；不是任意Agent写入</x:v>
      </x:c>
      <x:c r="L329" s="30" t="n">
        <x:v>37</x:v>
      </x:c>
      <x:c r="M329" s="30" t="str">
        <x:v>S20；S21；S24</x:v>
      </x:c>
      <x:c r="N329" s="30" t="str">
        <x:v>https://kubernetes.io/docs/concepts/configuration/manage-resources-containers/
https://docs.mlcommons.org/inference/benchmarks/language/llama3_1-8b/</x:v>
      </x:c>
    </x:row>
    <x:row r="330" ht="120" customHeight="1">
      <x:c r="A330" s="30" t="str">
        <x:v>F326</x:v>
      </x:c>
      <x:c r="B330" s="30" t="str">
        <x:v>模型与软件服务</x:v>
      </x:c>
      <x:c r="C330" s="30" t="str">
        <x:v>service.quality_profile</x:v>
      </x:c>
      <x:c r="D330" s="30" t="str">
        <x:v>质量标定</x:v>
      </x:c>
      <x:c r="E330" s="30" t="str">
        <x:v>配置</x:v>
      </x:c>
      <x:c r="F330" s="30" t="str">
        <x:v>record</x:v>
      </x:c>
      <x:c r="G330" s="30" t="str">
        <x:v>任务/分布/阈值；不保证特定输出正确</x:v>
      </x:c>
      <x:c r="H330" s="30" t="str">
        <x:v>服务生命周期管理</x:v>
      </x:c>
      <x:c r="I330" s="30" t="str">
        <x:v>服务能力可广告，当前就绪需实际反馈</x:v>
      </x:c>
      <x:c r="J330" s="30" t="str">
        <x:v>A006；A039；A042；A043；A044；A045；A046；A047；A048；A049；A061；A064</x:v>
      </x:c>
      <x:c r="K330" s="30" t="str">
        <x:v>初始化/配置或相应状态所有者；不是任意Agent写入</x:v>
      </x:c>
      <x:c r="L330" s="30" t="n">
        <x:v>37</x:v>
      </x:c>
      <x:c r="M330" s="30" t="str">
        <x:v>S20；S21；S24</x:v>
      </x:c>
      <x:c r="N330" s="30" t="str">
        <x:v>https://kubernetes.io/docs/concepts/configuration/manage-resources-containers/
https://docs.mlcommons.org/inference/benchmarks/language/llama3_1-8b/</x:v>
      </x:c>
    </x:row>
    <x:row r="331" ht="120" customHeight="1">
      <x:c r="A331" s="30" t="str">
        <x:v>F327</x:v>
      </x:c>
      <x:c r="B331" s="30" t="str">
        <x:v>模型与软件服务</x:v>
      </x:c>
      <x:c r="C331" s="30" t="str">
        <x:v>service.compatible_representations</x:v>
      </x:c>
      <x:c r="D331" s="30" t="str">
        <x:v>兼容数据表示</x:v>
      </x:c>
      <x:c r="E331" s="30" t="str">
        <x:v>配置</x:v>
      </x:c>
      <x:c r="F331" s="30" t="str">
        <x:v>set</x:v>
      </x:c>
      <x:c r="G331" s="30" t="str">
        <x:v>raw/crop/text/features/KV及模型版本限制</x:v>
      </x:c>
      <x:c r="H331" s="30" t="str">
        <x:v>服务生命周期管理</x:v>
      </x:c>
      <x:c r="I331" s="30" t="str">
        <x:v>服务能力可广告，当前就绪需实际反馈</x:v>
      </x:c>
      <x:c r="J331" s="30" t="str">
        <x:v>A006；A039；A042；A043；A044；A045；A046；A047；A048；A049；A061；A064</x:v>
      </x:c>
      <x:c r="K331" s="30" t="str">
        <x:v>初始化/配置或相应状态所有者；不是任意Agent写入</x:v>
      </x:c>
      <x:c r="L331" s="30" t="n">
        <x:v>37</x:v>
      </x:c>
      <x:c r="M331" s="30" t="str">
        <x:v>S20；S21；S24</x:v>
      </x:c>
      <x:c r="N331" s="30" t="str">
        <x:v>https://kubernetes.io/docs/concepts/configuration/manage-resources-containers/
https://docs.mlcommons.org/inference/benchmarks/language/llama3_1-8b/</x:v>
      </x:c>
    </x:row>
    <x:row r="332" ht="120" customHeight="1">
      <x:c r="A332" s="30" t="str">
        <x:v>F328</x:v>
      </x:c>
      <x:c r="B332" s="30" t="str">
        <x:v>模型与软件服务</x:v>
      </x:c>
      <x:c r="C332" s="30" t="str">
        <x:v>service.licence_scope</x:v>
      </x:c>
      <x:c r="D332" s="30" t="str">
        <x:v>许可与调用授权</x:v>
      </x:c>
      <x:c r="E332" s="30" t="str">
        <x:v>配置</x:v>
      </x:c>
      <x:c r="F332" s="30" t="str">
        <x:v>record</x:v>
      </x:c>
      <x:c r="G332" s="30" t="str">
        <x:v>实际可部署/调用范围</x:v>
      </x:c>
      <x:c r="H332" s="30" t="str">
        <x:v>服务生命周期管理</x:v>
      </x:c>
      <x:c r="I332" s="30" t="str">
        <x:v>服务能力可广告，当前就绪需实际反馈</x:v>
      </x:c>
      <x:c r="J332" s="30" t="str">
        <x:v>A006；A039；A042；A043；A044；A045；A046；A047；A048；A049；A061；A064</x:v>
      </x:c>
      <x:c r="K332" s="30" t="str">
        <x:v>初始化/配置或相应状态所有者；不是任意Agent写入</x:v>
      </x:c>
      <x:c r="L332" s="30" t="n">
        <x:v>37</x:v>
      </x:c>
      <x:c r="M332" s="30" t="str">
        <x:v>S20；S21；S24</x:v>
      </x:c>
      <x:c r="N332" s="30" t="str">
        <x:v>https://kubernetes.io/docs/concepts/configuration/manage-resources-containers/
https://docs.mlcommons.org/inference/benchmarks/language/llama3_1-8b/</x:v>
      </x:c>
    </x:row>
    <x:row r="333" ht="120" customHeight="1">
      <x:c r="A333" s="30" t="str">
        <x:v>F329</x:v>
      </x:c>
      <x:c r="B333" s="30" t="str">
        <x:v>计算作业及推理成本</x:v>
      </x:c>
      <x:c r="C333" s="30" t="str">
        <x:v>job.requester_id</x:v>
      </x:c>
      <x:c r="D333" s="30" t="str">
        <x:v>作业请求者</x:v>
      </x:c>
      <x:c r="E333" s="30" t="str">
        <x:v>标识</x:v>
      </x:c>
      <x:c r="F333" s="30" t="str">
        <x:v>id</x:v>
      </x:c>
      <x:c r="G333" s="30" t="str">
        <x:v>Agent或服务</x:v>
      </x:c>
      <x:c r="H333" s="30" t="str">
        <x:v>作业管理/模型执行器</x:v>
      </x:c>
      <x:c r="I333" s="30" t="str">
        <x:v>本地作业可读，远程结果仅送达后可用</x:v>
      </x:c>
      <x:c r="J333" s="30" t="str">
        <x:v>A006；A007；A011；A038；A039；A040；A043；A044；A045；A046；A047；A048；A049；A050；A051；A052；A060；A061；A064；A066</x:v>
      </x:c>
      <x:c r="K333" s="30" t="str">
        <x:v>初始化/配置或相应状态所有者；不是任意Agent写入</x:v>
      </x:c>
      <x:c r="L333" s="30" t="n">
        <x:v>55</x:v>
      </x:c>
      <x:c r="M333" s="30" t="str">
        <x:v>S19；S20；S21；S24</x:v>
      </x:c>
      <x:c r="N333" s="30" t="str">
        <x:v>https://design.ros2.org/articles/actions.html
https://kubernetes.io/docs/concepts/configuration/manage-resources-containers/
https://docs.mlcommons.org/inference/benchmarks/language/llama3_1-8b/</x:v>
      </x:c>
    </x:row>
    <x:row r="334" ht="120" customHeight="1">
      <x:c r="A334" s="30" t="str">
        <x:v>F330</x:v>
      </x:c>
      <x:c r="B334" s="30" t="str">
        <x:v>计算作业及推理成本</x:v>
      </x:c>
      <x:c r="C334" s="30" t="str">
        <x:v>job.task_ref</x:v>
      </x:c>
      <x:c r="D334" s="30" t="str">
        <x:v>关联任务版本</x:v>
      </x:c>
      <x:c r="E334" s="30" t="str">
        <x:v>标识</x:v>
      </x:c>
      <x:c r="F334" s="30" t="str">
        <x:v>record</x:v>
      </x:c>
      <x:c r="G334" s="30" t="str">
        <x:v>task_id/revision</x:v>
      </x:c>
      <x:c r="H334" s="30" t="str">
        <x:v>作业管理/模型执行器</x:v>
      </x:c>
      <x:c r="I334" s="30" t="str">
        <x:v>本地作业可读，远程结果仅送达后可用</x:v>
      </x:c>
      <x:c r="J334" s="30" t="str">
        <x:v>A006；A007；A011；A038；A039；A040；A043；A044；A045；A046；A047；A048；A049；A050；A051；A052；A060；A061；A064；A066</x:v>
      </x:c>
      <x:c r="K334" s="30" t="str">
        <x:v>初始化/配置或相应状态所有者；不是任意Agent写入</x:v>
      </x:c>
      <x:c r="L334" s="30" t="n">
        <x:v>55</x:v>
      </x:c>
      <x:c r="M334" s="30" t="str">
        <x:v>S19；S20；S21；S24</x:v>
      </x:c>
      <x:c r="N334" s="30" t="str">
        <x:v>https://design.ros2.org/articles/actions.html
https://kubernetes.io/docs/concepts/configuration/manage-resources-containers/
https://docs.mlcommons.org/inference/benchmarks/language/llama3_1-8b/</x:v>
      </x:c>
    </x:row>
    <x:row r="335" ht="120" customHeight="1">
      <x:c r="A335" s="30" t="str">
        <x:v>F331</x:v>
      </x:c>
      <x:c r="B335" s="30" t="str">
        <x:v>计算作业及推理成本</x:v>
      </x:c>
      <x:c r="C335" s="30" t="str">
        <x:v>job.service_id</x:v>
      </x:c>
      <x:c r="D335" s="30" t="str">
        <x:v>目标服务</x:v>
      </x:c>
      <x:c r="E335" s="30" t="str">
        <x:v>配置</x:v>
      </x:c>
      <x:c r="F335" s="30" t="str">
        <x:v>id</x:v>
      </x:c>
      <x:c r="G335" s="30" t="str">
        <x:v>实际服务</x:v>
      </x:c>
      <x:c r="H335" s="30" t="str">
        <x:v>作业管理/模型执行器</x:v>
      </x:c>
      <x:c r="I335" s="30" t="str">
        <x:v>本地作业可读，远程结果仅送达后可用</x:v>
      </x:c>
      <x:c r="J335" s="30" t="str">
        <x:v>A006；A007；A011；A038；A039；A040；A043；A044；A045；A046；A047；A048；A049；A050；A051；A052；A060；A061；A064；A066</x:v>
      </x:c>
      <x:c r="K335" s="30" t="str">
        <x:v>A043</x:v>
      </x:c>
      <x:c r="L335" s="30" t="n">
        <x:v>55</x:v>
      </x:c>
      <x:c r="M335" s="30" t="str">
        <x:v>S19；S20；S21；S24</x:v>
      </x:c>
      <x:c r="N335" s="30" t="str">
        <x:v>https://design.ros2.org/articles/actions.html
https://kubernetes.io/docs/concepts/configuration/manage-resources-containers/
https://docs.mlcommons.org/inference/benchmarks/language/llama3_1-8b/</x:v>
      </x:c>
    </x:row>
    <x:row r="336" ht="120" customHeight="1">
      <x:c r="A336" s="30" t="str">
        <x:v>F332</x:v>
      </x:c>
      <x:c r="B336" s="30" t="str">
        <x:v>计算作业及推理成本</x:v>
      </x:c>
      <x:c r="C336" s="30" t="str">
        <x:v>job.input_evidence_ids</x:v>
      </x:c>
      <x:c r="D336" s="30" t="str">
        <x:v>输入证据</x:v>
      </x:c>
      <x:c r="E336" s="30" t="str">
        <x:v>状态</x:v>
      </x:c>
      <x:c r="F336" s="30" t="str">
        <x:v>list[id]</x:v>
      </x:c>
      <x:c r="G336" s="30" t="str">
        <x:v>目标节点实际持有/传输成功</x:v>
      </x:c>
      <x:c r="H336" s="30" t="str">
        <x:v>作业管理/模型执行器</x:v>
      </x:c>
      <x:c r="I336" s="30" t="str">
        <x:v>本地作业可读，远程结果仅送达后可用</x:v>
      </x:c>
      <x:c r="J336" s="30" t="str">
        <x:v>A006；A007；A011；A038；A039；A040；A043；A044；A045；A046；A047；A048；A049；A050；A051；A052；A060；A061；A064；A066</x:v>
      </x:c>
      <x:c r="K336" s="30" t="str">
        <x:v>初始化/配置或相应状态所有者；不是任意Agent写入</x:v>
      </x:c>
      <x:c r="L336" s="30" t="n">
        <x:v>55</x:v>
      </x:c>
      <x:c r="M336" s="30" t="str">
        <x:v>S19；S20；S21；S24</x:v>
      </x:c>
      <x:c r="N336" s="30" t="str">
        <x:v>https://design.ros2.org/articles/actions.html
https://kubernetes.io/docs/concepts/configuration/manage-resources-containers/
https://docs.mlcommons.org/inference/benchmarks/language/llama3_1-8b/</x:v>
      </x:c>
    </x:row>
    <x:row r="337" ht="120" customHeight="1">
      <x:c r="A337" s="30" t="str">
        <x:v>F333</x:v>
      </x:c>
      <x:c r="B337" s="30" t="str">
        <x:v>计算作业及推理成本</x:v>
      </x:c>
      <x:c r="C337" s="30" t="str">
        <x:v>job.input_bytes</x:v>
      </x:c>
      <x:c r="D337" s="30" t="str">
        <x:v>输入字节数</x:v>
      </x:c>
      <x:c r="E337" s="30" t="str">
        <x:v>记录</x:v>
      </x:c>
      <x:c r="F337" s="30" t="str">
        <x:v>int</x:v>
      </x:c>
      <x:c r="G337" s="30" t="str">
        <x:v>非负，包含编码内容</x:v>
      </x:c>
      <x:c r="H337" s="30" t="str">
        <x:v>作业管理/模型执行器</x:v>
      </x:c>
      <x:c r="I337" s="30" t="str">
        <x:v>本地作业可读，远程结果仅送达后可用</x:v>
      </x:c>
      <x:c r="J337" s="30" t="str">
        <x:v>A006；A007；A011；A038；A039；A040；A043；A044；A045；A046；A047；A048；A049；A050；A051；A052；A060；A061；A064；A066</x:v>
      </x:c>
      <x:c r="K337" s="30" t="str">
        <x:v>初始化/配置或相应状态所有者；不是任意Agent写入</x:v>
      </x:c>
      <x:c r="L337" s="30" t="n">
        <x:v>55</x:v>
      </x:c>
      <x:c r="M337" s="30" t="str">
        <x:v>S19；S20；S21；S24</x:v>
      </x:c>
      <x:c r="N337" s="30" t="str">
        <x:v>https://design.ros2.org/articles/actions.html
https://kubernetes.io/docs/concepts/configuration/manage-resources-containers/
https://docs.mlcommons.org/inference/benchmarks/language/llama3_1-8b/</x:v>
      </x:c>
    </x:row>
    <x:row r="338" ht="120" customHeight="1">
      <x:c r="A338" s="30" t="str">
        <x:v>F334</x:v>
      </x:c>
      <x:c r="B338" s="30" t="str">
        <x:v>计算作业及推理成本</x:v>
      </x:c>
      <x:c r="C338" s="30" t="str">
        <x:v>job.input_tokens</x:v>
      </x:c>
      <x:c r="D338" s="30" t="str">
        <x:v>输入tokens</x:v>
      </x:c>
      <x:c r="E338" s="30" t="str">
        <x:v>记录</x:v>
      </x:c>
      <x:c r="F338" s="30" t="str">
        <x:v>int</x:v>
      </x:c>
      <x:c r="G338" s="30" t="str">
        <x:v>null或非负实测</x:v>
      </x:c>
      <x:c r="H338" s="30" t="str">
        <x:v>作业管理/模型执行器</x:v>
      </x:c>
      <x:c r="I338" s="30" t="str">
        <x:v>本地作业可读，远程结果仅送达后可用</x:v>
      </x:c>
      <x:c r="J338" s="30" t="str">
        <x:v>A006；A007；A011；A038；A039；A040；A043；A044；A045；A046；A047；A048；A049；A050；A051；A052；A060；A061；A064；A066</x:v>
      </x:c>
      <x:c r="K338" s="30" t="str">
        <x:v>初始化/配置或相应状态所有者；不是任意Agent写入</x:v>
      </x:c>
      <x:c r="L338" s="30" t="n">
        <x:v>55</x:v>
      </x:c>
      <x:c r="M338" s="30" t="str">
        <x:v>S19；S20；S21；S24</x:v>
      </x:c>
      <x:c r="N338" s="30" t="str">
        <x:v>https://design.ros2.org/articles/actions.html
https://kubernetes.io/docs/concepts/configuration/manage-resources-containers/
https://docs.mlcommons.org/inference/benchmarks/language/llama3_1-8b/</x:v>
      </x:c>
    </x:row>
    <x:row r="339" ht="120" customHeight="1">
      <x:c r="A339" s="30" t="str">
        <x:v>F335</x:v>
      </x:c>
      <x:c r="B339" s="30" t="str">
        <x:v>计算作业及推理成本</x:v>
      </x:c>
      <x:c r="C339" s="30" t="str">
        <x:v>job.output_tokens</x:v>
      </x:c>
      <x:c r="D339" s="30" t="str">
        <x:v>输出tokens</x:v>
      </x:c>
      <x:c r="E339" s="30" t="str">
        <x:v>记录</x:v>
      </x:c>
      <x:c r="F339" s="30" t="str">
        <x:v>int</x:v>
      </x:c>
      <x:c r="G339" s="30" t="str">
        <x:v>null或非负实测</x:v>
      </x:c>
      <x:c r="H339" s="30" t="str">
        <x:v>作业管理/模型执行器</x:v>
      </x:c>
      <x:c r="I339" s="30" t="str">
        <x:v>本地作业可读，远程结果仅送达后可用</x:v>
      </x:c>
      <x:c r="J339" s="30" t="str">
        <x:v>A006；A007；A011；A038；A039；A040；A043；A044；A045；A046；A047；A048；A049；A050；A051；A052；A060；A061；A064；A066</x:v>
      </x:c>
      <x:c r="K339" s="30" t="str">
        <x:v>初始化/配置或相应状态所有者；不是任意Agent写入</x:v>
      </x:c>
      <x:c r="L339" s="30" t="n">
        <x:v>55</x:v>
      </x:c>
      <x:c r="M339" s="30" t="str">
        <x:v>S19；S20；S21；S24</x:v>
      </x:c>
      <x:c r="N339" s="30" t="str">
        <x:v>https://design.ros2.org/articles/actions.html
https://kubernetes.io/docs/concepts/configuration/manage-resources-containers/
https://docs.mlcommons.org/inference/benchmarks/language/llama3_1-8b/</x:v>
      </x:c>
    </x:row>
    <x:row r="340" ht="120" customHeight="1">
      <x:c r="A340" s="30" t="str">
        <x:v>F336</x:v>
      </x:c>
      <x:c r="B340" s="30" t="str">
        <x:v>计算作业及推理成本</x:v>
      </x:c>
      <x:c r="C340" s="30" t="str">
        <x:v>job.status</x:v>
      </x:c>
      <x:c r="D340" s="30" t="str">
        <x:v>作业状态</x:v>
      </x:c>
      <x:c r="E340" s="30" t="str">
        <x:v>状态</x:v>
      </x:c>
      <x:c r="F340" s="30" t="str">
        <x:v>enum</x:v>
      </x:c>
      <x:c r="G340" s="30" t="str">
        <x:v>created/uploading/queued/loading/running/downloading/completed/failed/canceled</x:v>
      </x:c>
      <x:c r="H340" s="30" t="str">
        <x:v>作业管理/模型执行器</x:v>
      </x:c>
      <x:c r="I340" s="30" t="str">
        <x:v>本地作业可读，远程结果仅送达后可用</x:v>
      </x:c>
      <x:c r="J340" s="30" t="str">
        <x:v>A006；A007；A011；A038；A039；A040；A043；A044；A045；A046；A047；A048；A049；A050；A051；A052；A060；A061；A064；A066</x:v>
      </x:c>
      <x:c r="K340" s="30" t="str">
        <x:v>A006；A044；A047；A048</x:v>
      </x:c>
      <x:c r="L340" s="30" t="n">
        <x:v>55</x:v>
      </x:c>
      <x:c r="M340" s="30" t="str">
        <x:v>S19；S20；S21；S24</x:v>
      </x:c>
      <x:c r="N340" s="30" t="str">
        <x:v>https://design.ros2.org/articles/actions.html
https://kubernetes.io/docs/concepts/configuration/manage-resources-containers/
https://docs.mlcommons.org/inference/benchmarks/language/llama3_1-8b/</x:v>
      </x:c>
    </x:row>
    <x:row r="341" ht="120" customHeight="1">
      <x:c r="A341" s="30" t="str">
        <x:v>F337</x:v>
      </x:c>
      <x:c r="B341" s="30" t="str">
        <x:v>计算作业及推理成本</x:v>
      </x:c>
      <x:c r="C341" s="30" t="str">
        <x:v>job.queue_enter_s</x:v>
      </x:c>
      <x:c r="D341" s="30" t="str">
        <x:v>入队时刻</x:v>
      </x:c>
      <x:c r="E341" s="30" t="str">
        <x:v>状态</x:v>
      </x:c>
      <x:c r="F341" s="30" t="str">
        <x:v>float</x:v>
      </x:c>
      <x:c r="G341" s="30" t="str">
        <x:v>null或仿真时间</x:v>
      </x:c>
      <x:c r="H341" s="30" t="str">
        <x:v>作业管理/模型执行器</x:v>
      </x:c>
      <x:c r="I341" s="30" t="str">
        <x:v>本地作业可读，远程结果仅送达后可用</x:v>
      </x:c>
      <x:c r="J341" s="30" t="str">
        <x:v>A006；A007；A011；A038；A039；A040；A043；A044；A045；A046；A047；A048；A049；A050；A051；A052；A060；A061；A064；A066</x:v>
      </x:c>
      <x:c r="K341" s="30" t="str">
        <x:v>A044</x:v>
      </x:c>
      <x:c r="L341" s="30" t="n">
        <x:v>55</x:v>
      </x:c>
      <x:c r="M341" s="30" t="str">
        <x:v>S19；S20；S21；S24</x:v>
      </x:c>
      <x:c r="N341" s="30" t="str">
        <x:v>https://design.ros2.org/articles/actions.html
https://kubernetes.io/docs/concepts/configuration/manage-resources-containers/
https://docs.mlcommons.org/inference/benchmarks/language/llama3_1-8b/</x:v>
      </x:c>
    </x:row>
    <x:row r="342" ht="120" customHeight="1">
      <x:c r="A342" s="30" t="str">
        <x:v>F338</x:v>
      </x:c>
      <x:c r="B342" s="30" t="str">
        <x:v>计算作业及推理成本</x:v>
      </x:c>
      <x:c r="C342" s="30" t="str">
        <x:v>job.start_s</x:v>
      </x:c>
      <x:c r="D342" s="30" t="str">
        <x:v>计算开始</x:v>
      </x:c>
      <x:c r="E342" s="30" t="str">
        <x:v>状态</x:v>
      </x:c>
      <x:c r="F342" s="30" t="str">
        <x:v>float</x:v>
      </x:c>
      <x:c r="G342" s="30" t="str">
        <x:v>null或仿真时间</x:v>
      </x:c>
      <x:c r="H342" s="30" t="str">
        <x:v>作业管理/模型执行器</x:v>
      </x:c>
      <x:c r="I342" s="30" t="str">
        <x:v>本地作业可读，远程结果仅送达后可用</x:v>
      </x:c>
      <x:c r="J342" s="30" t="str">
        <x:v>A006；A007；A011；A038；A039；A040；A043；A044；A045；A046；A047；A048；A049；A050；A051；A052；A060；A061；A064；A066</x:v>
      </x:c>
      <x:c r="K342" s="30" t="str">
        <x:v>A006</x:v>
      </x:c>
      <x:c r="L342" s="30" t="n">
        <x:v>55</x:v>
      </x:c>
      <x:c r="M342" s="30" t="str">
        <x:v>S19；S20；S21；S24</x:v>
      </x:c>
      <x:c r="N342" s="30" t="str">
        <x:v>https://design.ros2.org/articles/actions.html
https://kubernetes.io/docs/concepts/configuration/manage-resources-containers/
https://docs.mlcommons.org/inference/benchmarks/language/llama3_1-8b/</x:v>
      </x:c>
    </x:row>
    <x:row r="343" ht="120" customHeight="1">
      <x:c r="A343" s="30" t="str">
        <x:v>F339</x:v>
      </x:c>
      <x:c r="B343" s="30" t="str">
        <x:v>计算作业及推理成本</x:v>
      </x:c>
      <x:c r="C343" s="30" t="str">
        <x:v>job.finish_s</x:v>
      </x:c>
      <x:c r="D343" s="30" t="str">
        <x:v>计算结束</x:v>
      </x:c>
      <x:c r="E343" s="30" t="str">
        <x:v>状态</x:v>
      </x:c>
      <x:c r="F343" s="30" t="str">
        <x:v>float</x:v>
      </x:c>
      <x:c r="G343" s="30" t="str">
        <x:v>null或仿真时间</x:v>
      </x:c>
      <x:c r="H343" s="30" t="str">
        <x:v>作业管理/模型执行器</x:v>
      </x:c>
      <x:c r="I343" s="30" t="str">
        <x:v>本地作业可读，远程结果仅送达后可用</x:v>
      </x:c>
      <x:c r="J343" s="30" t="str">
        <x:v>A006；A007；A011；A038；A039；A040；A043；A044；A045；A046；A047；A048；A049；A050；A051；A052；A060；A061；A064；A066</x:v>
      </x:c>
      <x:c r="K343" s="30" t="str">
        <x:v>A006</x:v>
      </x:c>
      <x:c r="L343" s="30" t="n">
        <x:v>55</x:v>
      </x:c>
      <x:c r="M343" s="30" t="str">
        <x:v>S19；S20；S21；S24</x:v>
      </x:c>
      <x:c r="N343" s="30" t="str">
        <x:v>https://design.ros2.org/articles/actions.html
https://kubernetes.io/docs/concepts/configuration/manage-resources-containers/
https://docs.mlcommons.org/inference/benchmarks/language/llama3_1-8b/</x:v>
      </x:c>
    </x:row>
    <x:row r="344" ht="120" customHeight="1">
      <x:c r="A344" s="30" t="str">
        <x:v>F340</x:v>
      </x:c>
      <x:c r="B344" s="30" t="str">
        <x:v>计算作业及推理成本</x:v>
      </x:c>
      <x:c r="C344" s="30" t="str">
        <x:v>job.deadline_s</x:v>
      </x:c>
      <x:c r="D344" s="30" t="str">
        <x:v>结果最迟可用时刻</x:v>
      </x:c>
      <x:c r="E344" s="30" t="str">
        <x:v>配置</x:v>
      </x:c>
      <x:c r="F344" s="30" t="str">
        <x:v>float</x:v>
      </x:c>
      <x:c r="G344" s="30" t="str">
        <x:v>null或仿真时间</x:v>
      </x:c>
      <x:c r="H344" s="30" t="str">
        <x:v>作业管理/模型执行器</x:v>
      </x:c>
      <x:c r="I344" s="30" t="str">
        <x:v>本地作业可读，远程结果仅送达后可用</x:v>
      </x:c>
      <x:c r="J344" s="30" t="str">
        <x:v>A006；A007；A011；A038；A039；A040；A043；A044；A045；A046；A047；A048；A049；A050；A051；A052；A060；A061；A064；A066</x:v>
      </x:c>
      <x:c r="K344" s="30" t="str">
        <x:v>A043</x:v>
      </x:c>
      <x:c r="L344" s="30" t="n">
        <x:v>55</x:v>
      </x:c>
      <x:c r="M344" s="30" t="str">
        <x:v>S19；S20；S21；S24</x:v>
      </x:c>
      <x:c r="N344" s="30" t="str">
        <x:v>https://design.ros2.org/articles/actions.html
https://kubernetes.io/docs/concepts/configuration/manage-resources-containers/
https://docs.mlcommons.org/inference/benchmarks/language/llama3_1-8b/</x:v>
      </x:c>
    </x:row>
    <x:row r="345" ht="120" customHeight="1">
      <x:c r="A345" s="30" t="str">
        <x:v>F341</x:v>
      </x:c>
      <x:c r="B345" s="30" t="str">
        <x:v>计算作业及推理成本</x:v>
      </x:c>
      <x:c r="C345" s="30" t="str">
        <x:v>job.cpu_request</x:v>
      </x:c>
      <x:c r="D345" s="30" t="str">
        <x:v>CPU需求</x:v>
      </x:c>
      <x:c r="E345" s="30" t="str">
        <x:v>配置</x:v>
      </x:c>
      <x:c r="F345" s="30" t="str">
        <x:v>float</x:v>
      </x:c>
      <x:c r="G345" s="30" t="str">
        <x:v>非负</x:v>
      </x:c>
      <x:c r="H345" s="30" t="str">
        <x:v>作业管理/模型执行器</x:v>
      </x:c>
      <x:c r="I345" s="30" t="str">
        <x:v>本地作业可读，远程结果仅送达后可用</x:v>
      </x:c>
      <x:c r="J345" s="30" t="str">
        <x:v>A006；A007；A011；A038；A039；A040；A043；A044；A045；A046；A047；A048；A049；A050；A051；A052；A060；A061；A064；A066</x:v>
      </x:c>
      <x:c r="K345" s="30" t="str">
        <x:v>A043</x:v>
      </x:c>
      <x:c r="L345" s="30" t="n">
        <x:v>55</x:v>
      </x:c>
      <x:c r="M345" s="30" t="str">
        <x:v>S19；S20；S21；S24</x:v>
      </x:c>
      <x:c r="N345" s="30" t="str">
        <x:v>https://design.ros2.org/articles/actions.html
https://kubernetes.io/docs/concepts/configuration/manage-resources-containers/
https://docs.mlcommons.org/inference/benchmarks/language/llama3_1-8b/</x:v>
      </x:c>
    </x:row>
    <x:row r="346" ht="120" customHeight="1">
      <x:c r="A346" s="30" t="str">
        <x:v>F342</x:v>
      </x:c>
      <x:c r="B346" s="30" t="str">
        <x:v>计算作业及推理成本</x:v>
      </x:c>
      <x:c r="C346" s="30" t="str">
        <x:v>job.memory_request_bytes</x:v>
      </x:c>
      <x:c r="D346" s="30" t="str">
        <x:v>内存需求</x:v>
      </x:c>
      <x:c r="E346" s="30" t="str">
        <x:v>配置</x:v>
      </x:c>
      <x:c r="F346" s="30" t="str">
        <x:v>record</x:v>
      </x:c>
      <x:c r="G346" s="30" t="str">
        <x:v>RAM/VRAM/缓存</x:v>
      </x:c>
      <x:c r="H346" s="30" t="str">
        <x:v>作业管理/模型执行器</x:v>
      </x:c>
      <x:c r="I346" s="30" t="str">
        <x:v>本地作业可读，远程结果仅送达后可用</x:v>
      </x:c>
      <x:c r="J346" s="30" t="str">
        <x:v>A006；A007；A011；A038；A039；A040；A043；A044；A045；A046；A047；A048；A049；A050；A051；A052；A060；A061；A064；A066</x:v>
      </x:c>
      <x:c r="K346" s="30" t="str">
        <x:v>A043</x:v>
      </x:c>
      <x:c r="L346" s="30" t="n">
        <x:v>55</x:v>
      </x:c>
      <x:c r="M346" s="30" t="str">
        <x:v>S19；S20；S21；S24</x:v>
      </x:c>
      <x:c r="N346" s="30" t="str">
        <x:v>https://design.ros2.org/articles/actions.html
https://kubernetes.io/docs/concepts/configuration/manage-resources-containers/
https://docs.mlcommons.org/inference/benchmarks/language/llama3_1-8b/</x:v>
      </x:c>
    </x:row>
    <x:row r="347" ht="120" customHeight="1">
      <x:c r="A347" s="30" t="str">
        <x:v>F343</x:v>
      </x:c>
      <x:c r="B347" s="30" t="str">
        <x:v>计算作业及推理成本</x:v>
      </x:c>
      <x:c r="C347" s="30" t="str">
        <x:v>job.prefill_s</x:v>
      </x:c>
      <x:c r="D347" s="30" t="str">
        <x:v>prefill时长</x:v>
      </x:c>
      <x:c r="E347" s="30" t="str">
        <x:v>记录</x:v>
      </x:c>
      <x:c r="F347" s="30" t="str">
        <x:v>float</x:v>
      </x:c>
      <x:c r="G347" s="30" t="str">
        <x:v>null或非负；非LLM可不适用</x:v>
      </x:c>
      <x:c r="H347" s="30" t="str">
        <x:v>作业管理/模型执行器</x:v>
      </x:c>
      <x:c r="I347" s="30" t="str">
        <x:v>本地作业可读，远程结果仅送达后可用</x:v>
      </x:c>
      <x:c r="J347" s="30" t="str">
        <x:v>A006；A007；A011；A038；A039；A040；A043；A044；A045；A046；A047；A048；A049；A050；A051；A052；A060；A061；A064；A066</x:v>
      </x:c>
      <x:c r="K347" s="30" t="str">
        <x:v>初始化/配置或相应状态所有者；不是任意Agent写入</x:v>
      </x:c>
      <x:c r="L347" s="30" t="n">
        <x:v>55</x:v>
      </x:c>
      <x:c r="M347" s="30" t="str">
        <x:v>S19；S20；S21；S24</x:v>
      </x:c>
      <x:c r="N347" s="30" t="str">
        <x:v>https://design.ros2.org/articles/actions.html
https://kubernetes.io/docs/concepts/configuration/manage-resources-containers/
https://docs.mlcommons.org/inference/benchmarks/language/llama3_1-8b/</x:v>
      </x:c>
    </x:row>
    <x:row r="348" ht="120" customHeight="1">
      <x:c r="A348" s="30" t="str">
        <x:v>F344</x:v>
      </x:c>
      <x:c r="B348" s="30" t="str">
        <x:v>计算作业及推理成本</x:v>
      </x:c>
      <x:c r="C348" s="30" t="str">
        <x:v>job.decode_s</x:v>
      </x:c>
      <x:c r="D348" s="30" t="str">
        <x:v>decode时长</x:v>
      </x:c>
      <x:c r="E348" s="30" t="str">
        <x:v>记录</x:v>
      </x:c>
      <x:c r="F348" s="30" t="str">
        <x:v>float</x:v>
      </x:c>
      <x:c r="G348" s="30" t="str">
        <x:v>null或非负；非LLM可不适用</x:v>
      </x:c>
      <x:c r="H348" s="30" t="str">
        <x:v>作业管理/模型执行器</x:v>
      </x:c>
      <x:c r="I348" s="30" t="str">
        <x:v>本地作业可读，远程结果仅送达后可用</x:v>
      </x:c>
      <x:c r="J348" s="30" t="str">
        <x:v>A006；A007；A011；A038；A039；A040；A043；A044；A045；A046；A047；A048；A049；A050；A051；A052；A060；A061；A064；A066</x:v>
      </x:c>
      <x:c r="K348" s="30" t="str">
        <x:v>初始化/配置或相应状态所有者；不是任意Agent写入</x:v>
      </x:c>
      <x:c r="L348" s="30" t="n">
        <x:v>55</x:v>
      </x:c>
      <x:c r="M348" s="30" t="str">
        <x:v>S19；S20；S21；S24</x:v>
      </x:c>
      <x:c r="N348" s="30" t="str">
        <x:v>https://design.ros2.org/articles/actions.html
https://kubernetes.io/docs/concepts/configuration/manage-resources-containers/
https://docs.mlcommons.org/inference/benchmarks/language/llama3_1-8b/</x:v>
      </x:c>
    </x:row>
    <x:row r="349" ht="120" customHeight="1">
      <x:c r="A349" s="30" t="str">
        <x:v>F345</x:v>
      </x:c>
      <x:c r="B349" s="30" t="str">
        <x:v>计算作业及推理成本</x:v>
      </x:c>
      <x:c r="C349" s="30" t="str">
        <x:v>job.wall_time_s</x:v>
      </x:c>
      <x:c r="D349" s="30" t="str">
        <x:v>实测运行耗时</x:v>
      </x:c>
      <x:c r="E349" s="30" t="str">
        <x:v>记录</x:v>
      </x:c>
      <x:c r="F349" s="30" t="str">
        <x:v>float</x:v>
      </x:c>
      <x:c r="G349" s="30" t="str">
        <x:v>null或非负，与sim时间分列</x:v>
      </x:c>
      <x:c r="H349" s="30" t="str">
        <x:v>作业管理/模型执行器</x:v>
      </x:c>
      <x:c r="I349" s="30" t="str">
        <x:v>本地作业可读，远程结果仅送达后可用</x:v>
      </x:c>
      <x:c r="J349" s="30" t="str">
        <x:v>A006；A007；A011；A038；A039；A040；A043；A044；A045；A046；A047；A048；A049；A050；A051；A052；A060；A061；A064；A066</x:v>
      </x:c>
      <x:c r="K349" s="30" t="str">
        <x:v>A006</x:v>
      </x:c>
      <x:c r="L349" s="30" t="n">
        <x:v>55</x:v>
      </x:c>
      <x:c r="M349" s="30" t="str">
        <x:v>S19；S20；S21；S24</x:v>
      </x:c>
      <x:c r="N349" s="30" t="str">
        <x:v>https://design.ros2.org/articles/actions.html
https://kubernetes.io/docs/concepts/configuration/manage-resources-containers/
https://docs.mlcommons.org/inference/benchmarks/language/llama3_1-8b/</x:v>
      </x:c>
    </x:row>
    <x:row r="350" ht="120" customHeight="1">
      <x:c r="A350" s="30" t="str">
        <x:v>F346</x:v>
      </x:c>
      <x:c r="B350" s="30" t="str">
        <x:v>计算作业及推理成本</x:v>
      </x:c>
      <x:c r="C350" s="30" t="str">
        <x:v>job.result_ref</x:v>
      </x:c>
      <x:c r="D350" s="30" t="str">
        <x:v>结果证据</x:v>
      </x:c>
      <x:c r="E350" s="30" t="str">
        <x:v>状态</x:v>
      </x:c>
      <x:c r="F350" s="30" t="str">
        <x:v>id</x:v>
      </x:c>
      <x:c r="G350" s="30" t="str">
        <x:v>null或证据ID，远端完成不等于本地收到</x:v>
      </x:c>
      <x:c r="H350" s="30" t="str">
        <x:v>作业管理/模型执行器</x:v>
      </x:c>
      <x:c r="I350" s="30" t="str">
        <x:v>本地作业可读，远程结果仅送达后可用</x:v>
      </x:c>
      <x:c r="J350" s="30" t="str">
        <x:v>A006；A007；A011；A038；A039；A040；A043；A044；A045；A046；A047；A048；A049；A050；A051；A052；A060；A061；A064；A066</x:v>
      </x:c>
      <x:c r="K350" s="30" t="str">
        <x:v>A006；A066</x:v>
      </x:c>
      <x:c r="L350" s="30" t="n">
        <x:v>55</x:v>
      </x:c>
      <x:c r="M350" s="30" t="str">
        <x:v>S19；S20；S21；S24</x:v>
      </x:c>
      <x:c r="N350" s="30" t="str">
        <x:v>https://design.ros2.org/articles/actions.html
https://kubernetes.io/docs/concepts/configuration/manage-resources-containers/
https://docs.mlcommons.org/inference/benchmarks/language/llama3_1-8b/</x:v>
      </x:c>
    </x:row>
    <x:row r="351" ht="120" customHeight="1">
      <x:c r="A351" s="30" t="str">
        <x:v>F347</x:v>
      </x:c>
      <x:c r="B351" s="30" t="str">
        <x:v>计算作业及推理成本</x:v>
      </x:c>
      <x:c r="C351" s="30" t="str">
        <x:v>job.checkpoint_ref</x:v>
      </x:c>
      <x:c r="D351" s="30" t="str">
        <x:v>恢复检查点</x:v>
      </x:c>
      <x:c r="E351" s="30" t="str">
        <x:v>状态</x:v>
      </x:c>
      <x:c r="F351" s="30" t="str">
        <x:v>record</x:v>
      </x:c>
      <x:c r="G351" s="30" t="str">
        <x:v>null或可恢复状态版本</x:v>
      </x:c>
      <x:c r="H351" s="30" t="str">
        <x:v>作业管理/模型执行器</x:v>
      </x:c>
      <x:c r="I351" s="30" t="str">
        <x:v>本地作业可读，远程结果仅送达后可用</x:v>
      </x:c>
      <x:c r="J351" s="30" t="str">
        <x:v>A006；A007；A011；A038；A039；A040；A043；A044；A045；A046；A047；A048；A049；A050；A051；A052；A060；A061；A064；A066</x:v>
      </x:c>
      <x:c r="K351" s="30" t="str">
        <x:v>A047</x:v>
      </x:c>
      <x:c r="L351" s="30" t="n">
        <x:v>55</x:v>
      </x:c>
      <x:c r="M351" s="30" t="str">
        <x:v>S19；S20；S21；S24</x:v>
      </x:c>
      <x:c r="N351" s="30" t="str">
        <x:v>https://design.ros2.org/articles/actions.html
https://kubernetes.io/docs/concepts/configuration/manage-resources-containers/
https://docs.mlcommons.org/inference/benchmarks/language/llama3_1-8b/</x:v>
      </x:c>
    </x:row>
    <x:row r="352" ht="120" customHeight="1">
      <x:c r="A352" s="30" t="str">
        <x:v>F348</x:v>
      </x:c>
      <x:c r="B352" s="30" t="str">
        <x:v>计算作业及推理成本</x:v>
      </x:c>
      <x:c r="C352" s="30" t="str">
        <x:v>job.failure_reason</x:v>
      </x:c>
      <x:c r="D352" s="30" t="str">
        <x:v>失败原因</x:v>
      </x:c>
      <x:c r="E352" s="30" t="str">
        <x:v>状态</x:v>
      </x:c>
      <x:c r="F352" s="30" t="str">
        <x:v>enum</x:v>
      </x:c>
      <x:c r="G352" s="30" t="str">
        <x:v>none/model_unavailable/memory/input/timeout/network/canceled/model_error</x:v>
      </x:c>
      <x:c r="H352" s="30" t="str">
        <x:v>作业管理/模型执行器</x:v>
      </x:c>
      <x:c r="I352" s="30" t="str">
        <x:v>本地作业可读，远程结果仅送达后可用</x:v>
      </x:c>
      <x:c r="J352" s="30" t="str">
        <x:v>A006；A007；A011；A038；A039；A040；A043；A044；A045；A046；A047；A048；A049；A050；A051；A052；A060；A061；A064；A066</x:v>
      </x:c>
      <x:c r="K352" s="30" t="str">
        <x:v>A048</x:v>
      </x:c>
      <x:c r="L352" s="30" t="n">
        <x:v>55</x:v>
      </x:c>
      <x:c r="M352" s="30" t="str">
        <x:v>S19；S20；S21；S24</x:v>
      </x:c>
      <x:c r="N352" s="30" t="str">
        <x:v>https://design.ros2.org/articles/actions.html
https://kubernetes.io/docs/concepts/configuration/manage-resources-containers/
https://docs.mlcommons.org/inference/benchmarks/language/llama3_1-8b/</x:v>
      </x:c>
    </x:row>
    <x:row r="353" ht="120" customHeight="1">
      <x:c r="A353" s="30" t="str">
        <x:v>F349</x:v>
      </x:c>
      <x:c r="B353" s="30" t="str">
        <x:v>本地记忆与表示缓存</x:v>
      </x:c>
      <x:c r="C353" s="30" t="str">
        <x:v>cache.owner_id</x:v>
      </x:c>
      <x:c r="D353" s="30" t="str">
        <x:v>缓存所有者</x:v>
      </x:c>
      <x:c r="E353" s="30" t="str">
        <x:v>标识</x:v>
      </x:c>
      <x:c r="F353" s="30" t="str">
        <x:v>id</x:v>
      </x:c>
      <x:c r="G353" s="30" t="str">
        <x:v>Agent或服务</x:v>
      </x:c>
      <x:c r="H353" s="30" t="str">
        <x:v>各Agent/服务存储</x:v>
      </x:c>
      <x:c r="I353" s="30" t="str">
        <x:v>私有；共享需传字节与显式授权</x:v>
      </x:c>
      <x:c r="J353" s="30" t="str">
        <x:v>A006；A035；A036；A038；A039；A040；A041；A043；A046；A047；A049；A058；A060；A064；A065</x:v>
      </x:c>
      <x:c r="K353" s="30" t="str">
        <x:v>初始化/配置或相应状态所有者；不是任意Agent写入</x:v>
      </x:c>
      <x:c r="L353" s="30" t="n">
        <x:v>76</x:v>
      </x:c>
      <x:c r="M353" s="30" t="str">
        <x:v>S24；S25</x:v>
      </x:c>
      <x:c r="N353" s="30" t="str"/>
    </x:row>
    <x:row r="354" ht="120" customHeight="1">
      <x:c r="A354" s="30" t="str">
        <x:v>F350</x:v>
      </x:c>
      <x:c r="B354" s="30" t="str">
        <x:v>本地记忆与表示缓存</x:v>
      </x:c>
      <x:c r="C354" s="30" t="str">
        <x:v>cache.kind</x:v>
      </x:c>
      <x:c r="D354" s="30" t="str">
        <x:v>缓存类型</x:v>
      </x:c>
      <x:c r="E354" s="30" t="str">
        <x:v>配置</x:v>
      </x:c>
      <x:c r="F354" s="30" t="str">
        <x:v>enum</x:v>
      </x:c>
      <x:c r="G354" s="30" t="str">
        <x:v>raw/crop/summary/embedding/features/KV</x:v>
      </x:c>
      <x:c r="H354" s="30" t="str">
        <x:v>各Agent/服务存储</x:v>
      </x:c>
      <x:c r="I354" s="30" t="str">
        <x:v>私有；共享需传字节与显式授权</x:v>
      </x:c>
      <x:c r="J354" s="30" t="str">
        <x:v>A006；A035；A036；A038；A039；A040；A041；A043；A046；A047；A049；A058；A060；A064；A065</x:v>
      </x:c>
      <x:c r="K354" s="30" t="str">
        <x:v>初始化/配置或相应状态所有者；不是任意Agent写入</x:v>
      </x:c>
      <x:c r="L354" s="30" t="n">
        <x:v>76</x:v>
      </x:c>
      <x:c r="M354" s="30" t="str">
        <x:v>S24；S25</x:v>
      </x:c>
      <x:c r="N354" s="30" t="str"/>
    </x:row>
    <x:row r="355" ht="120" customHeight="1">
      <x:c r="A355" s="30" t="str">
        <x:v>F351</x:v>
      </x:c>
      <x:c r="B355" s="30" t="str">
        <x:v>本地记忆与表示缓存</x:v>
      </x:c>
      <x:c r="C355" s="30" t="str">
        <x:v>cache.model_version</x:v>
      </x:c>
      <x:c r="D355" s="30" t="str">
        <x:v>表示模型版本</x:v>
      </x:c>
      <x:c r="E355" s="30" t="str">
        <x:v>配置</x:v>
      </x:c>
      <x:c r="F355" s="30" t="str">
        <x:v>record</x:v>
      </x:c>
      <x:c r="G355" s="30" t="str">
        <x:v>null或具体模型/层/头/编码器</x:v>
      </x:c>
      <x:c r="H355" s="30" t="str">
        <x:v>各Agent/服务存储</x:v>
      </x:c>
      <x:c r="I355" s="30" t="str">
        <x:v>私有；共享需传字节与显式授权</x:v>
      </x:c>
      <x:c r="J355" s="30" t="str">
        <x:v>A006；A035；A036；A038；A039；A040；A041；A043；A046；A047；A049；A058；A060；A064；A065</x:v>
      </x:c>
      <x:c r="K355" s="30" t="str">
        <x:v>A064</x:v>
      </x:c>
      <x:c r="L355" s="30" t="n">
        <x:v>76</x:v>
      </x:c>
      <x:c r="M355" s="30" t="str">
        <x:v>S24；S25</x:v>
      </x:c>
      <x:c r="N355" s="30" t="str"/>
    </x:row>
    <x:row r="356" ht="120" customHeight="1">
      <x:c r="A356" s="30" t="str">
        <x:v>F352</x:v>
      </x:c>
      <x:c r="B356" s="30" t="str">
        <x:v>本地记忆与表示缓存</x:v>
      </x:c>
      <x:c r="C356" s="30" t="str">
        <x:v>cache.content_ids</x:v>
      </x:c>
      <x:c r="D356" s="30" t="str">
        <x:v>内容标识</x:v>
      </x:c>
      <x:c r="E356" s="30" t="str">
        <x:v>记录</x:v>
      </x:c>
      <x:c r="F356" s="30" t="str">
        <x:v>list[id]</x:v>
      </x:c>
      <x:c r="G356" s="30" t="str">
        <x:v>原始证据/前缀/状态ID</x:v>
      </x:c>
      <x:c r="H356" s="30" t="str">
        <x:v>各Agent/服务存储</x:v>
      </x:c>
      <x:c r="I356" s="30" t="str">
        <x:v>私有；共享需传字节与显式授权</x:v>
      </x:c>
      <x:c r="J356" s="30" t="str">
        <x:v>A006；A035；A036；A038；A039；A040；A041；A043；A046；A047；A049；A058；A060；A064；A065</x:v>
      </x:c>
      <x:c r="K356" s="30" t="str">
        <x:v>A060</x:v>
      </x:c>
      <x:c r="L356" s="30" t="n">
        <x:v>76</x:v>
      </x:c>
      <x:c r="M356" s="30" t="str">
        <x:v>S24；S25</x:v>
      </x:c>
      <x:c r="N356" s="30" t="str"/>
    </x:row>
    <x:row r="357" ht="120" customHeight="1">
      <x:c r="A357" s="30" t="str">
        <x:v>F353</x:v>
      </x:c>
      <x:c r="B357" s="30" t="str">
        <x:v>本地记忆与表示缓存</x:v>
      </x:c>
      <x:c r="C357" s="30" t="str">
        <x:v>cache.size_bytes</x:v>
      </x:c>
      <x:c r="D357" s="30" t="str">
        <x:v>实际大小</x:v>
      </x:c>
      <x:c r="E357" s="30" t="str">
        <x:v>状态</x:v>
      </x:c>
      <x:c r="F357" s="30" t="str">
        <x:v>int</x:v>
      </x:c>
      <x:c r="G357" s="30" t="str">
        <x:v>非负</x:v>
      </x:c>
      <x:c r="H357" s="30" t="str">
        <x:v>各Agent/服务存储</x:v>
      </x:c>
      <x:c r="I357" s="30" t="str">
        <x:v>私有；共享需传字节与显式授权</x:v>
      </x:c>
      <x:c r="J357" s="30" t="str">
        <x:v>A006；A035；A036；A038；A039；A040；A041；A043；A046；A047；A049；A058；A060；A064；A065</x:v>
      </x:c>
      <x:c r="K357" s="30" t="str">
        <x:v>A046；A060</x:v>
      </x:c>
      <x:c r="L357" s="30" t="n">
        <x:v>76</x:v>
      </x:c>
      <x:c r="M357" s="30" t="str">
        <x:v>S24；S25</x:v>
      </x:c>
      <x:c r="N357" s="30" t="str"/>
    </x:row>
    <x:row r="358" ht="120" customHeight="1">
      <x:c r="A358" s="30" t="str">
        <x:v>F354</x:v>
      </x:c>
      <x:c r="B358" s="30" t="str">
        <x:v>本地记忆与表示缓存</x:v>
      </x:c>
      <x:c r="C358" s="30" t="str">
        <x:v>cache.location</x:v>
      </x:c>
      <x:c r="D358" s="30" t="str">
        <x:v>存储节点与本地路径</x:v>
      </x:c>
      <x:c r="E358" s="30" t="str">
        <x:v>状态</x:v>
      </x:c>
      <x:c r="F358" s="30" t="str">
        <x:v>record</x:v>
      </x:c>
      <x:c r="G358" s="30" t="str">
        <x:v>不能发路径即跨机可读</x:v>
      </x:c>
      <x:c r="H358" s="30" t="str">
        <x:v>各Agent/服务存储</x:v>
      </x:c>
      <x:c r="I358" s="30" t="str">
        <x:v>私有；共享需传字节与显式授权</x:v>
      </x:c>
      <x:c r="J358" s="30" t="str">
        <x:v>A006；A035；A036；A038；A039；A040；A041；A043；A046；A047；A049；A058；A060；A064；A065</x:v>
      </x:c>
      <x:c r="K358" s="30" t="str">
        <x:v>初始化/配置或相应状态所有者；不是任意Agent写入</x:v>
      </x:c>
      <x:c r="L358" s="30" t="n">
        <x:v>76</x:v>
      </x:c>
      <x:c r="M358" s="30" t="str">
        <x:v>S24；S25</x:v>
      </x:c>
      <x:c r="N358" s="30" t="str"/>
    </x:row>
    <x:row r="359" ht="120" customHeight="1">
      <x:c r="A359" s="30" t="str">
        <x:v>F355</x:v>
      </x:c>
      <x:c r="B359" s="30" t="str">
        <x:v>本地记忆与表示缓存</x:v>
      </x:c>
      <x:c r="C359" s="30" t="str">
        <x:v>cache.valid_until_s</x:v>
      </x:c>
      <x:c r="D359" s="30" t="str">
        <x:v>缓存有效时刻</x:v>
      </x:c>
      <x:c r="E359" s="30" t="str">
        <x:v>状态</x:v>
      </x:c>
      <x:c r="F359" s="30" t="str">
        <x:v>float</x:v>
      </x:c>
      <x:c r="G359" s="30" t="str">
        <x:v>null或时刻</x:v>
      </x:c>
      <x:c r="H359" s="30" t="str">
        <x:v>各Agent/服务存储</x:v>
      </x:c>
      <x:c r="I359" s="30" t="str">
        <x:v>私有；共享需传字节与显式授权</x:v>
      </x:c>
      <x:c r="J359" s="30" t="str">
        <x:v>A006；A035；A036；A038；A039；A040；A041；A043；A046；A047；A049；A058；A060；A064；A065</x:v>
      </x:c>
      <x:c r="K359" s="30" t="str">
        <x:v>初始化/配置或相应状态所有者；不是任意Agent写入</x:v>
      </x:c>
      <x:c r="L359" s="30" t="n">
        <x:v>76</x:v>
      </x:c>
      <x:c r="M359" s="30" t="str">
        <x:v>S24；S25</x:v>
      </x:c>
      <x:c r="N359" s="30" t="str"/>
    </x:row>
    <x:row r="360" ht="120" customHeight="1">
      <x:c r="A360" s="30" t="str">
        <x:v>F356</x:v>
      </x:c>
      <x:c r="B360" s="30" t="str">
        <x:v>本地记忆与表示缓存</x:v>
      </x:c>
      <x:c r="C360" s="30" t="str">
        <x:v>cache.reuse_compatible</x:v>
      </x:c>
      <x:c r="D360" s="30" t="str">
        <x:v>兼容性判断</x:v>
      </x:c>
      <x:c r="E360" s="30" t="str">
        <x:v>派生</x:v>
      </x:c>
      <x:c r="F360" s="30" t="str">
        <x:v>record</x:v>
      </x:c>
      <x:c r="G360" s="30" t="str">
        <x:v>模型/位置编码/层结构/前缀匹配及依据</x:v>
      </x:c>
      <x:c r="H360" s="30" t="str">
        <x:v>各Agent/服务存储</x:v>
      </x:c>
      <x:c r="I360" s="30" t="str">
        <x:v>私有；共享需传字节与显式授权</x:v>
      </x:c>
      <x:c r="J360" s="30" t="str">
        <x:v>A006；A035；A036；A038；A039；A040；A041；A043；A046；A047；A049；A058；A060；A064；A065</x:v>
      </x:c>
      <x:c r="K360" s="30" t="str">
        <x:v>A046；A064</x:v>
      </x:c>
      <x:c r="L360" s="30" t="n">
        <x:v>76</x:v>
      </x:c>
      <x:c r="M360" s="30" t="str">
        <x:v>S24；S25</x:v>
      </x:c>
      <x:c r="N360" s="30" t="str"/>
    </x:row>
    <x:row r="361" ht="120" customHeight="1">
      <x:c r="A361" s="30" t="str">
        <x:v>F357</x:v>
      </x:c>
      <x:c r="B361" s="30" t="str">
        <x:v>本地记忆与表示缓存</x:v>
      </x:c>
      <x:c r="C361" s="30" t="str">
        <x:v>cache.hit_count</x:v>
      </x:c>
      <x:c r="D361" s="30" t="str">
        <x:v>命中次数</x:v>
      </x:c>
      <x:c r="E361" s="30" t="str">
        <x:v>状态</x:v>
      </x:c>
      <x:c r="F361" s="30" t="str">
        <x:v>int</x:v>
      </x:c>
      <x:c r="G361" s="30" t="str">
        <x:v>非负</x:v>
      </x:c>
      <x:c r="H361" s="30" t="str">
        <x:v>各Agent/服务存储</x:v>
      </x:c>
      <x:c r="I361" s="30" t="str">
        <x:v>私有；共享需传字节与显式授权</x:v>
      </x:c>
      <x:c r="J361" s="30" t="str">
        <x:v>A006；A035；A036；A038；A039；A040；A041；A043；A046；A047；A049；A058；A060；A064；A065</x:v>
      </x:c>
      <x:c r="K361" s="30" t="str">
        <x:v>A038；A046</x:v>
      </x:c>
      <x:c r="L361" s="30" t="n">
        <x:v>76</x:v>
      </x:c>
      <x:c r="M361" s="30" t="str">
        <x:v>S24；S25</x:v>
      </x:c>
      <x:c r="N361" s="30" t="str"/>
    </x:row>
    <x:row r="362" ht="120" customHeight="1">
      <x:c r="A362" s="30" t="str">
        <x:v>F358</x:v>
      </x:c>
      <x:c r="B362" s="30" t="str">
        <x:v>本地记忆与表示缓存</x:v>
      </x:c>
      <x:c r="C362" s="30" t="str">
        <x:v>cache.eviction_state</x:v>
      </x:c>
      <x:c r="D362" s="30" t="str">
        <x:v>缓存生命周期</x:v>
      </x:c>
      <x:c r="E362" s="30" t="str">
        <x:v>状态</x:v>
      </x:c>
      <x:c r="F362" s="30" t="str">
        <x:v>enum</x:v>
      </x:c>
      <x:c r="G362" s="30" t="str">
        <x:v>resident/evicting/evicted/invalid</x:v>
      </x:c>
      <x:c r="H362" s="30" t="str">
        <x:v>各Agent/服务存储</x:v>
      </x:c>
      <x:c r="I362" s="30" t="str">
        <x:v>私有；共享需传字节与显式授权</x:v>
      </x:c>
      <x:c r="J362" s="30" t="str">
        <x:v>A006；A035；A036；A038；A039；A040；A041；A043；A046；A047；A049；A058；A060；A064；A065</x:v>
      </x:c>
      <x:c r="K362" s="30" t="str">
        <x:v>A046</x:v>
      </x:c>
      <x:c r="L362" s="30" t="n">
        <x:v>76</x:v>
      </x:c>
      <x:c r="M362" s="30" t="str">
        <x:v>S24；S25</x:v>
      </x:c>
      <x:c r="N362" s="30" t="str"/>
    </x:row>
    <x:row r="363" ht="120" customHeight="1">
      <x:c r="A363" s="30" t="str">
        <x:v>F359</x:v>
      </x:c>
      <x:c r="B363" s="30" t="str">
        <x:v>研究评价与覆盖结算</x:v>
      </x:c>
      <x:c r="C363" s="30" t="str">
        <x:v>evaluation.mission_mode</x:v>
      </x:c>
      <x:c r="D363" s="30" t="str">
        <x:v>全局评估模式</x:v>
      </x:c>
      <x:c r="E363" s="30" t="str">
        <x:v>配置</x:v>
      </x:c>
      <x:c r="F363" s="30" t="str">
        <x:v>enum</x:v>
      </x:c>
      <x:c r="G363" s="30" t="str">
        <x:v>time_limited_priority/systematic_coverage/mixed</x:v>
      </x:c>
      <x:c r="H363" s="30" t="str">
        <x:v>独立评估器</x:v>
      </x:c>
      <x:c r="I363" s="30" t="str">
        <x:v>默认隐藏逐目标真值；对Agent暴露策略另设</x:v>
      </x:c>
      <x:c r="J363" s="30" t="str">
        <x:v>EVALUATOR</x:v>
      </x:c>
      <x:c r="K363" s="30" t="str">
        <x:v>EVALUATOR</x:v>
      </x:c>
      <x:c r="L363" s="30" t="n">
        <x:v>96</x:v>
      </x:c>
      <x:c r="M363" s="30" t="str">
        <x:v>S01；S03；S05；S06；S21；S24</x:v>
      </x:c>
      <x:c r="N363" s="30" t="str">
        <x:v>https://insarag.org/wp-content/uploads/2021/06/INSARAG20Guidelines20Vol20II2C20Man20B.pdf
https://roborescue.github.io/rcrs-server/rcrs-server/index.html
https://4amgodvzx.github.io/ESAR.github.io/
https://github.com/UnrealZoo/RescueBench
https://docs.mlcommons.org/inference/benchmarks/language/llama3_1-8b/</x:v>
      </x:c>
    </x:row>
    <x:row r="364" ht="120" customHeight="1">
      <x:c r="A364" s="30" t="str">
        <x:v>F360</x:v>
      </x:c>
      <x:c r="B364" s="30" t="str">
        <x:v>研究评价与覆盖结算</x:v>
      </x:c>
      <x:c r="C364" s="30" t="str">
        <x:v>evaluation.time_limit_s</x:v>
      </x:c>
      <x:c r="D364" s="30" t="str">
        <x:v>本局时限</x:v>
      </x:c>
      <x:c r="E364" s="30" t="str">
        <x:v>配置</x:v>
      </x:c>
      <x:c r="F364" s="30" t="str">
        <x:v>float</x:v>
      </x:c>
      <x:c r="G364" s="30" t="str">
        <x:v>正数</x:v>
      </x:c>
      <x:c r="H364" s="30" t="str">
        <x:v>独立评估器</x:v>
      </x:c>
      <x:c r="I364" s="30" t="str">
        <x:v>默认隐藏逐目标真值；对Agent暴露策略另设</x:v>
      </x:c>
      <x:c r="J364" s="30" t="str">
        <x:v>EVALUATOR</x:v>
      </x:c>
      <x:c r="K364" s="30" t="str">
        <x:v>EVALUATOR</x:v>
      </x:c>
      <x:c r="L364" s="30" t="n">
        <x:v>96</x:v>
      </x:c>
      <x:c r="M364" s="30" t="str">
        <x:v>S01；S03；S05；S06；S21；S24</x:v>
      </x:c>
      <x:c r="N364" s="30" t="str">
        <x:v>https://insarag.org/wp-content/uploads/2021/06/INSARAG20Guidelines20Vol20II2C20Man20B.pdf
https://roborescue.github.io/rcrs-server/rcrs-server/index.html
https://4amgodvzx.github.io/ESAR.github.io/
https://github.com/UnrealZoo/RescueBench
https://docs.mlcommons.org/inference/benchmarks/language/llama3_1-8b/</x:v>
      </x:c>
    </x:row>
    <x:row r="365" ht="120" customHeight="1">
      <x:c r="A365" s="30" t="str">
        <x:v>F361</x:v>
      </x:c>
      <x:c r="B365" s="30" t="str">
        <x:v>研究评价与覆盖结算</x:v>
      </x:c>
      <x:c r="C365" s="30" t="str">
        <x:v>evaluation.assessment_coverage</x:v>
      </x:c>
      <x:c r="D365" s="30" t="str">
        <x:v>建筑/区域评估覆盖</x:v>
      </x:c>
      <x:c r="E365" s="30" t="str">
        <x:v>派生</x:v>
      </x:c>
      <x:c r="F365" s="30" t="str">
        <x:v>float</x:v>
      </x:c>
      <x:c r="G365" s="30" t="str">
        <x:v>[0,1]，和室内搜索分开</x:v>
      </x:c>
      <x:c r="H365" s="30" t="str">
        <x:v>独立评估器</x:v>
      </x:c>
      <x:c r="I365" s="30" t="str">
        <x:v>默认隐藏逐目标真值；对Agent暴露策略另设</x:v>
      </x:c>
      <x:c r="J365" s="30" t="str">
        <x:v>EVALUATOR</x:v>
      </x:c>
      <x:c r="K365" s="30" t="str">
        <x:v>EVALUATOR</x:v>
      </x:c>
      <x:c r="L365" s="30" t="n">
        <x:v>96</x:v>
      </x:c>
      <x:c r="M365" s="30" t="str">
        <x:v>S01；S03；S05；S06；S21；S24</x:v>
      </x:c>
      <x:c r="N365" s="30" t="str">
        <x:v>https://insarag.org/wp-content/uploads/2021/06/INSARAG20Guidelines20Vol20II2C20Man20B.pdf
https://roborescue.github.io/rcrs-server/rcrs-server/index.html
https://4amgodvzx.github.io/ESAR.github.io/
https://github.com/UnrealZoo/RescueBench
https://docs.mlcommons.org/inference/benchmarks/language/llama3_1-8b/</x:v>
      </x:c>
    </x:row>
    <x:row r="366" ht="120" customHeight="1">
      <x:c r="A366" s="30" t="str">
        <x:v>F362</x:v>
      </x:c>
      <x:c r="B366" s="30" t="str">
        <x:v>研究评价与覆盖结算</x:v>
      </x:c>
      <x:c r="C366" s="30" t="str">
        <x:v>evaluation.search_coverage</x:v>
      </x:c>
      <x:c r="D366" s="30" t="str">
        <x:v>有效搜索覆盖</x:v>
      </x:c>
      <x:c r="E366" s="30" t="str">
        <x:v>派生</x:v>
      </x:c>
      <x:c r="F366" s="30" t="str">
        <x:v>float</x:v>
      </x:c>
      <x:c r="G366" s="30" t="str">
        <x:v>[0,1]，部分/失败不得算全覆盖</x:v>
      </x:c>
      <x:c r="H366" s="30" t="str">
        <x:v>独立评估器</x:v>
      </x:c>
      <x:c r="I366" s="30" t="str">
        <x:v>默认隐藏逐目标真值；对Agent暴露策略另设</x:v>
      </x:c>
      <x:c r="J366" s="30" t="str">
        <x:v>EVALUATOR</x:v>
      </x:c>
      <x:c r="K366" s="30" t="str">
        <x:v>EVALUATOR</x:v>
      </x:c>
      <x:c r="L366" s="30" t="n">
        <x:v>96</x:v>
      </x:c>
      <x:c r="M366" s="30" t="str">
        <x:v>S01；S03；S05；S06；S21；S24</x:v>
      </x:c>
      <x:c r="N366" s="30" t="str">
        <x:v>https://insarag.org/wp-content/uploads/2021/06/INSARAG20Guidelines20Vol20II2C20Man20B.pdf
https://roborescue.github.io/rcrs-server/rcrs-server/index.html
https://4amgodvzx.github.io/ESAR.github.io/
https://github.com/UnrealZoo/RescueBench
https://docs.mlcommons.org/inference/benchmarks/language/llama3_1-8b/</x:v>
      </x:c>
    </x:row>
    <x:row r="367" ht="120" customHeight="1">
      <x:c r="A367" s="30" t="str">
        <x:v>F363</x:v>
      </x:c>
      <x:c r="B367" s="30" t="str">
        <x:v>研究评价与覆盖结算</x:v>
      </x:c>
      <x:c r="C367" s="30" t="str">
        <x:v>evaluation.detection_counts</x:v>
      </x:c>
      <x:c r="D367" s="30" t="str">
        <x:v>发现/漏检/误报</x:v>
      </x:c>
      <x:c r="E367" s="30" t="str">
        <x:v>派生</x:v>
      </x:c>
      <x:c r="F367" s="30" t="str">
        <x:v>record</x:v>
      </x:c>
      <x:c r="G367" s="30" t="str">
        <x:v>匹配规范、分母、重复去重</x:v>
      </x:c>
      <x:c r="H367" s="30" t="str">
        <x:v>独立评估器</x:v>
      </x:c>
      <x:c r="I367" s="30" t="str">
        <x:v>默认隐藏逐目标真值；对Agent暴露策略另设</x:v>
      </x:c>
      <x:c r="J367" s="30" t="str">
        <x:v>EVALUATOR</x:v>
      </x:c>
      <x:c r="K367" s="30" t="str">
        <x:v>EVALUATOR</x:v>
      </x:c>
      <x:c r="L367" s="30" t="n">
        <x:v>96</x:v>
      </x:c>
      <x:c r="M367" s="30" t="str">
        <x:v>S01；S03；S05；S06；S21；S24</x:v>
      </x:c>
      <x:c r="N367" s="30" t="str">
        <x:v>https://insarag.org/wp-content/uploads/2021/06/INSARAG20Guidelines20Vol20II2C20Man20B.pdf
https://roborescue.github.io/rcrs-server/rcrs-server/index.html
https://4amgodvzx.github.io/ESAR.github.io/
https://github.com/UnrealZoo/RescueBench
https://docs.mlcommons.org/inference/benchmarks/language/llama3_1-8b/</x:v>
      </x:c>
    </x:row>
    <x:row r="368" ht="120" customHeight="1">
      <x:c r="A368" s="30" t="str">
        <x:v>F364</x:v>
      </x:c>
      <x:c r="B368" s="30" t="str">
        <x:v>研究评价与覆盖结算</x:v>
      </x:c>
      <x:c r="C368" s="30" t="str">
        <x:v>evaluation.support_counts</x:v>
      </x:c>
      <x:c r="D368" s="30" t="str">
        <x:v>供给/解困/移交计数</x:v>
      </x:c>
      <x:c r="E368" s="30" t="str">
        <x:v>派生</x:v>
      </x:c>
      <x:c r="F368" s="30" t="str">
        <x:v>record</x:v>
      </x:c>
      <x:c r="G368" s="30" t="str">
        <x:v>各类型分别计，不合成万能救援成功</x:v>
      </x:c>
      <x:c r="H368" s="30" t="str">
        <x:v>独立评估器</x:v>
      </x:c>
      <x:c r="I368" s="30" t="str">
        <x:v>默认隐藏逐目标真值；对Agent暴露策略另设</x:v>
      </x:c>
      <x:c r="J368" s="30" t="str">
        <x:v>EVALUATOR</x:v>
      </x:c>
      <x:c r="K368" s="30" t="str">
        <x:v>EVALUATOR</x:v>
      </x:c>
      <x:c r="L368" s="30" t="n">
        <x:v>96</x:v>
      </x:c>
      <x:c r="M368" s="30" t="str">
        <x:v>S01；S03；S05；S06；S21；S24</x:v>
      </x:c>
      <x:c r="N368" s="30" t="str">
        <x:v>https://insarag.org/wp-content/uploads/2021/06/INSARAG20Guidelines20Vol20II2C20Man20B.pdf
https://roborescue.github.io/rcrs-server/rcrs-server/index.html
https://4amgodvzx.github.io/ESAR.github.io/
https://github.com/UnrealZoo/RescueBench
https://docs.mlcommons.org/inference/benchmarks/language/llama3_1-8b/</x:v>
      </x:c>
    </x:row>
    <x:row r="369" ht="120" customHeight="1">
      <x:c r="A369" s="30" t="str">
        <x:v>F365</x:v>
      </x:c>
      <x:c r="B369" s="30" t="str">
        <x:v>研究评价与覆盖结算</x:v>
      </x:c>
      <x:c r="C369" s="30" t="str">
        <x:v>evaluation.response_time_s</x:v>
      </x:c>
      <x:c r="D369" s="30" t="str">
        <x:v>响应/完成时延</x:v>
      </x:c>
      <x:c r="E369" s="30" t="str">
        <x:v>派生</x:v>
      </x:c>
      <x:c r="F369" s="30" t="str">
        <x:v>record</x:v>
      </x:c>
      <x:c r="G369" s="30" t="str">
        <x:v>起止事件明确；失败不填0</x:v>
      </x:c>
      <x:c r="H369" s="30" t="str">
        <x:v>独立评估器</x:v>
      </x:c>
      <x:c r="I369" s="30" t="str">
        <x:v>默认隐藏逐目标真值；对Agent暴露策略另设</x:v>
      </x:c>
      <x:c r="J369" s="30" t="str">
        <x:v>EVALUATOR</x:v>
      </x:c>
      <x:c r="K369" s="30" t="str">
        <x:v>EVALUATOR</x:v>
      </x:c>
      <x:c r="L369" s="30" t="n">
        <x:v>96</x:v>
      </x:c>
      <x:c r="M369" s="30" t="str">
        <x:v>S01；S03；S05；S06；S21；S24</x:v>
      </x:c>
      <x:c r="N369" s="30" t="str">
        <x:v>https://insarag.org/wp-content/uploads/2021/06/INSARAG20Guidelines20Vol20II2C20Man20B.pdf
https://roborescue.github.io/rcrs-server/rcrs-server/index.html
https://4amgodvzx.github.io/ESAR.github.io/
https://github.com/UnrealZoo/RescueBench
https://docs.mlcommons.org/inference/benchmarks/language/llama3_1-8b/</x:v>
      </x:c>
    </x:row>
    <x:row r="370" ht="120" customHeight="1">
      <x:c r="A370" s="30" t="str">
        <x:v>F366</x:v>
      </x:c>
      <x:c r="B370" s="30" t="str">
        <x:v>研究评价与覆盖结算</x:v>
      </x:c>
      <x:c r="C370" s="30" t="str">
        <x:v>evaluation.energy_Wh</x:v>
      </x:c>
      <x:c r="D370" s="30" t="str">
        <x:v>总能量</x:v>
      </x:c>
      <x:c r="E370" s="30" t="str">
        <x:v>派生</x:v>
      </x:c>
      <x:c r="F370" s="30" t="str">
        <x:v>float</x:v>
      </x:c>
      <x:c r="G370" s="30" t="str">
        <x:v>统一账本，禁止双重计费</x:v>
      </x:c>
      <x:c r="H370" s="30" t="str">
        <x:v>独立评估器</x:v>
      </x:c>
      <x:c r="I370" s="30" t="str">
        <x:v>默认隐藏逐目标真值；对Agent暴露策略另设</x:v>
      </x:c>
      <x:c r="J370" s="30" t="str">
        <x:v>EVALUATOR</x:v>
      </x:c>
      <x:c r="K370" s="30" t="str">
        <x:v>EVALUATOR</x:v>
      </x:c>
      <x:c r="L370" s="30" t="n">
        <x:v>96</x:v>
      </x:c>
      <x:c r="M370" s="30" t="str">
        <x:v>S01；S03；S05；S06；S21；S24</x:v>
      </x:c>
      <x:c r="N370" s="30" t="str">
        <x:v>https://insarag.org/wp-content/uploads/2021/06/INSARAG20Guidelines20Vol20II2C20Man20B.pdf
https://roborescue.github.io/rcrs-server/rcrs-server/index.html
https://4amgodvzx.github.io/ESAR.github.io/
https://github.com/UnrealZoo/RescueBench
https://docs.mlcommons.org/inference/benchmarks/language/llama3_1-8b/</x:v>
      </x:c>
    </x:row>
    <x:row r="371" ht="120" customHeight="1">
      <x:c r="A371" s="30" t="str">
        <x:v>F367</x:v>
      </x:c>
      <x:c r="B371" s="30" t="str">
        <x:v>研究评价与覆盖结算</x:v>
      </x:c>
      <x:c r="C371" s="30" t="str">
        <x:v>evaluation.communication_bytes</x:v>
      </x:c>
      <x:c r="D371" s="30" t="str">
        <x:v>通信量</x:v>
      </x:c>
      <x:c r="E371" s="30" t="str">
        <x:v>派生</x:v>
      </x:c>
      <x:c r="F371" s="30" t="str">
        <x:v>record</x:v>
      </x:c>
      <x:c r="G371" s="30" t="str">
        <x:v>应用有效字节/逐跳/重传分别统计</x:v>
      </x:c>
      <x:c r="H371" s="30" t="str">
        <x:v>独立评估器</x:v>
      </x:c>
      <x:c r="I371" s="30" t="str">
        <x:v>默认隐藏逐目标真值；对Agent暴露策略另设</x:v>
      </x:c>
      <x:c r="J371" s="30" t="str">
        <x:v>EVALUATOR</x:v>
      </x:c>
      <x:c r="K371" s="30" t="str">
        <x:v>EVALUATOR</x:v>
      </x:c>
      <x:c r="L371" s="30" t="n">
        <x:v>96</x:v>
      </x:c>
      <x:c r="M371" s="30" t="str">
        <x:v>S01；S03；S05；S06；S21；S24</x:v>
      </x:c>
      <x:c r="N371" s="30" t="str">
        <x:v>https://insarag.org/wp-content/uploads/2021/06/INSARAG20Guidelines20Vol20II2C20Man20B.pdf
https://roborescue.github.io/rcrs-server/rcrs-server/index.html
https://4amgodvzx.github.io/ESAR.github.io/
https://github.com/UnrealZoo/RescueBench
https://docs.mlcommons.org/inference/benchmarks/language/llama3_1-8b/</x:v>
      </x:c>
    </x:row>
    <x:row r="372" ht="120" customHeight="1">
      <x:c r="A372" s="30" t="str">
        <x:v>F368</x:v>
      </x:c>
      <x:c r="B372" s="30" t="str">
        <x:v>研究评价与覆盖结算</x:v>
      </x:c>
      <x:c r="C372" s="30" t="str">
        <x:v>evaluation.compute_cost</x:v>
      </x:c>
      <x:c r="D372" s="30" t="str">
        <x:v>计算成本</x:v>
      </x:c>
      <x:c r="E372" s="30" t="str">
        <x:v>派生</x:v>
      </x:c>
      <x:c r="F372" s="30" t="str">
        <x:v>record</x:v>
      </x:c>
      <x:c r="G372" s="30" t="str">
        <x:v>队列/执行/墙钟/模拟耗能分别统计</x:v>
      </x:c>
      <x:c r="H372" s="30" t="str">
        <x:v>独立评估器</x:v>
      </x:c>
      <x:c r="I372" s="30" t="str">
        <x:v>默认隐藏逐目标真值；对Agent暴露策略另设</x:v>
      </x:c>
      <x:c r="J372" s="30" t="str">
        <x:v>EVALUATOR</x:v>
      </x:c>
      <x:c r="K372" s="30" t="str">
        <x:v>EVALUATOR</x:v>
      </x:c>
      <x:c r="L372" s="30" t="n">
        <x:v>96</x:v>
      </x:c>
      <x:c r="M372" s="30" t="str">
        <x:v>S01；S03；S05；S06；S21；S24</x:v>
      </x:c>
      <x:c r="N372" s="30" t="str">
        <x:v>https://insarag.org/wp-content/uploads/2021/06/INSARAG20Guidelines20Vol20II2C20Man20B.pdf
https://roborescue.github.io/rcrs-server/rcrs-server/index.html
https://4amgodvzx.github.io/ESAR.github.io/
https://github.com/UnrealZoo/RescueBench
https://docs.mlcommons.org/inference/benchmarks/language/llama3_1-8b/</x:v>
      </x:c>
    </x:row>
    <x:row r="373" ht="120" customHeight="1">
      <x:c r="A373" s="30" t="str">
        <x:v>F369</x:v>
      </x:c>
      <x:c r="B373" s="30" t="str">
        <x:v>研究评价与覆盖结算</x:v>
      </x:c>
      <x:c r="C373" s="30" t="str">
        <x:v>evaluation.constraint_violations</x:v>
      </x:c>
      <x:c r="D373" s="30" t="str">
        <x:v>约束违反</x:v>
      </x:c>
      <x:c r="E373" s="30" t="str">
        <x:v>派生</x:v>
      </x:c>
      <x:c r="F373" s="30" t="str">
        <x:v>record</x:v>
      </x:c>
      <x:c r="G373" s="30" t="str">
        <x:v>设备/载荷/碰撞/时限等事件</x:v>
      </x:c>
      <x:c r="H373" s="30" t="str">
        <x:v>独立评估器</x:v>
      </x:c>
      <x:c r="I373" s="30" t="str">
        <x:v>默认隐藏逐目标真值；对Agent暴露策略另设</x:v>
      </x:c>
      <x:c r="J373" s="30" t="str">
        <x:v>EVALUATOR</x:v>
      </x:c>
      <x:c r="K373" s="30" t="str">
        <x:v>EVALUATOR</x:v>
      </x:c>
      <x:c r="L373" s="30" t="n">
        <x:v>96</x:v>
      </x:c>
      <x:c r="M373" s="30" t="str">
        <x:v>S01；S03；S05；S06；S21；S24</x:v>
      </x:c>
      <x:c r="N373" s="30" t="str">
        <x:v>https://insarag.org/wp-content/uploads/2021/06/INSARAG20Guidelines20Vol20II2C20Man20B.pdf
https://roborescue.github.io/rcrs-server/rcrs-server/index.html
https://4amgodvzx.github.io/ESAR.github.io/
https://github.com/UnrealZoo/RescueBench
https://docs.mlcommons.org/inference/benchmarks/language/llama3_1-8b/</x:v>
      </x:c>
    </x:row>
    <x:row r="374" ht="120" customHeight="1">
      <x:c r="A374" s="30" t="str">
        <x:v>F370</x:v>
      </x:c>
      <x:c r="B374" s="30" t="str">
        <x:v>研究评价与覆盖结算</x:v>
      </x:c>
      <x:c r="C374" s="30" t="str">
        <x:v>evaluation.score_spec</x:v>
      </x:c>
      <x:c r="D374" s="30" t="str">
        <x:v>评分函数版本</x:v>
      </x:c>
      <x:c r="E374" s="30" t="str">
        <x:v>配置</x:v>
      </x:c>
      <x:c r="F374" s="30" t="str">
        <x:v>record</x:v>
      </x:c>
      <x:c r="G374" s="30" t="str">
        <x:v>权重/去重/中间分与终局分；项目设计非官方统一标准</x:v>
      </x:c>
      <x:c r="H374" s="30" t="str">
        <x:v>独立评估器</x:v>
      </x:c>
      <x:c r="I374" s="30" t="str">
        <x:v>默认隐藏逐目标真值；对Agent暴露策略另设</x:v>
      </x:c>
      <x:c r="J374" s="30" t="str">
        <x:v>EVALUATOR</x:v>
      </x:c>
      <x:c r="K374" s="30" t="str">
        <x:v>EVALUATOR</x:v>
      </x:c>
      <x:c r="L374" s="30" t="n">
        <x:v>96</x:v>
      </x:c>
      <x:c r="M374" s="30" t="str">
        <x:v>S01；S03；S05；S06；S21；S24</x:v>
      </x:c>
      <x:c r="N374" s="30" t="str">
        <x:v>https://insarag.org/wp-content/uploads/2021/06/INSARAG20Guidelines20Vol20II2C20Man20B.pdf
https://roborescue.github.io/rcrs-server/rcrs-server/index.html
https://4amgodvzx.github.io/ESAR.github.io/
https://github.com/UnrealZoo/RescueBench
https://docs.mlcommons.org/inference/benchmarks/language/llama3_1-8b/</x:v>
      </x:c>
    </x:row>
    <x:row r="375" ht="120" customHeight="1">
      <x:c r="A375" s="30" t="str">
        <x:v>F371</x:v>
      </x:c>
      <x:c r="B375" s="30" t="str">
        <x:v>区域语义与生成先验</x:v>
      </x:c>
      <x:c r="C375" s="30" t="str">
        <x:v>region.land_use</x:v>
      </x:c>
      <x:c r="D375" s="30" t="str">
        <x:v>区域用途</x:v>
      </x:c>
      <x:c r="E375" s="30" t="str">
        <x:v>配置</x:v>
      </x:c>
      <x:c r="F375" s="30" t="str">
        <x:v>enum</x:v>
      </x:c>
      <x:c r="G375" s="30" t="str">
        <x:v>residential/commercial/public/industrial/forest/desert/coast/water/underground</x:v>
      </x:c>
      <x:c r="H375" s="30" t="str">
        <x:v>场景生成器</x:v>
      </x:c>
      <x:c r="I375" s="30" t="str">
        <x:v>授权底图配置可公开；占用和灾害采样结果隐藏</x:v>
      </x:c>
      <x:c r="J375" s="30" t="str">
        <x:v>A001；A002；A003；A050；A060；A066</x:v>
      </x:c>
      <x:c r="K375" s="30" t="str">
        <x:v>初始化/配置或相应状态所有者；不是任意Agent写入</x:v>
      </x:c>
      <x:c r="L375" s="30" t="n">
        <x:v>39</x:v>
      </x:c>
      <x:c r="M375" s="30" t="str">
        <x:v>S07；S08；S09；S15；S24</x:v>
      </x:c>
      <x:c r="N375" s="30" t="str">
        <x:v>https://github.com/BinaLab/RescueNet-A-High-Resolution-Post-Disaster-UAV-Dataset-for-Semantic-Segmentation
https://github.com/BinaLab/FloodNet-Supervised_v1.0
https://arxiv.org/abs/1911.09296
https://github.com/namurproject/SAREnv</x:v>
      </x:c>
    </x:row>
    <x:row r="376" ht="120" customHeight="1">
      <x:c r="A376" s="30" t="str">
        <x:v>F372</x:v>
      </x:c>
      <x:c r="B376" s="30" t="str">
        <x:v>区域语义与生成先验</x:v>
      </x:c>
      <x:c r="C376" s="30" t="str">
        <x:v>region.building_density</x:v>
      </x:c>
      <x:c r="D376" s="30" t="str">
        <x:v>建筑布置密度</x:v>
      </x:c>
      <x:c r="E376" s="30" t="str">
        <x:v>配置</x:v>
      </x:c>
      <x:c r="F376" s="30" t="str">
        <x:v>float</x:v>
      </x:c>
      <x:c r="G376" s="30" t="str">
        <x:v>栋/km²，项目先验非真实统计</x:v>
      </x:c>
      <x:c r="H376" s="30" t="str">
        <x:v>场景生成器</x:v>
      </x:c>
      <x:c r="I376" s="30" t="str">
        <x:v>授权底图配置可公开；占用和灾害采样结果隐藏</x:v>
      </x:c>
      <x:c r="J376" s="30" t="str">
        <x:v>A001；A002；A003；A050；A060；A066</x:v>
      </x:c>
      <x:c r="K376" s="30" t="str">
        <x:v>初始化/配置或相应状态所有者；不是任意Agent写入</x:v>
      </x:c>
      <x:c r="L376" s="30" t="n">
        <x:v>39</x:v>
      </x:c>
      <x:c r="M376" s="30" t="str">
        <x:v>S07；S08；S09；S15；S24</x:v>
      </x:c>
      <x:c r="N376" s="30" t="str">
        <x:v>https://github.com/BinaLab/RescueNet-A-High-Resolution-Post-Disaster-UAV-Dataset-for-Semantic-Segmentation
https://github.com/BinaLab/FloodNet-Supervised_v1.0
https://arxiv.org/abs/1911.09296
https://github.com/namurproject/SAREnv</x:v>
      </x:c>
    </x:row>
    <x:row r="377" ht="120" customHeight="1">
      <x:c r="A377" s="30" t="str">
        <x:v>F373</x:v>
      </x:c>
      <x:c r="B377" s="30" t="str">
        <x:v>区域语义与生成先验</x:v>
      </x:c>
      <x:c r="C377" s="30" t="str">
        <x:v>region.road_pattern</x:v>
      </x:c>
      <x:c r="D377" s="30" t="str">
        <x:v>路网构型</x:v>
      </x:c>
      <x:c r="E377" s="30" t="str">
        <x:v>配置</x:v>
      </x:c>
      <x:c r="F377" s="30" t="str">
        <x:v>enum</x:v>
      </x:c>
      <x:c r="G377" s="30" t="str">
        <x:v>grid/branch/loop/imported</x:v>
      </x:c>
      <x:c r="H377" s="30" t="str">
        <x:v>场景生成器</x:v>
      </x:c>
      <x:c r="I377" s="30" t="str">
        <x:v>授权底图配置可公开；占用和灾害采样结果隐藏</x:v>
      </x:c>
      <x:c r="J377" s="30" t="str">
        <x:v>A001；A002；A003；A050；A060；A066</x:v>
      </x:c>
      <x:c r="K377" s="30" t="str">
        <x:v>初始化/配置或相应状态所有者；不是任意Agent写入</x:v>
      </x:c>
      <x:c r="L377" s="30" t="n">
        <x:v>39</x:v>
      </x:c>
      <x:c r="M377" s="30" t="str">
        <x:v>S07；S08；S09；S15；S24</x:v>
      </x:c>
      <x:c r="N377" s="30" t="str">
        <x:v>https://github.com/BinaLab/RescueNet-A-High-Resolution-Post-Disaster-UAV-Dataset-for-Semantic-Segmentation
https://github.com/BinaLab/FloodNet-Supervised_v1.0
https://arxiv.org/abs/1911.09296
https://github.com/namurproject/SAREnv</x:v>
      </x:c>
    </x:row>
    <x:row r="378" ht="120" customHeight="1">
      <x:c r="A378" s="30" t="str">
        <x:v>F374</x:v>
      </x:c>
      <x:c r="B378" s="30" t="str">
        <x:v>区域语义与生成先验</x:v>
      </x:c>
      <x:c r="C378" s="30" t="str">
        <x:v>region.occupancy_prior_id</x:v>
      </x:c>
      <x:c r="D378" s="30" t="str">
        <x:v>人员占用先验</x:v>
      </x:c>
      <x:c r="E378" s="30" t="str">
        <x:v>配置</x:v>
      </x:c>
      <x:c r="F378" s="30" t="str">
        <x:v>id</x:v>
      </x:c>
      <x:c r="G378" s="30" t="str">
        <x:v>用途/时刻/容量/撤离条件的显式分布</x:v>
      </x:c>
      <x:c r="H378" s="30" t="str">
        <x:v>场景生成器</x:v>
      </x:c>
      <x:c r="I378" s="30" t="str">
        <x:v>授权底图配置可公开；占用和灾害采样结果隐藏</x:v>
      </x:c>
      <x:c r="J378" s="30" t="str">
        <x:v>A001；A002；A003；A050；A060；A066</x:v>
      </x:c>
      <x:c r="K378" s="30" t="str">
        <x:v>初始化/配置或相应状态所有者；不是任意Agent写入</x:v>
      </x:c>
      <x:c r="L378" s="30" t="n">
        <x:v>39</x:v>
      </x:c>
      <x:c r="M378" s="30" t="str">
        <x:v>S07；S08；S09；S15；S24</x:v>
      </x:c>
      <x:c r="N378" s="30" t="str">
        <x:v>https://github.com/BinaLab/RescueNet-A-High-Resolution-Post-Disaster-UAV-Dataset-for-Semantic-Segmentation
https://github.com/BinaLab/FloodNet-Supervised_v1.0
https://arxiv.org/abs/1911.09296
https://github.com/namurproject/SAREnv</x:v>
      </x:c>
    </x:row>
    <x:row r="379" ht="120" customHeight="1">
      <x:c r="A379" s="30" t="str">
        <x:v>F375</x:v>
      </x:c>
      <x:c r="B379" s="30" t="str">
        <x:v>区域语义与生成先验</x:v>
      </x:c>
      <x:c r="C379" s="30" t="str">
        <x:v>region.disaster_profile_id</x:v>
      </x:c>
      <x:c r="D379" s="30" t="str">
        <x:v>灾害生成模型</x:v>
      </x:c>
      <x:c r="E379" s="30" t="str">
        <x:v>配置</x:v>
      </x:c>
      <x:c r="F379" s="30" t="str">
        <x:v>id</x:v>
      </x:c>
      <x:c r="G379" s="30" t="str">
        <x:v>类型/强度/脆弱性/相关性配置</x:v>
      </x:c>
      <x:c r="H379" s="30" t="str">
        <x:v>场景生成器</x:v>
      </x:c>
      <x:c r="I379" s="30" t="str">
        <x:v>授权底图配置可公开；占用和灾害采样结果隐藏</x:v>
      </x:c>
      <x:c r="J379" s="30" t="str">
        <x:v>A001；A002；A003；A050；A060；A066</x:v>
      </x:c>
      <x:c r="K379" s="30" t="str">
        <x:v>初始化/配置或相应状态所有者；不是任意Agent写入</x:v>
      </x:c>
      <x:c r="L379" s="30" t="n">
        <x:v>39</x:v>
      </x:c>
      <x:c r="M379" s="30" t="str">
        <x:v>S07；S08；S09；S15；S24</x:v>
      </x:c>
      <x:c r="N379" s="30" t="str">
        <x:v>https://github.com/BinaLab/RescueNet-A-High-Resolution-Post-Disaster-UAV-Dataset-for-Semantic-Segmentation
https://github.com/BinaLab/FloodNet-Supervised_v1.0
https://arxiv.org/abs/1911.09296
https://github.com/namurproject/SAREnv</x:v>
      </x:c>
    </x:row>
    <x:row r="380" ht="120" customHeight="1">
      <x:c r="A380" s="30" t="str">
        <x:v>F376</x:v>
      </x:c>
      <x:c r="B380" s="30" t="str">
        <x:v>区域语义与生成先验</x:v>
      </x:c>
      <x:c r="C380" s="30" t="str">
        <x:v>region.surface_palette</x:v>
      </x:c>
      <x:c r="D380" s="30" t="str">
        <x:v>地表语义类别</x:v>
      </x:c>
      <x:c r="E380" s="30" t="str">
        <x:v>配置</x:v>
      </x:c>
      <x:c r="F380" s="30" t="str">
        <x:v>set</x:v>
      </x:c>
      <x:c r="G380" s="30" t="str">
        <x:v>road/grass/tree/water/pool/bare_ground</x:v>
      </x:c>
      <x:c r="H380" s="30" t="str">
        <x:v>场景生成器</x:v>
      </x:c>
      <x:c r="I380" s="30" t="str">
        <x:v>授权底图配置可公开；占用和灾害采样结果隐藏</x:v>
      </x:c>
      <x:c r="J380" s="30" t="str">
        <x:v>A001；A002；A003；A050；A060；A066</x:v>
      </x:c>
      <x:c r="K380" s="30" t="str">
        <x:v>初始化/配置或相应状态所有者；不是任意Agent写入</x:v>
      </x:c>
      <x:c r="L380" s="30" t="n">
        <x:v>39</x:v>
      </x:c>
      <x:c r="M380" s="30" t="str">
        <x:v>S07；S08；S09；S15；S24</x:v>
      </x:c>
      <x:c r="N380" s="30" t="str">
        <x:v>https://github.com/BinaLab/RescueNet-A-High-Resolution-Post-Disaster-UAV-Dataset-for-Semantic-Segmentation
https://github.com/BinaLab/FloodNet-Supervised_v1.0
https://arxiv.org/abs/1911.09296
https://github.com/namurproject/SAREnv</x:v>
      </x:c>
    </x:row>
    <x:row r="381" ht="120" customHeight="1">
      <x:c r="A381" s="30" t="str">
        <x:v>F377</x:v>
      </x:c>
      <x:c r="B381" s="30" t="str">
        <x:v>区域语义与生成先验</x:v>
      </x:c>
      <x:c r="C381" s="30" t="str">
        <x:v>region.base_elevation_m</x:v>
      </x:c>
      <x:c r="D381" s="30" t="str">
        <x:v>基面高程</x:v>
      </x:c>
      <x:c r="E381" s="30" t="str">
        <x:v>配置</x:v>
      </x:c>
      <x:c r="F381" s="30" t="str">
        <x:v>float</x:v>
      </x:c>
      <x:c r="G381" s="30" t="str">
        <x:v>本期固定0；不是所有物体z=0</x:v>
      </x:c>
      <x:c r="H381" s="30" t="str">
        <x:v>场景生成器</x:v>
      </x:c>
      <x:c r="I381" s="30" t="str">
        <x:v>授权底图配置可公开；占用和灾害采样结果隐藏</x:v>
      </x:c>
      <x:c r="J381" s="30" t="str">
        <x:v>A001；A002；A003；A050；A060；A066</x:v>
      </x:c>
      <x:c r="K381" s="30" t="str">
        <x:v>初始化/配置或相应状态所有者；不是任意Agent写入</x:v>
      </x:c>
      <x:c r="L381" s="30" t="n">
        <x:v>39</x:v>
      </x:c>
      <x:c r="M381" s="30" t="str">
        <x:v>S07；S08；S09；S15；S24</x:v>
      </x:c>
      <x:c r="N381" s="30" t="str">
        <x:v>https://github.com/BinaLab/RescueNet-A-High-Resolution-Post-Disaster-UAV-Dataset-for-Semantic-Segmentation
https://github.com/BinaLab/FloodNet-Supervised_v1.0
https://arxiv.org/abs/1911.09296
https://github.com/namurproject/SAREnv</x:v>
      </x:c>
    </x:row>
    <x:row r="382" ht="120" customHeight="1">
      <x:c r="A382" s="30" t="str">
        <x:v>F378</x:v>
      </x:c>
      <x:c r="B382" s="30" t="str">
        <x:v>实验与主时钟</x:v>
      </x:c>
      <x:c r="C382" s="30" t="str">
        <x:v>episode.scenario_id</x:v>
      </x:c>
      <x:c r="D382" s="30" t="str">
        <x:v>情境配置ID</x:v>
      </x:c>
      <x:c r="E382" s="30" t="str">
        <x:v>标识</x:v>
      </x:c>
      <x:c r="F382" s="30" t="str">
        <x:v>id</x:v>
      </x:c>
      <x:c r="G382" s="30" t="str">
        <x:v>本目录SC01–SC18及场景实例</x:v>
      </x:c>
      <x:c r="H382" s="30" t="str">
        <x:v>AeroAgentSim主运行时</x:v>
      </x:c>
      <x:c r="I382" s="30" t="str">
        <x:v>公开实验条件可配置；seed/真值是否公开由协议决定</x:v>
      </x:c>
      <x:c r="J382" s="30" t="str">
        <x:v>A001；A002；A003；A050；A060；A066</x:v>
      </x:c>
      <x:c r="K382" s="30" t="str">
        <x:v>初始化/配置或相应状态所有者；不是任意Agent写入</x:v>
      </x:c>
      <x:c r="L382" s="30" t="n">
        <x:v>39</x:v>
      </x:c>
      <x:c r="M382" s="30" t="str">
        <x:v>S19；S24；S25</x:v>
      </x:c>
      <x:c r="N382" s="30" t="str">
        <x:v>https://design.ros2.org/articles/actions.html</x:v>
      </x:c>
    </x:row>
    <x:row r="383" ht="120" customHeight="1">
      <x:c r="A383" s="30" t="str">
        <x:v>F379</x:v>
      </x:c>
      <x:c r="B383" s="30" t="str">
        <x:v>实验与主时钟</x:v>
      </x:c>
      <x:c r="C383" s="30" t="str">
        <x:v>episode.map_revision</x:v>
      </x:c>
      <x:c r="D383" s="30" t="str">
        <x:v>地图/生成规则版本</x:v>
      </x:c>
      <x:c r="E383" s="30" t="str">
        <x:v>标识</x:v>
      </x:c>
      <x:c r="F383" s="30" t="str">
        <x:v>id</x:v>
      </x:c>
      <x:c r="G383" s="30" t="str">
        <x:v>可复现语义布局版本，不要求业务反复校验</x:v>
      </x:c>
      <x:c r="H383" s="30" t="str">
        <x:v>AeroAgentSim主运行时</x:v>
      </x:c>
      <x:c r="I383" s="30" t="str">
        <x:v>公开实验条件可配置；seed/真值是否公开由协议决定</x:v>
      </x:c>
      <x:c r="J383" s="30" t="str">
        <x:v>A001；A002；A003；A050；A060；A066</x:v>
      </x:c>
      <x:c r="K383" s="30" t="str">
        <x:v>初始化/配置或相应状态所有者；不是任意Agent写入</x:v>
      </x:c>
      <x:c r="L383" s="30" t="n">
        <x:v>39</x:v>
      </x:c>
      <x:c r="M383" s="30" t="str">
        <x:v>S19；S24；S25</x:v>
      </x:c>
      <x:c r="N383" s="30" t="str">
        <x:v>https://design.ros2.org/articles/actions.html</x:v>
      </x:c>
    </x:row>
    <x:row r="384" ht="120" customHeight="1">
      <x:c r="A384" s="30" t="str">
        <x:v>F380</x:v>
      </x:c>
      <x:c r="B384" s="30" t="str">
        <x:v>实验与主时钟</x:v>
      </x:c>
      <x:c r="C384" s="30" t="str">
        <x:v>episode.seed</x:v>
      </x:c>
      <x:c r="D384" s="30" t="str">
        <x:v>随机种子</x:v>
      </x:c>
      <x:c r="E384" s="30" t="str">
        <x:v>配置</x:v>
      </x:c>
      <x:c r="F384" s="30" t="str">
        <x:v>int</x:v>
      </x:c>
      <x:c r="G384" s="30" t="str">
        <x:v>初始化及分模块独立随机流</x:v>
      </x:c>
      <x:c r="H384" s="30" t="str">
        <x:v>AeroAgentSim主运行时</x:v>
      </x:c>
      <x:c r="I384" s="30" t="str">
        <x:v>公开实验条件可配置；seed/真值是否公开由协议决定</x:v>
      </x:c>
      <x:c r="J384" s="30" t="str">
        <x:v>A001；A002；A003；A050；A060；A066</x:v>
      </x:c>
      <x:c r="K384" s="30" t="str">
        <x:v>初始化/配置或相应状态所有者；不是任意Agent写入</x:v>
      </x:c>
      <x:c r="L384" s="30" t="n">
        <x:v>39</x:v>
      </x:c>
      <x:c r="M384" s="30" t="str">
        <x:v>S19；S24；S25</x:v>
      </x:c>
      <x:c r="N384" s="30" t="str">
        <x:v>https://design.ros2.org/articles/actions.html</x:v>
      </x:c>
    </x:row>
    <x:row r="385" ht="120" customHeight="1">
      <x:c r="A385" s="30" t="str">
        <x:v>F381</x:v>
      </x:c>
      <x:c r="B385" s="30" t="str">
        <x:v>实验与主时钟</x:v>
      </x:c>
      <x:c r="C385" s="30" t="str">
        <x:v>episode.sim_time_s</x:v>
      </x:c>
      <x:c r="D385" s="30" t="str">
        <x:v>统一仿真时间</x:v>
      </x:c>
      <x:c r="E385" s="30" t="str">
        <x:v>状态</x:v>
      </x:c>
      <x:c r="F385" s="30" t="str">
        <x:v>float</x:v>
      </x:c>
      <x:c r="G385" s="30" t="str">
        <x:v>单调非负，各后端同步</x:v>
      </x:c>
      <x:c r="H385" s="30" t="str">
        <x:v>AeroAgentSim主运行时</x:v>
      </x:c>
      <x:c r="I385" s="30" t="str">
        <x:v>公开实验条件可配置；seed/真值是否公开由协议决定</x:v>
      </x:c>
      <x:c r="J385" s="30" t="str">
        <x:v>A001；A002；A003；A050；A060；A066</x:v>
      </x:c>
      <x:c r="K385" s="30" t="str">
        <x:v>KERNEL</x:v>
      </x:c>
      <x:c r="L385" s="30" t="n">
        <x:v>39</x:v>
      </x:c>
      <x:c r="M385" s="30" t="str">
        <x:v>S19；S24；S25</x:v>
      </x:c>
      <x:c r="N385" s="30" t="str">
        <x:v>https://design.ros2.org/articles/actions.html</x:v>
      </x:c>
    </x:row>
    <x:row r="386" ht="120" customHeight="1">
      <x:c r="A386" s="30" t="str">
        <x:v>F382</x:v>
      </x:c>
      <x:c r="B386" s="30" t="str">
        <x:v>实验与主时钟</x:v>
      </x:c>
      <x:c r="C386" s="30" t="str">
        <x:v>episode.clock_step_s</x:v>
      </x:c>
      <x:c r="D386" s="30" t="str">
        <x:v>同步推进配置</x:v>
      </x:c>
      <x:c r="E386" s="30" t="str">
        <x:v>配置</x:v>
      </x:c>
      <x:c r="F386" s="30" t="str">
        <x:v>float</x:v>
      </x:c>
      <x:c r="G386" s="30" t="str">
        <x:v>正数或事件驱动策略</x:v>
      </x:c>
      <x:c r="H386" s="30" t="str">
        <x:v>AeroAgentSim主运行时</x:v>
      </x:c>
      <x:c r="I386" s="30" t="str">
        <x:v>公开实验条件可配置；seed/真值是否公开由协议决定</x:v>
      </x:c>
      <x:c r="J386" s="30" t="str">
        <x:v>A001；A002；A003；A050；A060；A066</x:v>
      </x:c>
      <x:c r="K386" s="30" t="str">
        <x:v>初始化/配置或相应状态所有者；不是任意Agent写入</x:v>
      </x:c>
      <x:c r="L386" s="30" t="n">
        <x:v>39</x:v>
      </x:c>
      <x:c r="M386" s="30" t="str">
        <x:v>S19；S24；S25</x:v>
      </x:c>
      <x:c r="N386" s="30" t="str">
        <x:v>https://design.ros2.org/articles/actions.html</x:v>
      </x:c>
    </x:row>
    <x:row r="387" ht="120" customHeight="1">
      <x:c r="A387" s="30" t="str">
        <x:v>F383</x:v>
      </x:c>
      <x:c r="B387" s="30" t="str">
        <x:v>实验与主时钟</x:v>
      </x:c>
      <x:c r="C387" s="30" t="str">
        <x:v>episode.world_frame</x:v>
      </x:c>
      <x:c r="D387" s="30" t="str">
        <x:v>世界坐标定义</x:v>
      </x:c>
      <x:c r="E387" s="30" t="str">
        <x:v>配置</x:v>
      </x:c>
      <x:c r="F387" s="30" t="str">
        <x:v>enum</x:v>
      </x:c>
      <x:c r="G387" s="30" t="str">
        <x:v>local_ENU_m；转换显式记录</x:v>
      </x:c>
      <x:c r="H387" s="30" t="str">
        <x:v>AeroAgentSim主运行时</x:v>
      </x:c>
      <x:c r="I387" s="30" t="str">
        <x:v>公开实验条件可配置；seed/真值是否公开由协议决定</x:v>
      </x:c>
      <x:c r="J387" s="30" t="str">
        <x:v>A001；A002；A003；A050；A060；A066</x:v>
      </x:c>
      <x:c r="K387" s="30" t="str">
        <x:v>初始化/配置或相应状态所有者；不是任意Agent写入</x:v>
      </x:c>
      <x:c r="L387" s="30" t="n">
        <x:v>39</x:v>
      </x:c>
      <x:c r="M387" s="30" t="str">
        <x:v>S19；S24；S25</x:v>
      </x:c>
      <x:c r="N387" s="30" t="str">
        <x:v>https://design.ros2.org/articles/actions.html</x:v>
      </x:c>
    </x:row>
    <x:row r="388" ht="120" customHeight="1">
      <x:c r="A388" s="30" t="str">
        <x:v>F384</x:v>
      </x:c>
      <x:c r="B388" s="30" t="str">
        <x:v>实验与主时钟</x:v>
      </x:c>
      <x:c r="C388" s="30" t="str">
        <x:v>episode.map_bounds_m</x:v>
      </x:c>
      <x:c r="D388" s="30" t="str">
        <x:v>区域范围</x:v>
      </x:c>
      <x:c r="E388" s="30" t="str">
        <x:v>配置</x:v>
      </x:c>
      <x:c r="F388" s="30" t="str">
        <x:v>record</x:v>
      </x:c>
      <x:c r="G388" s="30" t="str">
        <x:v>本期x/y范围[0,2000]m</x:v>
      </x:c>
      <x:c r="H388" s="30" t="str">
        <x:v>AeroAgentSim主运行时</x:v>
      </x:c>
      <x:c r="I388" s="30" t="str">
        <x:v>公开实验条件可配置；seed/真值是否公开由协议决定</x:v>
      </x:c>
      <x:c r="J388" s="30" t="str">
        <x:v>A001；A002；A003；A050；A060；A066</x:v>
      </x:c>
      <x:c r="K388" s="30" t="str">
        <x:v>初始化/配置或相应状态所有者；不是任意Agent写入</x:v>
      </x:c>
      <x:c r="L388" s="30" t="n">
        <x:v>39</x:v>
      </x:c>
      <x:c r="M388" s="30" t="str">
        <x:v>S19；S24；S25</x:v>
      </x:c>
      <x:c r="N388" s="30" t="str">
        <x:v>https://design.ros2.org/articles/actions.html</x:v>
      </x:c>
    </x:row>
    <x:row r="389" ht="120" customHeight="1">
      <x:c r="A389" s="30" t="str">
        <x:v>F385</x:v>
      </x:c>
      <x:c r="B389" s="30" t="str">
        <x:v>实验与主时钟</x:v>
      </x:c>
      <x:c r="C389" s="30" t="str">
        <x:v>episode.backend_modes</x:v>
      </x:c>
      <x:c r="D389" s="30" t="str">
        <x:v>本局后端与保真模式</x:v>
      </x:c>
      <x:c r="E389" s="30" t="str">
        <x:v>配置</x:v>
      </x:c>
      <x:c r="F389" s="30" t="str">
        <x:v>record</x:v>
      </x:c>
      <x:c r="G389" s="30" t="str">
        <x:v>视觉/Gazebo/ns3/计算/抽象室内分别标明</x:v>
      </x:c>
      <x:c r="H389" s="30" t="str">
        <x:v>AeroAgentSim主运行时</x:v>
      </x:c>
      <x:c r="I389" s="30" t="str">
        <x:v>公开实验条件可配置；seed/真值是否公开由协议决定</x:v>
      </x:c>
      <x:c r="J389" s="30" t="str">
        <x:v>A001；A002；A003；A050；A060；A066</x:v>
      </x:c>
      <x:c r="K389" s="30" t="str">
        <x:v>初始化/配置或相应状态所有者；不是任意Agent写入</x:v>
      </x:c>
      <x:c r="L389" s="30" t="n">
        <x:v>39</x:v>
      </x:c>
      <x:c r="M389" s="30" t="str">
        <x:v>S19；S24；S25</x:v>
      </x:c>
      <x:c r="N389" s="30" t="str">
        <x:v>https://design.ros2.org/articles/actions.html</x:v>
      </x:c>
    </x:row>
  </x:sheetData>
  <x:mergeCells>
    <x:mergeCell ref="A1:N1"/>
    <x:mergeCell ref="A2:N2"/>
  </x:mergeCells>
  <x:pageMargins left="0.7" right="0.7" top="0.75" bottom="0.75" header="0.3" footer="0.3"/>
  <x:tableParts count="1">
    <x:tablePart xmlns:r="http://schemas.openxmlformats.org/officeDocument/2006/relationships" r:id="R93ad33d49aa540e1"/>
  </x:tableParts>
</x:worksheet>
</file>

<file path=xl/worksheets/sheet12.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44" hidden="0" customWidth="1"/>
    <x:col min="3" max="3" width="36" hidden="0" customWidth="1"/>
    <x:col min="4" max="4" width="65" hidden="0" customWidth="1"/>
    <x:col min="5" max="5" width="62" hidden="0" customWidth="1"/>
    <x:col min="6" max="6" width="55" hidden="0" customWidth="1"/>
  </x:cols>
  <x:sheetData>
    <x:row r="1" ht="33" customHeight="1">
      <x:c r="A1" s="8" t="str">
        <x:v>81条源内分类 → 本项目字段映射</x:v>
      </x:c>
      <x:c r="B1" s="8"/>
      <x:c r="C1" s="8"/>
      <x:c r="D1" s="8"/>
      <x:c r="E1" s="8"/>
      <x:c r="F1" s="8"/>
    </x:row>
    <x:row r="2" ht="34" customHeight="1">
      <x:c r="A2" s="15" t="str">
        <x:v>源内类别保留，不把背景、重复类别或同名异义合并成业务数；官方只定义其数据标签，本项目动作状态为额外建模</x:v>
      </x:c>
      <x:c r="B2" s="15"/>
      <x:c r="C2" s="15"/>
      <x:c r="D2" s="15"/>
      <x:c r="E2" s="15"/>
      <x:c r="F2" s="15"/>
    </x:row>
    <x:row r="3">
      <x:c r="A3" s="4"/>
      <x:c r="B3" s="4"/>
      <x:c r="C3" s="4"/>
      <x:c r="D3" s="4"/>
      <x:c r="E3" s="4"/>
      <x:c r="F3" s="4"/>
    </x:row>
    <x:row r="4" ht="29" customHeight="1">
      <x:c r="A4" s="23" t="str">
        <x:v>来源ID</x:v>
      </x:c>
      <x:c r="B4" s="23" t="str">
        <x:v>原生体系/版本</x:v>
      </x:c>
      <x:c r="C4" s="23" t="str">
        <x:v>原生类别</x:v>
      </x:c>
      <x:c r="D4" s="23" t="str">
        <x:v>映射到本项目</x:v>
      </x:c>
      <x:c r="E4" s="23" t="str">
        <x:v>支持边界</x:v>
      </x:c>
      <x:c r="F4" s="23" t="str">
        <x:v>来源URL</x:v>
      </x:c>
    </x:row>
    <x:row r="5" ht="90" customHeight="1">
      <x:c r="A5" s="30" t="str">
        <x:v>S08</x:v>
      </x:c>
      <x:c r="B5" s="30" t="str">
        <x:v>FloodNet semantic (包含background)</x:v>
      </x:c>
      <x:c r="C5" s="30" t="str">
        <x:v>Background</x:v>
      </x:c>
      <x:c r="D5" s="30" t="str">
        <x:v>entity.kind；Background不创建实体</x:v>
      </x:c>
      <x:c r="E5" s="30" t="str">
        <x:v>原始类别口径保留；本项目字段映射不声称源数据含这些运行状态</x:v>
      </x:c>
      <x:c r="F5" s="30" t="str">
        <x:v>https://github.com/BinaLab/FloodNet-Supervised_v1.0</x:v>
      </x:c>
    </x:row>
    <x:row r="6" ht="90" customHeight="1">
      <x:c r="A6" s="30" t="str">
        <x:v>S08</x:v>
      </x:c>
      <x:c r="B6" s="30" t="str">
        <x:v>FloodNet semantic (包含background)</x:v>
      </x:c>
      <x:c r="C6" s="30" t="str">
        <x:v>Building-flooded</x:v>
      </x:c>
      <x:c r="D6" s="30" t="str">
        <x:v>building.flood_exposure=flooded</x:v>
      </x:c>
      <x:c r="E6" s="30" t="str">
        <x:v>原始类别口径保留；本项目字段映射不声称源数据含这些运行状态</x:v>
      </x:c>
      <x:c r="F6" s="30" t="str">
        <x:v>https://github.com/BinaLab/FloodNet-Supervised_v1.0</x:v>
      </x:c>
    </x:row>
    <x:row r="7" ht="90" customHeight="1">
      <x:c r="A7" s="30" t="str">
        <x:v>S08</x:v>
      </x:c>
      <x:c r="B7" s="30" t="str">
        <x:v>FloodNet semantic (包含background)</x:v>
      </x:c>
      <x:c r="C7" s="30" t="str">
        <x:v>Building-non-flooded</x:v>
      </x:c>
      <x:c r="D7" s="30" t="str">
        <x:v>building.flood_exposure=not_flooded</x:v>
      </x:c>
      <x:c r="E7" s="30" t="str">
        <x:v>原始类别口径保留；本项目字段映射不声称源数据含这些运行状态</x:v>
      </x:c>
      <x:c r="F7" s="30" t="str">
        <x:v>https://github.com/BinaLab/FloodNet-Supervised_v1.0</x:v>
      </x:c>
    </x:row>
    <x:row r="8" ht="90" customHeight="1">
      <x:c r="A8" s="30" t="str">
        <x:v>S08</x:v>
      </x:c>
      <x:c r="B8" s="30" t="str">
        <x:v>FloodNet semantic (包含background)</x:v>
      </x:c>
      <x:c r="C8" s="30" t="str">
        <x:v>Road-flooded</x:v>
      </x:c>
      <x:c r="D8" s="30" t="str">
        <x:v>road.water_depth_m + 外观受淹(数值另建模)</x:v>
      </x:c>
      <x:c r="E8" s="30" t="str">
        <x:v>原始类别口径保留；本项目字段映射不声称源数据含这些运行状态</x:v>
      </x:c>
      <x:c r="F8" s="30" t="str">
        <x:v>https://github.com/BinaLab/FloodNet-Supervised_v1.0</x:v>
      </x:c>
    </x:row>
    <x:row r="9" ht="90" customHeight="1">
      <x:c r="A9" s="30" t="str">
        <x:v>S08</x:v>
      </x:c>
      <x:c r="B9" s="30" t="str">
        <x:v>FloodNet semantic (包含background)</x:v>
      </x:c>
      <x:c r="C9" s="30" t="str">
        <x:v>Road-non-flooded</x:v>
      </x:c>
      <x:c r="D9" s="30" t="str">
        <x:v>road外观未受淹；水深真值另定义</x:v>
      </x:c>
      <x:c r="E9" s="30" t="str">
        <x:v>原始类别口径保留；本项目字段映射不声称源数据含这些运行状态</x:v>
      </x:c>
      <x:c r="F9" s="30" t="str">
        <x:v>https://github.com/BinaLab/FloodNet-Supervised_v1.0</x:v>
      </x:c>
    </x:row>
    <x:row r="10" ht="90" customHeight="1">
      <x:c r="A10" s="30" t="str">
        <x:v>S08</x:v>
      </x:c>
      <x:c r="B10" s="30" t="str">
        <x:v>FloodNet semantic (包含background)</x:v>
      </x:c>
      <x:c r="C10" s="30" t="str">
        <x:v>Water</x:v>
      </x:c>
      <x:c r="D10" s="30" t="str">
        <x:v>entity.kind；Background不创建实体</x:v>
      </x:c>
      <x:c r="E10" s="30" t="str">
        <x:v>原始类别口径保留；本项目字段映射不声称源数据含这些运行状态</x:v>
      </x:c>
      <x:c r="F10" s="30" t="str">
        <x:v>https://github.com/BinaLab/FloodNet-Supervised_v1.0</x:v>
      </x:c>
    </x:row>
    <x:row r="11" ht="90" customHeight="1">
      <x:c r="A11" s="30" t="str">
        <x:v>S08</x:v>
      </x:c>
      <x:c r="B11" s="30" t="str">
        <x:v>FloodNet semantic (包含background)</x:v>
      </x:c>
      <x:c r="C11" s="30" t="str">
        <x:v>Tree</x:v>
      </x:c>
      <x:c r="D11" s="30" t="str">
        <x:v>entity.kind；Background不创建实体</x:v>
      </x:c>
      <x:c r="E11" s="30" t="str">
        <x:v>原始类别口径保留；本项目字段映射不声称源数据含这些运行状态</x:v>
      </x:c>
      <x:c r="F11" s="30" t="str">
        <x:v>https://github.com/BinaLab/FloodNet-Supervised_v1.0</x:v>
      </x:c>
    </x:row>
    <x:row r="12" ht="90" customHeight="1">
      <x:c r="A12" s="30" t="str">
        <x:v>S08</x:v>
      </x:c>
      <x:c r="B12" s="30" t="str">
        <x:v>FloodNet semantic (包含background)</x:v>
      </x:c>
      <x:c r="C12" s="30" t="str">
        <x:v>Vehicle</x:v>
      </x:c>
      <x:c r="D12" s="30" t="str">
        <x:v>entity.kind；Background不创建实体</x:v>
      </x:c>
      <x:c r="E12" s="30" t="str">
        <x:v>原始类别口径保留；本项目字段映射不声称源数据含这些运行状态</x:v>
      </x:c>
      <x:c r="F12" s="30" t="str">
        <x:v>https://github.com/BinaLab/FloodNet-Supervised_v1.0</x:v>
      </x:c>
    </x:row>
    <x:row r="13" ht="90" customHeight="1">
      <x:c r="A13" s="30" t="str">
        <x:v>S08</x:v>
      </x:c>
      <x:c r="B13" s="30" t="str">
        <x:v>FloodNet semantic (包含background)</x:v>
      </x:c>
      <x:c r="C13" s="30" t="str">
        <x:v>Pool</x:v>
      </x:c>
      <x:c r="D13" s="30" t="str">
        <x:v>entity.kind；Background不创建实体</x:v>
      </x:c>
      <x:c r="E13" s="30" t="str">
        <x:v>原始类别口径保留；本项目字段映射不声称源数据含这些运行状态</x:v>
      </x:c>
      <x:c r="F13" s="30" t="str">
        <x:v>https://github.com/BinaLab/FloodNet-Supervised_v1.0</x:v>
      </x:c>
    </x:row>
    <x:row r="14" ht="90" customHeight="1">
      <x:c r="A14" s="30" t="str">
        <x:v>S08</x:v>
      </x:c>
      <x:c r="B14" s="30" t="str">
        <x:v>FloodNet semantic (包含background)</x:v>
      </x:c>
      <x:c r="C14" s="30" t="str">
        <x:v>Grass</x:v>
      </x:c>
      <x:c r="D14" s="30" t="str">
        <x:v>entity.kind；Background不创建实体</x:v>
      </x:c>
      <x:c r="E14" s="30" t="str">
        <x:v>原始类别口径保留；本项目字段映射不声称源数据含这些运行状态</x:v>
      </x:c>
      <x:c r="F14" s="30" t="str">
        <x:v>https://github.com/BinaLab/FloodNet-Supervised_v1.0</x:v>
      </x:c>
    </x:row>
    <x:row r="15" ht="90" customHeight="1">
      <x:c r="A15" s="30" t="str">
        <x:v>S07</x:v>
      </x:c>
      <x:c r="B15" s="30" t="str">
        <x:v>RescueNet semantic (包含background)</x:v>
      </x:c>
      <x:c r="C15" s="30" t="str">
        <x:v>Background</x:v>
      </x:c>
      <x:c r="D15" s="30" t="str">
        <x:v>entity.kind</x:v>
      </x:c>
      <x:c r="E15" s="30" t="str">
        <x:v>原始类别口径保留；本项目字段映射不声称源数据含这些运行状态</x:v>
      </x:c>
      <x:c r="F15" s="30" t="str">
        <x:v>https://github.com/BinaLab/RescueNet-A-High-Resolution-Post-Disaster-UAV-Dataset-for-Semantic-Segmentation</x:v>
      </x:c>
    </x:row>
    <x:row r="16" ht="90" customHeight="1">
      <x:c r="A16" s="30" t="str">
        <x:v>S07</x:v>
      </x:c>
      <x:c r="B16" s="30" t="str">
        <x:v>RescueNet semantic (包含background)</x:v>
      </x:c>
      <x:c r="C16" s="30" t="str">
        <x:v>Water</x:v>
      </x:c>
      <x:c r="D16" s="30" t="str">
        <x:v>entity.kind</x:v>
      </x:c>
      <x:c r="E16" s="30" t="str">
        <x:v>原始类别口径保留；本项目字段映射不声称源数据含这些运行状态</x:v>
      </x:c>
      <x:c r="F16" s="30" t="str">
        <x:v>https://github.com/BinaLab/RescueNet-A-High-Resolution-Post-Disaster-UAV-Dataset-for-Semantic-Segmentation</x:v>
      </x:c>
    </x:row>
    <x:row r="17" ht="90" customHeight="1">
      <x:c r="A17" s="30" t="str">
        <x:v>S07</x:v>
      </x:c>
      <x:c r="B17" s="30" t="str">
        <x:v>RescueNet semantic (包含background)</x:v>
      </x:c>
      <x:c r="C17" s="30" t="str">
        <x:v>Building-No-Damage</x:v>
      </x:c>
      <x:c r="D17" s="30" t="str">
        <x:v>building.visual_damage=none</x:v>
      </x:c>
      <x:c r="E17" s="30" t="str">
        <x:v>原始类别口径保留；本项目字段映射不声称源数据含这些运行状态</x:v>
      </x:c>
      <x:c r="F17" s="30" t="str">
        <x:v>https://github.com/BinaLab/RescueNet-A-High-Resolution-Post-Disaster-UAV-Dataset-for-Semantic-Segmentation</x:v>
      </x:c>
    </x:row>
    <x:row r="18" ht="90" customHeight="1">
      <x:c r="A18" s="30" t="str">
        <x:v>S07</x:v>
      </x:c>
      <x:c r="B18" s="30" t="str">
        <x:v>RescueNet semantic (包含background)</x:v>
      </x:c>
      <x:c r="C18" s="30" t="str">
        <x:v>Building-Minor-Damage</x:v>
      </x:c>
      <x:c r="D18" s="30" t="str">
        <x:v>building.visual_damage=minor</x:v>
      </x:c>
      <x:c r="E18" s="30" t="str">
        <x:v>原始类别口径保留；本项目字段映射不声称源数据含这些运行状态</x:v>
      </x:c>
      <x:c r="F18" s="30" t="str">
        <x:v>https://github.com/BinaLab/RescueNet-A-High-Resolution-Post-Disaster-UAV-Dataset-for-Semantic-Segmentation</x:v>
      </x:c>
    </x:row>
    <x:row r="19" ht="90" customHeight="1">
      <x:c r="A19" s="30" t="str">
        <x:v>S07</x:v>
      </x:c>
      <x:c r="B19" s="30" t="str">
        <x:v>RescueNet semantic (包含background)</x:v>
      </x:c>
      <x:c r="C19" s="30" t="str">
        <x:v>Building-Major-Damage</x:v>
      </x:c>
      <x:c r="D19" s="30" t="str">
        <x:v>building.visual_damage=major</x:v>
      </x:c>
      <x:c r="E19" s="30" t="str">
        <x:v>原始类别口径保留；本项目字段映射不声称源数据含这些运行状态</x:v>
      </x:c>
      <x:c r="F19" s="30" t="str">
        <x:v>https://github.com/BinaLab/RescueNet-A-High-Resolution-Post-Disaster-UAV-Dataset-for-Semantic-Segmentation</x:v>
      </x:c>
    </x:row>
    <x:row r="20" ht="90" customHeight="1">
      <x:c r="A20" s="30" t="str">
        <x:v>S07</x:v>
      </x:c>
      <x:c r="B20" s="30" t="str">
        <x:v>RescueNet semantic (包含background)</x:v>
      </x:c>
      <x:c r="C20" s="30" t="str">
        <x:v>Building-Total-Destruction</x:v>
      </x:c>
      <x:c r="D20" s="30" t="str">
        <x:v>building.visual_damage=destroyed</x:v>
      </x:c>
      <x:c r="E20" s="30" t="str">
        <x:v>原始类别口径保留；本项目字段映射不声称源数据含这些运行状态</x:v>
      </x:c>
      <x:c r="F20" s="30" t="str">
        <x:v>https://github.com/BinaLab/RescueNet-A-High-Resolution-Post-Disaster-UAV-Dataset-for-Semantic-Segmentation</x:v>
      </x:c>
    </x:row>
    <x:row r="21" ht="90" customHeight="1">
      <x:c r="A21" s="30" t="str">
        <x:v>S07</x:v>
      </x:c>
      <x:c r="B21" s="30" t="str">
        <x:v>RescueNet semantic (包含background)</x:v>
      </x:c>
      <x:c r="C21" s="30" t="str">
        <x:v>Road-Clear</x:v>
      </x:c>
      <x:c r="D21" s="30" t="str">
        <x:v>外观无明显阻挡；road.passability须另算</x:v>
      </x:c>
      <x:c r="E21" s="30" t="str">
        <x:v>原始类别口径保留；本项目字段映射不声称源数据含这些运行状态</x:v>
      </x:c>
      <x:c r="F21" s="30" t="str">
        <x:v>https://github.com/BinaLab/RescueNet-A-High-Resolution-Post-Disaster-UAV-Dataset-for-Semantic-Segmentation</x:v>
      </x:c>
    </x:row>
    <x:row r="22" ht="90" customHeight="1">
      <x:c r="A22" s="30" t="str">
        <x:v>S07</x:v>
      </x:c>
      <x:c r="B22" s="30" t="str">
        <x:v>RescueNet semantic (包含background)</x:v>
      </x:c>
      <x:c r="C22" s="30" t="str">
        <x:v>Road-Blocked</x:v>
      </x:c>
      <x:c r="D22" s="30" t="str">
        <x:v>外观阻塞；road.passability按平台另算</x:v>
      </x:c>
      <x:c r="E22" s="30" t="str">
        <x:v>原始类别口径保留；本项目字段映射不声称源数据含这些运行状态</x:v>
      </x:c>
      <x:c r="F22" s="30" t="str">
        <x:v>https://github.com/BinaLab/RescueNet-A-High-Resolution-Post-Disaster-UAV-Dataset-for-Semantic-Segmentation</x:v>
      </x:c>
    </x:row>
    <x:row r="23" ht="90" customHeight="1">
      <x:c r="A23" s="30" t="str">
        <x:v>S07</x:v>
      </x:c>
      <x:c r="B23" s="30" t="str">
        <x:v>RescueNet semantic (包含background)</x:v>
      </x:c>
      <x:c r="C23" s="30" t="str">
        <x:v>Vehicle</x:v>
      </x:c>
      <x:c r="D23" s="30" t="str">
        <x:v>entity.kind</x:v>
      </x:c>
      <x:c r="E23" s="30" t="str">
        <x:v>原始类别口径保留；本项目字段映射不声称源数据含这些运行状态</x:v>
      </x:c>
      <x:c r="F23" s="30" t="str">
        <x:v>https://github.com/BinaLab/RescueNet-A-High-Resolution-Post-Disaster-UAV-Dataset-for-Semantic-Segmentation</x:v>
      </x:c>
    </x:row>
    <x:row r="24" ht="90" customHeight="1">
      <x:c r="A24" s="30" t="str">
        <x:v>S07</x:v>
      </x:c>
      <x:c r="B24" s="30" t="str">
        <x:v>RescueNet semantic (包含background)</x:v>
      </x:c>
      <x:c r="C24" s="30" t="str">
        <x:v>Tree</x:v>
      </x:c>
      <x:c r="D24" s="30" t="str">
        <x:v>entity.kind</x:v>
      </x:c>
      <x:c r="E24" s="30" t="str">
        <x:v>原始类别口径保留；本项目字段映射不声称源数据含这些运行状态</x:v>
      </x:c>
      <x:c r="F24" s="30" t="str">
        <x:v>https://github.com/BinaLab/RescueNet-A-High-Resolution-Post-Disaster-UAV-Dataset-for-Semantic-Segmentation</x:v>
      </x:c>
    </x:row>
    <x:row r="25" ht="90" customHeight="1">
      <x:c r="A25" s="30" t="str">
        <x:v>S07</x:v>
      </x:c>
      <x:c r="B25" s="30" t="str">
        <x:v>RescueNet semantic (包含background)</x:v>
      </x:c>
      <x:c r="C25" s="30" t="str">
        <x:v>Pool</x:v>
      </x:c>
      <x:c r="D25" s="30" t="str">
        <x:v>entity.kind</x:v>
      </x:c>
      <x:c r="E25" s="30" t="str">
        <x:v>原始类别口径保留；本项目字段映射不声称源数据含这些运行状态</x:v>
      </x:c>
      <x:c r="F25" s="30" t="str">
        <x:v>https://github.com/BinaLab/RescueNet-A-High-Resolution-Post-Disaster-UAV-Dataset-for-Semantic-Segmentation</x:v>
      </x:c>
    </x:row>
    <x:row r="26" ht="90" customHeight="1">
      <x:c r="A26" s="30" t="str">
        <x:v>S09</x:v>
      </x:c>
      <x:c r="B26" s="30" t="str">
        <x:v>xBD 四级损毁</x:v>
      </x:c>
      <x:c r="C26" s="30" t="str">
        <x:v>no-damage</x:v>
      </x:c>
      <x:c r="D26" s="30" t="str">
        <x:v>building.visual_damage；unclassified/背景另按源版本处理</x:v>
      </x:c>
      <x:c r="E26" s="30" t="str">
        <x:v>原始类别口径保留；本项目字段映射不声称源数据含这些运行状态</x:v>
      </x:c>
      <x:c r="F26" s="30" t="str">
        <x:v>https://arxiv.org/abs/1911.09296</x:v>
      </x:c>
    </x:row>
    <x:row r="27" ht="90" customHeight="1">
      <x:c r="A27" s="30" t="str">
        <x:v>S09</x:v>
      </x:c>
      <x:c r="B27" s="30" t="str">
        <x:v>xBD 四级损毁</x:v>
      </x:c>
      <x:c r="C27" s="30" t="str">
        <x:v>minor-damage</x:v>
      </x:c>
      <x:c r="D27" s="30" t="str">
        <x:v>building.visual_damage；unclassified/背景另按源版本处理</x:v>
      </x:c>
      <x:c r="E27" s="30" t="str">
        <x:v>原始类别口径保留；本项目字段映射不声称源数据含这些运行状态</x:v>
      </x:c>
      <x:c r="F27" s="30" t="str">
        <x:v>https://arxiv.org/abs/1911.09296</x:v>
      </x:c>
    </x:row>
    <x:row r="28" ht="90" customHeight="1">
      <x:c r="A28" s="30" t="str">
        <x:v>S09</x:v>
      </x:c>
      <x:c r="B28" s="30" t="str">
        <x:v>xBD 四级损毁</x:v>
      </x:c>
      <x:c r="C28" s="30" t="str">
        <x:v>major-damage</x:v>
      </x:c>
      <x:c r="D28" s="30" t="str">
        <x:v>building.visual_damage；unclassified/背景另按源版本处理</x:v>
      </x:c>
      <x:c r="E28" s="30" t="str">
        <x:v>原始类别口径保留；本项目字段映射不声称源数据含这些运行状态</x:v>
      </x:c>
      <x:c r="F28" s="30" t="str">
        <x:v>https://arxiv.org/abs/1911.09296</x:v>
      </x:c>
    </x:row>
    <x:row r="29" ht="90" customHeight="1">
      <x:c r="A29" s="30" t="str">
        <x:v>S09</x:v>
      </x:c>
      <x:c r="B29" s="30" t="str">
        <x:v>xBD 四级损毁</x:v>
      </x:c>
      <x:c r="C29" s="30" t="str">
        <x:v>destroyed</x:v>
      </x:c>
      <x:c r="D29" s="30" t="str">
        <x:v>building.visual_damage；unclassified/背景另按源版本处理</x:v>
      </x:c>
      <x:c r="E29" s="30" t="str">
        <x:v>原始类别口径保留；本项目字段映射不声称源数据含这些运行状态</x:v>
      </x:c>
      <x:c r="F29" s="30" t="str">
        <x:v>https://arxiv.org/abs/1911.09296</x:v>
      </x:c>
    </x:row>
    <x:row r="30" ht="90" customHeight="1">
      <x:c r="A30" s="30" t="str">
        <x:v>S04</x:v>
      </x:c>
      <x:c r="B30" s="30" t="str">
        <x:v>SubT final artifact types</x:v>
      </x:c>
      <x:c r="C30" s="30" t="str">
        <x:v>survivor</x:v>
      </x:c>
      <x:c r="D30" s="30" t="str">
        <x:v>cue.kind / human场景道具；仅搜索定位报告，不赋予对应物品使用能力</x:v>
      </x:c>
      <x:c r="E30" s="30" t="str">
        <x:v>原始类别口径保留；本项目字段映射不声称源数据含这些运行状态</x:v>
      </x:c>
      <x:c r="F30" s="30" t="str">
        <x:v>https://www.darpa.mil/research/programs/darpa-subterranean-challenge</x:v>
      </x:c>
    </x:row>
    <x:row r="31" ht="90" customHeight="1">
      <x:c r="A31" s="30" t="str">
        <x:v>S04</x:v>
      </x:c>
      <x:c r="B31" s="30" t="str">
        <x:v>SubT final artifact types</x:v>
      </x:c>
      <x:c r="C31" s="30" t="str">
        <x:v>cell_phone</x:v>
      </x:c>
      <x:c r="D31" s="30" t="str">
        <x:v>cue.kind / human场景道具；仅搜索定位报告，不赋予对应物品使用能力</x:v>
      </x:c>
      <x:c r="E31" s="30" t="str">
        <x:v>原始类别口径保留；本项目字段映射不声称源数据含这些运行状态</x:v>
      </x:c>
      <x:c r="F31" s="30" t="str">
        <x:v>https://www.darpa.mil/research/programs/darpa-subterranean-challenge</x:v>
      </x:c>
    </x:row>
    <x:row r="32" ht="90" customHeight="1">
      <x:c r="A32" s="30" t="str">
        <x:v>S04</x:v>
      </x:c>
      <x:c r="B32" s="30" t="str">
        <x:v>SubT final artifact types</x:v>
      </x:c>
      <x:c r="C32" s="30" t="str">
        <x:v>backpack</x:v>
      </x:c>
      <x:c r="D32" s="30" t="str">
        <x:v>cue.kind / human场景道具；仅搜索定位报告，不赋予对应物品使用能力</x:v>
      </x:c>
      <x:c r="E32" s="30" t="str">
        <x:v>原始类别口径保留；本项目字段映射不声称源数据含这些运行状态</x:v>
      </x:c>
      <x:c r="F32" s="30" t="str">
        <x:v>https://www.darpa.mil/research/programs/darpa-subterranean-challenge</x:v>
      </x:c>
    </x:row>
    <x:row r="33" ht="90" customHeight="1">
      <x:c r="A33" s="30" t="str">
        <x:v>S04</x:v>
      </x:c>
      <x:c r="B33" s="30" t="str">
        <x:v>SubT final artifact types</x:v>
      </x:c>
      <x:c r="C33" s="30" t="str">
        <x:v>drill</x:v>
      </x:c>
      <x:c r="D33" s="30" t="str">
        <x:v>cue.kind / human场景道具；仅搜索定位报告，不赋予对应物品使用能力</x:v>
      </x:c>
      <x:c r="E33" s="30" t="str">
        <x:v>原始类别口径保留；本项目字段映射不声称源数据含这些运行状态</x:v>
      </x:c>
      <x:c r="F33" s="30" t="str">
        <x:v>https://www.darpa.mil/research/programs/darpa-subterranean-challenge</x:v>
      </x:c>
    </x:row>
    <x:row r="34" ht="90" customHeight="1">
      <x:c r="A34" s="30" t="str">
        <x:v>S04</x:v>
      </x:c>
      <x:c r="B34" s="30" t="str">
        <x:v>SubT final artifact types</x:v>
      </x:c>
      <x:c r="C34" s="30" t="str">
        <x:v>fire_extinguisher</x:v>
      </x:c>
      <x:c r="D34" s="30" t="str">
        <x:v>cue.kind / human场景道具；仅搜索定位报告，不赋予对应物品使用能力</x:v>
      </x:c>
      <x:c r="E34" s="30" t="str">
        <x:v>原始类别口径保留；本项目字段映射不声称源数据含这些运行状态</x:v>
      </x:c>
      <x:c r="F34" s="30" t="str">
        <x:v>https://www.darpa.mil/research/programs/darpa-subterranean-challenge</x:v>
      </x:c>
    </x:row>
    <x:row r="35" ht="90" customHeight="1">
      <x:c r="A35" s="30" t="str">
        <x:v>S04</x:v>
      </x:c>
      <x:c r="B35" s="30" t="str">
        <x:v>SubT final artifact types</x:v>
      </x:c>
      <x:c r="C35" s="30" t="str">
        <x:v>vent</x:v>
      </x:c>
      <x:c r="D35" s="30" t="str">
        <x:v>cue.kind / human场景道具；仅搜索定位报告，不赋予对应物品使用能力</x:v>
      </x:c>
      <x:c r="E35" s="30" t="str">
        <x:v>原始类别口径保留；本项目字段映射不声称源数据含这些运行状态</x:v>
      </x:c>
      <x:c r="F35" s="30" t="str">
        <x:v>https://www.darpa.mil/research/programs/darpa-subterranean-challenge</x:v>
      </x:c>
    </x:row>
    <x:row r="36" ht="90" customHeight="1">
      <x:c r="A36" s="30" t="str">
        <x:v>S04</x:v>
      </x:c>
      <x:c r="B36" s="30" t="str">
        <x:v>SubT final artifact types</x:v>
      </x:c>
      <x:c r="C36" s="30" t="str">
        <x:v>gas</x:v>
      </x:c>
      <x:c r="D36" s="30" t="str">
        <x:v>cue.kind / human场景道具；仅搜索定位报告，不赋予对应物品使用能力</x:v>
      </x:c>
      <x:c r="E36" s="30" t="str">
        <x:v>原始类别口径保留；本项目字段映射不声称源数据含这些运行状态</x:v>
      </x:c>
      <x:c r="F36" s="30" t="str">
        <x:v>https://www.darpa.mil/research/programs/darpa-subterranean-challenge</x:v>
      </x:c>
    </x:row>
    <x:row r="37" ht="90" customHeight="1">
      <x:c r="A37" s="30" t="str">
        <x:v>S04</x:v>
      </x:c>
      <x:c r="B37" s="30" t="str">
        <x:v>SubT final artifact types</x:v>
      </x:c>
      <x:c r="C37" s="30" t="str">
        <x:v>helmet</x:v>
      </x:c>
      <x:c r="D37" s="30" t="str">
        <x:v>cue.kind / human场景道具；仅搜索定位报告，不赋予对应物品使用能力</x:v>
      </x:c>
      <x:c r="E37" s="30" t="str">
        <x:v>原始类别口径保留；本项目字段映射不声称源数据含这些运行状态</x:v>
      </x:c>
      <x:c r="F37" s="30" t="str">
        <x:v>https://www.darpa.mil/research/programs/darpa-subterranean-challenge</x:v>
      </x:c>
    </x:row>
    <x:row r="38" ht="90" customHeight="1">
      <x:c r="A38" s="30" t="str">
        <x:v>S04</x:v>
      </x:c>
      <x:c r="B38" s="30" t="str">
        <x:v>SubT final artifact types</x:v>
      </x:c>
      <x:c r="C38" s="30" t="str">
        <x:v>rope</x:v>
      </x:c>
      <x:c r="D38" s="30" t="str">
        <x:v>cue.kind / human场景道具；仅搜索定位报告，不赋予对应物品使用能力</x:v>
      </x:c>
      <x:c r="E38" s="30" t="str">
        <x:v>原始类别口径保留；本项目字段映射不声称源数据含这些运行状态</x:v>
      </x:c>
      <x:c r="F38" s="30" t="str">
        <x:v>https://www.darpa.mil/research/programs/darpa-subterranean-challenge</x:v>
      </x:c>
    </x:row>
    <x:row r="39" ht="90" customHeight="1">
      <x:c r="A39" s="30" t="str">
        <x:v>S04</x:v>
      </x:c>
      <x:c r="B39" s="30" t="str">
        <x:v>SubT final artifact types</x:v>
      </x:c>
      <x:c r="C39" s="30" t="str">
        <x:v>cube</x:v>
      </x:c>
      <x:c r="D39" s="30" t="str">
        <x:v>cue.kind / human场景道具；仅搜索定位报告，不赋予对应物品使用能力</x:v>
      </x:c>
      <x:c r="E39" s="30" t="str">
        <x:v>原始类别口径保留；本项目字段映射不声称源数据含这些运行状态</x:v>
      </x:c>
      <x:c r="F39" s="30" t="str">
        <x:v>https://www.darpa.mil/research/programs/darpa-subterranean-challenge</x:v>
      </x:c>
    </x:row>
    <x:row r="40" ht="90" customHeight="1">
      <x:c r="A40" s="30" t="str">
        <x:v>S26</x:v>
      </x:c>
      <x:c r="B40" s="30" t="str">
        <x:v>ESAR ordinary cue + fire namespaces</x:v>
      </x:c>
      <x:c r="C40" s="30" t="str">
        <x:v>Backpack</x:v>
      </x:c>
      <x:c r="D40" s="30" t="str">
        <x:v>cue.kind；source_local_id=(map,namespace,id)</x:v>
      </x:c>
      <x:c r="E40" s="30" t="str">
        <x:v>原始类别口径保留；本项目字段映射不声称源数据含这些运行状态</x:v>
      </x:c>
      <x:c r="F40" s="30" t="str">
        <x:v>https://raw.githubusercontent.com/4amGodvzx/ESAR/main/data/cue_list.json</x:v>
      </x:c>
    </x:row>
    <x:row r="41" ht="90" customHeight="1">
      <x:c r="A41" s="30" t="str">
        <x:v>S26</x:v>
      </x:c>
      <x:c r="B41" s="30" t="str">
        <x:v>ESAR ordinary cue + fire namespaces</x:v>
      </x:c>
      <x:c r="C41" s="30" t="str">
        <x:v>Bottle</x:v>
      </x:c>
      <x:c r="D41" s="30" t="str">
        <x:v>cue.kind；source_local_id=(map,namespace,id)</x:v>
      </x:c>
      <x:c r="E41" s="30" t="str">
        <x:v>原始类别口径保留；本项目字段映射不声称源数据含这些运行状态</x:v>
      </x:c>
      <x:c r="F41" s="30" t="str">
        <x:v>https://raw.githubusercontent.com/4amGodvzx/ESAR/main/data/cue_list.json</x:v>
      </x:c>
    </x:row>
    <x:row r="42" ht="90" customHeight="1">
      <x:c r="A42" s="30" t="str">
        <x:v>S26</x:v>
      </x:c>
      <x:c r="B42" s="30" t="str">
        <x:v>ESAR ordinary cue + fire namespaces</x:v>
      </x:c>
      <x:c r="C42" s="30" t="str">
        <x:v>Campfire</x:v>
      </x:c>
      <x:c r="D42" s="30" t="str">
        <x:v>cue.kind；source_local_id=(map,namespace,id)</x:v>
      </x:c>
      <x:c r="E42" s="30" t="str">
        <x:v>原始类别口径保留；本项目字段映射不声称源数据含这些运行状态</x:v>
      </x:c>
      <x:c r="F42" s="30" t="str">
        <x:v>https://raw.githubusercontent.com/4amGodvzx/ESAR/main/data/cue_list.json</x:v>
      </x:c>
    </x:row>
    <x:row r="43" ht="90" customHeight="1">
      <x:c r="A43" s="30" t="str">
        <x:v>S26</x:v>
      </x:c>
      <x:c r="B43" s="30" t="str">
        <x:v>ESAR ordinary cue + fire namespaces</x:v>
      </x:c>
      <x:c r="C43" s="30" t="str">
        <x:v>Flashlight</x:v>
      </x:c>
      <x:c r="D43" s="30" t="str">
        <x:v>cue.kind；source_local_id=(map,namespace,id)</x:v>
      </x:c>
      <x:c r="E43" s="30" t="str">
        <x:v>原始类别口径保留；本项目字段映射不声称源数据含这些运行状态</x:v>
      </x:c>
      <x:c r="F43" s="30" t="str">
        <x:v>https://raw.githubusercontent.com/4amGodvzx/ESAR/main/data/cue_list.json</x:v>
      </x:c>
    </x:row>
    <x:row r="44" ht="90" customHeight="1">
      <x:c r="A44" s="30" t="str">
        <x:v>S26</x:v>
      </x:c>
      <x:c r="B44" s="30" t="str">
        <x:v>ESAR ordinary cue + fire namespaces</x:v>
      </x:c>
      <x:c r="C44" s="30" t="str">
        <x:v>Jacket</x:v>
      </x:c>
      <x:c r="D44" s="30" t="str">
        <x:v>cue.kind；source_local_id=(map,namespace,id)</x:v>
      </x:c>
      <x:c r="E44" s="30" t="str">
        <x:v>原始类别口径保留；本项目字段映射不声称源数据含这些运行状态</x:v>
      </x:c>
      <x:c r="F44" s="30" t="str">
        <x:v>https://raw.githubusercontent.com/4amGodvzx/ESAR/main/data/cue_list.json</x:v>
      </x:c>
    </x:row>
    <x:row r="45" ht="90" customHeight="1">
      <x:c r="A45" s="30" t="str">
        <x:v>S26</x:v>
      </x:c>
      <x:c r="B45" s="30" t="str">
        <x:v>ESAR ordinary cue + fire namespaces</x:v>
      </x:c>
      <x:c r="C45" s="30" t="str">
        <x:v>PlasticBag</x:v>
      </x:c>
      <x:c r="D45" s="30" t="str">
        <x:v>cue.kind；source_local_id=(map,namespace,id)</x:v>
      </x:c>
      <x:c r="E45" s="30" t="str">
        <x:v>原始类别口径保留；本项目字段映射不声称源数据含这些运行状态</x:v>
      </x:c>
      <x:c r="F45" s="30" t="str">
        <x:v>https://raw.githubusercontent.com/4amGodvzx/ESAR/main/data/cue_list.json</x:v>
      </x:c>
    </x:row>
    <x:row r="46" ht="90" customHeight="1">
      <x:c r="A46" s="30" t="str">
        <x:v>S26</x:v>
      </x:c>
      <x:c r="B46" s="30" t="str">
        <x:v>ESAR ordinary cue + fire namespaces</x:v>
      </x:c>
      <x:c r="C46" s="30" t="str">
        <x:v>Powerbank</x:v>
      </x:c>
      <x:c r="D46" s="30" t="str">
        <x:v>cue.kind；source_local_id=(map,namespace,id)</x:v>
      </x:c>
      <x:c r="E46" s="30" t="str">
        <x:v>原始类别口径保留；本项目字段映射不声称源数据含这些运行状态</x:v>
      </x:c>
      <x:c r="F46" s="30" t="str">
        <x:v>https://raw.githubusercontent.com/4amGodvzx/ESAR/main/data/cue_list.json</x:v>
      </x:c>
    </x:row>
    <x:row r="47" ht="90" customHeight="1">
      <x:c r="A47" s="30" t="str">
        <x:v>S26</x:v>
      </x:c>
      <x:c r="B47" s="30" t="str">
        <x:v>ESAR ordinary cue + fire namespaces</x:v>
      </x:c>
      <x:c r="C47" s="30" t="str">
        <x:v>Shoe</x:v>
      </x:c>
      <x:c r="D47" s="30" t="str">
        <x:v>cue.kind；source_local_id=(map,namespace,id)</x:v>
      </x:c>
      <x:c r="E47" s="30" t="str">
        <x:v>原始类别口径保留；本项目字段映射不声称源数据含这些运行状态</x:v>
      </x:c>
      <x:c r="F47" s="30" t="str">
        <x:v>https://raw.githubusercontent.com/4amGodvzx/ESAR/main/data/cue_list.json</x:v>
      </x:c>
    </x:row>
    <x:row r="48" ht="90" customHeight="1">
      <x:c r="A48" s="30" t="str">
        <x:v>S26</x:v>
      </x:c>
      <x:c r="B48" s="30" t="str">
        <x:v>ESAR ordinary cue + fire namespaces</x:v>
      </x:c>
      <x:c r="C48" s="30" t="str">
        <x:v>SleepingBag</x:v>
      </x:c>
      <x:c r="D48" s="30" t="str">
        <x:v>cue.kind；source_local_id=(map,namespace,id)</x:v>
      </x:c>
      <x:c r="E48" s="30" t="str">
        <x:v>原始类别口径保留；本项目字段映射不声称源数据含这些运行状态</x:v>
      </x:c>
      <x:c r="F48" s="30" t="str">
        <x:v>https://raw.githubusercontent.com/4amGodvzx/ESAR/main/data/cue_list.json</x:v>
      </x:c>
    </x:row>
    <x:row r="49" ht="90" customHeight="1">
      <x:c r="A49" s="30" t="str">
        <x:v>S26</x:v>
      </x:c>
      <x:c r="B49" s="30" t="str">
        <x:v>ESAR ordinary cue + fire namespaces</x:v>
      </x:c>
      <x:c r="C49" s="30" t="str">
        <x:v>Tent</x:v>
      </x:c>
      <x:c r="D49" s="30" t="str">
        <x:v>cue.kind；source_local_id=(map,namespace,id)</x:v>
      </x:c>
      <x:c r="E49" s="30" t="str">
        <x:v>原始类别口径保留；本项目字段映射不声称源数据含这些运行状态</x:v>
      </x:c>
      <x:c r="F49" s="30" t="str">
        <x:v>https://raw.githubusercontent.com/4amGodvzx/ESAR/main/data/cue_list.json</x:v>
      </x:c>
    </x:row>
    <x:row r="50" ht="90" customHeight="1">
      <x:c r="A50" s="30" t="str">
        <x:v>S26</x:v>
      </x:c>
      <x:c r="B50" s="30" t="str">
        <x:v>ESAR ordinary cue + fire namespaces</x:v>
      </x:c>
      <x:c r="C50" s="30" t="str">
        <x:v>Fire</x:v>
      </x:c>
      <x:c r="D50" s="30" t="str">
        <x:v>cue.kind；source_local_id=(map,namespace,id)</x:v>
      </x:c>
      <x:c r="E50" s="30" t="str">
        <x:v>原始类别口径保留；本项目字段映射不声称源数据含这些运行状态</x:v>
      </x:c>
      <x:c r="F50" s="30" t="str">
        <x:v>https://raw.githubusercontent.com/4amGodvzx/ESAR/main/data/cue_list.json</x:v>
      </x:c>
    </x:row>
    <x:row r="51" ht="90" customHeight="1">
      <x:c r="A51" s="30" t="str">
        <x:v>S26</x:v>
      </x:c>
      <x:c r="B51" s="30" t="str">
        <x:v>ESAR ordinary cue + fire namespaces</x:v>
      </x:c>
      <x:c r="C51" s="30" t="str">
        <x:v>Flare</x:v>
      </x:c>
      <x:c r="D51" s="30" t="str">
        <x:v>cue.kind；source_local_id=(map,namespace,id)</x:v>
      </x:c>
      <x:c r="E51" s="30" t="str">
        <x:v>原始类别口径保留；本项目字段映射不声称源数据含这些运行状态</x:v>
      </x:c>
      <x:c r="F51" s="30" t="str">
        <x:v>https://raw.githubusercontent.com/4amGodvzx/ESAR/main/data/cue_list.json</x:v>
      </x:c>
    </x:row>
    <x:row r="52" ht="90" customHeight="1">
      <x:c r="A52" s="30" t="str">
        <x:v>S05</x:v>
      </x:c>
      <x:c r="B52" s="30" t="str">
        <x:v>ESAR Weather ID0–12</x:v>
      </x:c>
      <x:c r="C52" s="30" t="str">
        <x:v>Clear Sky</x:v>
      </x:c>
      <x:c r="D52" s="30" t="str">
        <x:v>hazard.weather；天气是变体，不是13种新增救援业务</x:v>
      </x:c>
      <x:c r="E52" s="30" t="str">
        <x:v>原始类别口径保留；本项目字段映射不声称源数据含这些运行状态</x:v>
      </x:c>
      <x:c r="F52" s="30" t="str">
        <x:v>https://4amgodvzx.github.io/ESAR.github.io/</x:v>
      </x:c>
    </x:row>
    <x:row r="53" ht="90" customHeight="1">
      <x:c r="A53" s="30" t="str">
        <x:v>S05</x:v>
      </x:c>
      <x:c r="B53" s="30" t="str">
        <x:v>ESAR Weather ID0–12</x:v>
      </x:c>
      <x:c r="C53" s="30" t="str">
        <x:v>Cloudy</x:v>
      </x:c>
      <x:c r="D53" s="30" t="str">
        <x:v>hazard.weather；天气是变体，不是13种新增救援业务</x:v>
      </x:c>
      <x:c r="E53" s="30" t="str">
        <x:v>原始类别口径保留；本项目字段映射不声称源数据含这些运行状态</x:v>
      </x:c>
      <x:c r="F53" s="30" t="str">
        <x:v>https://4amgodvzx.github.io/ESAR.github.io/</x:v>
      </x:c>
    </x:row>
    <x:row r="54" ht="90" customHeight="1">
      <x:c r="A54" s="30" t="str">
        <x:v>S05</x:v>
      </x:c>
      <x:c r="B54" s="30" t="str">
        <x:v>ESAR Weather ID0–12</x:v>
      </x:c>
      <x:c r="C54" s="30" t="str">
        <x:v>Foggy</x:v>
      </x:c>
      <x:c r="D54" s="30" t="str">
        <x:v>hazard.weather；天气是变体，不是13种新增救援业务</x:v>
      </x:c>
      <x:c r="E54" s="30" t="str">
        <x:v>原始类别口径保留；本项目字段映射不声称源数据含这些运行状态</x:v>
      </x:c>
      <x:c r="F54" s="30" t="str">
        <x:v>https://4amgodvzx.github.io/ESAR.github.io/</x:v>
      </x:c>
    </x:row>
    <x:row r="55" ht="90" customHeight="1">
      <x:c r="A55" s="30" t="str">
        <x:v>S05</x:v>
      </x:c>
      <x:c r="B55" s="30" t="str">
        <x:v>ESAR Weather ID0–12</x:v>
      </x:c>
      <x:c r="C55" s="30" t="str">
        <x:v>Partly Cloudy</x:v>
      </x:c>
      <x:c r="D55" s="30" t="str">
        <x:v>hazard.weather；天气是变体，不是13种新增救援业务</x:v>
      </x:c>
      <x:c r="E55" s="30" t="str">
        <x:v>原始类别口径保留；本项目字段映射不声称源数据含这些运行状态</x:v>
      </x:c>
      <x:c r="F55" s="30" t="str">
        <x:v>https://4amgodvzx.github.io/ESAR.github.io/</x:v>
      </x:c>
    </x:row>
    <x:row r="56" ht="90" customHeight="1">
      <x:c r="A56" s="30" t="str">
        <x:v>S05</x:v>
      </x:c>
      <x:c r="B56" s="30" t="str">
        <x:v>ESAR Weather ID0–12</x:v>
      </x:c>
      <x:c r="C56" s="30" t="str">
        <x:v>Overcast</x:v>
      </x:c>
      <x:c r="D56" s="30" t="str">
        <x:v>hazard.weather；天气是变体，不是13种新增救援业务</x:v>
      </x:c>
      <x:c r="E56" s="30" t="str">
        <x:v>原始类别口径保留；本项目字段映射不声称源数据含这些运行状态</x:v>
      </x:c>
      <x:c r="F56" s="30" t="str">
        <x:v>https://4amgodvzx.github.io/ESAR.github.io/</x:v>
      </x:c>
    </x:row>
    <x:row r="57" ht="90" customHeight="1">
      <x:c r="A57" s="30" t="str">
        <x:v>S05</x:v>
      </x:c>
      <x:c r="B57" s="30" t="str">
        <x:v>ESAR Weather ID0–12</x:v>
      </x:c>
      <x:c r="C57" s="30" t="str">
        <x:v>Rain</x:v>
      </x:c>
      <x:c r="D57" s="30" t="str">
        <x:v>hazard.weather；天气是变体，不是13种新增救援业务</x:v>
      </x:c>
      <x:c r="E57" s="30" t="str">
        <x:v>原始类别口径保留；本项目字段映射不声称源数据含这些运行状态</x:v>
      </x:c>
      <x:c r="F57" s="30" t="str">
        <x:v>https://4amgodvzx.github.io/ESAR.github.io/</x:v>
      </x:c>
    </x:row>
    <x:row r="58" ht="90" customHeight="1">
      <x:c r="A58" s="30" t="str">
        <x:v>S05</x:v>
      </x:c>
      <x:c r="B58" s="30" t="str">
        <x:v>ESAR Weather ID0–12</x:v>
      </x:c>
      <x:c r="C58" s="30" t="str">
        <x:v>Rain Storm</x:v>
      </x:c>
      <x:c r="D58" s="30" t="str">
        <x:v>hazard.weather；天气是变体，不是13种新增救援业务</x:v>
      </x:c>
      <x:c r="E58" s="30" t="str">
        <x:v>原始类别口径保留；本项目字段映射不声称源数据含这些运行状态</x:v>
      </x:c>
      <x:c r="F58" s="30" t="str">
        <x:v>https://4amgodvzx.github.io/ESAR.github.io/</x:v>
      </x:c>
    </x:row>
    <x:row r="59" ht="90" customHeight="1">
      <x:c r="A59" s="30" t="str">
        <x:v>S05</x:v>
      </x:c>
      <x:c r="B59" s="30" t="str">
        <x:v>ESAR Weather ID0–12</x:v>
      </x:c>
      <x:c r="C59" s="30" t="str">
        <x:v>Rain Light</x:v>
      </x:c>
      <x:c r="D59" s="30" t="str">
        <x:v>hazard.weather；天气是变体，不是13种新增救援业务</x:v>
      </x:c>
      <x:c r="E59" s="30" t="str">
        <x:v>原始类别口径保留；本项目字段映射不声称源数据含这些运行状态</x:v>
      </x:c>
      <x:c r="F59" s="30" t="str">
        <x:v>https://4amgodvzx.github.io/ESAR.github.io/</x:v>
      </x:c>
    </x:row>
    <x:row r="60" ht="90" customHeight="1">
      <x:c r="A60" s="30" t="str">
        <x:v>S05</x:v>
      </x:c>
      <x:c r="B60" s="30" t="str">
        <x:v>ESAR Weather ID0–12</x:v>
      </x:c>
      <x:c r="C60" s="30" t="str">
        <x:v>Sandstorm</x:v>
      </x:c>
      <x:c r="D60" s="30" t="str">
        <x:v>hazard.weather；天气是变体，不是13种新增救援业务</x:v>
      </x:c>
      <x:c r="E60" s="30" t="str">
        <x:v>原始类别口径保留；本项目字段映射不声称源数据含这些运行状态</x:v>
      </x:c>
      <x:c r="F60" s="30" t="str">
        <x:v>https://4amgodvzx.github.io/ESAR.github.io/</x:v>
      </x:c>
    </x:row>
    <x:row r="61" ht="90" customHeight="1">
      <x:c r="A61" s="30" t="str">
        <x:v>S05</x:v>
      </x:c>
      <x:c r="B61" s="30" t="str">
        <x:v>ESAR Weather ID0–12</x:v>
      </x:c>
      <x:c r="C61" s="30" t="str">
        <x:v>Sandstorm Calm</x:v>
      </x:c>
      <x:c r="D61" s="30" t="str">
        <x:v>hazard.weather；天气是变体，不是13种新增救援业务</x:v>
      </x:c>
      <x:c r="E61" s="30" t="str">
        <x:v>原始类别口径保留；本项目字段映射不声称源数据含这些运行状态</x:v>
      </x:c>
      <x:c r="F61" s="30" t="str">
        <x:v>https://4amgodvzx.github.io/ESAR.github.io/</x:v>
      </x:c>
    </x:row>
    <x:row r="62" ht="90" customHeight="1">
      <x:c r="A62" s="30" t="str">
        <x:v>S05</x:v>
      </x:c>
      <x:c r="B62" s="30" t="str">
        <x:v>ESAR Weather ID0–12</x:v>
      </x:c>
      <x:c r="C62" s="30" t="str">
        <x:v>Snow</x:v>
      </x:c>
      <x:c r="D62" s="30" t="str">
        <x:v>hazard.weather；天气是变体，不是13种新增救援业务</x:v>
      </x:c>
      <x:c r="E62" s="30" t="str">
        <x:v>原始类别口径保留；本项目字段映射不声称源数据含这些运行状态</x:v>
      </x:c>
      <x:c r="F62" s="30" t="str">
        <x:v>https://4amgodvzx.github.io/ESAR.github.io/</x:v>
      </x:c>
    </x:row>
    <x:row r="63" ht="90" customHeight="1">
      <x:c r="A63" s="30" t="str">
        <x:v>S05</x:v>
      </x:c>
      <x:c r="B63" s="30" t="str">
        <x:v>ESAR Weather ID0–12</x:v>
      </x:c>
      <x:c r="C63" s="30" t="str">
        <x:v>Snow Storm</x:v>
      </x:c>
      <x:c r="D63" s="30" t="str">
        <x:v>hazard.weather；天气是变体，不是13种新增救援业务</x:v>
      </x:c>
      <x:c r="E63" s="30" t="str">
        <x:v>原始类别口径保留；本项目字段映射不声称源数据含这些运行状态</x:v>
      </x:c>
      <x:c r="F63" s="30" t="str">
        <x:v>https://4amgodvzx.github.io/ESAR.github.io/</x:v>
      </x:c>
    </x:row>
    <x:row r="64" ht="90" customHeight="1">
      <x:c r="A64" s="30" t="str">
        <x:v>S05</x:v>
      </x:c>
      <x:c r="B64" s="30" t="str">
        <x:v>ESAR Weather ID0–12</x:v>
      </x:c>
      <x:c r="C64" s="30" t="str">
        <x:v>Snow Light</x:v>
      </x:c>
      <x:c r="D64" s="30" t="str">
        <x:v>hazard.weather；天气是变体，不是13种新增救援业务</x:v>
      </x:c>
      <x:c r="E64" s="30" t="str">
        <x:v>原始类别口径保留；本项目字段映射不声称源数据含这些运行状态</x:v>
      </x:c>
      <x:c r="F64" s="30" t="str">
        <x:v>https://4amgodvzx.github.io/ESAR.github.io/</x:v>
      </x:c>
    </x:row>
    <x:row r="65" ht="90" customHeight="1">
      <x:c r="A65" s="30" t="str">
        <x:v>S01</x:v>
      </x:c>
      <x:c r="B65" s="30" t="str">
        <x:v>INSARAG ASR operational level</x:v>
      </x:c>
      <x:c r="C65" s="30" t="str">
        <x:v>ASR1 Wide Area Assessment</x:v>
      </x:c>
      <x:c r="D65" s="30" t="str">
        <x:v>building.worksite_record / task.goal_predicate；不按ASR数直接等同任务数</x:v>
      </x:c>
      <x:c r="E65" s="30" t="str">
        <x:v>原始类别口径保留；本项目字段映射不声称源数据含这些运行状态</x:v>
      </x:c>
      <x:c r="F65" s="30" t="str">
        <x:v>https://insarag.org/wp-content/uploads/2021/06/INSARAG20Guidelines20Vol20II2C20Man20B.pdf</x:v>
      </x:c>
    </x:row>
    <x:row r="66" ht="90" customHeight="1">
      <x:c r="A66" s="30" t="str">
        <x:v>S01</x:v>
      </x:c>
      <x:c r="B66" s="30" t="str">
        <x:v>INSARAG ASR operational level</x:v>
      </x:c>
      <x:c r="C66" s="30" t="str">
        <x:v>ASR2 Worksite Triage</x:v>
      </x:c>
      <x:c r="D66" s="30" t="str">
        <x:v>building.worksite_record / task.goal_predicate；不按ASR数直接等同任务数</x:v>
      </x:c>
      <x:c r="E66" s="30" t="str">
        <x:v>原始类别口径保留；本项目字段映射不声称源数据含这些运行状态</x:v>
      </x:c>
      <x:c r="F66" s="30" t="str">
        <x:v>https://insarag.org/wp-content/uploads/2021/06/INSARAG20Guidelines20Vol20II2C20Man20B.pdf</x:v>
      </x:c>
    </x:row>
    <x:row r="67" ht="90" customHeight="1">
      <x:c r="A67" s="30" t="str">
        <x:v>S01</x:v>
      </x:c>
      <x:c r="B67" s="30" t="str">
        <x:v>INSARAG ASR operational level</x:v>
      </x:c>
      <x:c r="C67" s="30" t="str">
        <x:v>ASR3 Rapid Search and Rescue</x:v>
      </x:c>
      <x:c r="D67" s="30" t="str">
        <x:v>building.worksite_record / task.goal_predicate；不按ASR数直接等同任务数</x:v>
      </x:c>
      <x:c r="E67" s="30" t="str">
        <x:v>原始类别口径保留；本项目字段映射不声称源数据含这些运行状态</x:v>
      </x:c>
      <x:c r="F67" s="30" t="str">
        <x:v>https://insarag.org/wp-content/uploads/2021/06/INSARAG20Guidelines20Vol20II2C20Man20B.pdf</x:v>
      </x:c>
    </x:row>
    <x:row r="68" ht="90" customHeight="1">
      <x:c r="A68" s="30" t="str">
        <x:v>S01</x:v>
      </x:c>
      <x:c r="B68" s="30" t="str">
        <x:v>INSARAG ASR operational level</x:v>
      </x:c>
      <x:c r="C68" s="30" t="str">
        <x:v>ASR4 Full Search and Rescue</x:v>
      </x:c>
      <x:c r="D68" s="30" t="str">
        <x:v>building.worksite_record / task.goal_predicate；不按ASR数直接等同任务数</x:v>
      </x:c>
      <x:c r="E68" s="30" t="str">
        <x:v>原始类别口径保留；本项目字段映射不声称源数据含这些运行状态</x:v>
      </x:c>
      <x:c r="F68" s="30" t="str">
        <x:v>https://insarag.org/wp-content/uploads/2021/06/INSARAG20Guidelines20Vol20II2C20Man20B.pdf</x:v>
      </x:c>
    </x:row>
    <x:row r="69" ht="90" customHeight="1">
      <x:c r="A69" s="30" t="str">
        <x:v>S01</x:v>
      </x:c>
      <x:c r="B69" s="30" t="str">
        <x:v>INSARAG ASR operational level</x:v>
      </x:c>
      <x:c r="C69" s="30" t="str">
        <x:v>ASR5 Total Coverage Search and Recovery</x:v>
      </x:c>
      <x:c r="D69" s="30" t="str">
        <x:v>building.worksite_record / task.goal_predicate；不按ASR数直接等同任务数</x:v>
      </x:c>
      <x:c r="E69" s="30" t="str">
        <x:v>原始类别口径保留；本项目字段映射不声称源数据含这些运行状态</x:v>
      </x:c>
      <x:c r="F69" s="30" t="str">
        <x:v>https://insarag.org/wp-content/uploads/2021/06/INSARAG20Guidelines20Vol20II2C20Man20B.pdf</x:v>
      </x:c>
    </x:row>
    <x:row r="70" ht="90" customHeight="1">
      <x:c r="A70" s="30" t="str">
        <x:v>S06</x:v>
      </x:c>
      <x:c r="B70" s="30" t="str">
        <x:v>RescueBench four evaluation stages</x:v>
      </x:c>
      <x:c r="C70" s="30" t="str">
        <x:v>multimodal exploration</x:v>
      </x:c>
      <x:c r="D70" s="30" t="str">
        <x:v>task.goal_predicate + 阶段任务组合；不等同4种灾害</x:v>
      </x:c>
      <x:c r="E70" s="30" t="str">
        <x:v>原始类别口径保留；本项目字段映射不声称源数据含这些运行状态</x:v>
      </x:c>
      <x:c r="F70" s="30" t="str">
        <x:v>https://github.com/UnrealZoo/RescueBench</x:v>
      </x:c>
    </x:row>
    <x:row r="71" ht="90" customHeight="1">
      <x:c r="A71" s="30" t="str">
        <x:v>S06</x:v>
      </x:c>
      <x:c r="B71" s="30" t="str">
        <x:v>RescueBench four evaluation stages</x:v>
      </x:c>
      <x:c r="C71" s="30" t="str">
        <x:v>target rescue</x:v>
      </x:c>
      <x:c r="D71" s="30" t="str">
        <x:v>task.goal_predicate + 阶段任务组合；不等同4种灾害</x:v>
      </x:c>
      <x:c r="E71" s="30" t="str">
        <x:v>原始类别口径保留；本项目字段映射不声称源数据含这些运行状态</x:v>
      </x:c>
      <x:c r="F71" s="30" t="str">
        <x:v>https://github.com/UnrealZoo/RescueBench</x:v>
      </x:c>
    </x:row>
    <x:row r="72" ht="90" customHeight="1">
      <x:c r="A72" s="30" t="str">
        <x:v>S06</x:v>
      </x:c>
      <x:c r="B72" s="30" t="str">
        <x:v>RescueBench four evaluation stages</x:v>
      </x:c>
      <x:c r="C72" s="30" t="str">
        <x:v>memory-guided return</x:v>
      </x:c>
      <x:c r="D72" s="30" t="str">
        <x:v>task.goal_predicate + 阶段任务组合；不等同4种灾害</x:v>
      </x:c>
      <x:c r="E72" s="30" t="str">
        <x:v>原始类别口径保留；本项目字段映射不声称源数据含这些运行状态</x:v>
      </x:c>
      <x:c r="F72" s="30" t="str">
        <x:v>https://github.com/UnrealZoo/RescueBench</x:v>
      </x:c>
    </x:row>
    <x:row r="73" ht="90" customHeight="1">
      <x:c r="A73" s="30" t="str">
        <x:v>S06</x:v>
      </x:c>
      <x:c r="B73" s="30" t="str">
        <x:v>RescueBench four evaluation stages</x:v>
      </x:c>
      <x:c r="C73" s="30" t="str">
        <x:v>final handoff</x:v>
      </x:c>
      <x:c r="D73" s="30" t="str">
        <x:v>task.goal_predicate + 阶段任务组合；不等同4种灾害</x:v>
      </x:c>
      <x:c r="E73" s="30" t="str">
        <x:v>原始类别口径保留；本项目字段映射不声称源数据含这些运行状态</x:v>
      </x:c>
      <x:c r="F73" s="30" t="str">
        <x:v>https://github.com/UnrealZoo/RescueBench</x:v>
      </x:c>
    </x:row>
    <x:row r="74" ht="90" customHeight="1">
      <x:c r="A74" s="30" t="str">
        <x:v>S12</x:v>
      </x:c>
      <x:c r="B74" s="30" t="str">
        <x:v>SeaDronesSee v1 classes</x:v>
      </x:c>
      <x:c r="C74" s="30" t="str">
        <x:v>swimmer</x:v>
      </x:c>
      <x:c r="D74" s="30" t="str">
        <x:v>entity.kind + human.location_context + item.kind；不混用v2</x:v>
      </x:c>
      <x:c r="E74" s="30" t="str">
        <x:v>原始类别口径保留；本项目字段映射不声称源数据含这些运行状态</x:v>
      </x:c>
      <x:c r="F74" s="30" t="str">
        <x:v>https://seadronessee.cs.uni-tuebingen.de/leaderboard</x:v>
      </x:c>
    </x:row>
    <x:row r="75" ht="90" customHeight="1">
      <x:c r="A75" s="30" t="str">
        <x:v>S12</x:v>
      </x:c>
      <x:c r="B75" s="30" t="str">
        <x:v>SeaDronesSee v1 classes</x:v>
      </x:c>
      <x:c r="C75" s="30" t="str">
        <x:v>floater</x:v>
      </x:c>
      <x:c r="D75" s="30" t="str">
        <x:v>entity.kind + human.location_context + item.kind；不混用v2</x:v>
      </x:c>
      <x:c r="E75" s="30" t="str">
        <x:v>原始类别口径保留；本项目字段映射不声称源数据含这些运行状态</x:v>
      </x:c>
      <x:c r="F75" s="30" t="str">
        <x:v>https://seadronessee.cs.uni-tuebingen.de/leaderboard</x:v>
      </x:c>
    </x:row>
    <x:row r="76" ht="90" customHeight="1">
      <x:c r="A76" s="30" t="str">
        <x:v>S12</x:v>
      </x:c>
      <x:c r="B76" s="30" t="str">
        <x:v>SeaDronesSee v1 classes</x:v>
      </x:c>
      <x:c r="C76" s="30" t="str">
        <x:v>boat</x:v>
      </x:c>
      <x:c r="D76" s="30" t="str">
        <x:v>entity.kind + human.location_context + item.kind；不混用v2</x:v>
      </x:c>
      <x:c r="E76" s="30" t="str">
        <x:v>原始类别口径保留；本项目字段映射不声称源数据含这些运行状态</x:v>
      </x:c>
      <x:c r="F76" s="30" t="str">
        <x:v>https://seadronessee.cs.uni-tuebingen.de/leaderboard</x:v>
      </x:c>
    </x:row>
    <x:row r="77" ht="90" customHeight="1">
      <x:c r="A77" s="30" t="str">
        <x:v>S12</x:v>
      </x:c>
      <x:c r="B77" s="30" t="str">
        <x:v>SeaDronesSee v1 classes</x:v>
      </x:c>
      <x:c r="C77" s="30" t="str">
        <x:v>swimmer_on_boat</x:v>
      </x:c>
      <x:c r="D77" s="30" t="str">
        <x:v>entity.kind + human.location_context + item.kind；不混用v2</x:v>
      </x:c>
      <x:c r="E77" s="30" t="str">
        <x:v>原始类别口径保留；本项目字段映射不声称源数据含这些运行状态</x:v>
      </x:c>
      <x:c r="F77" s="30" t="str">
        <x:v>https://seadronessee.cs.uni-tuebingen.de/leaderboard</x:v>
      </x:c>
    </x:row>
    <x:row r="78" ht="90" customHeight="1">
      <x:c r="A78" s="30" t="str">
        <x:v>S12</x:v>
      </x:c>
      <x:c r="B78" s="30" t="str">
        <x:v>SeaDronesSee v1 classes</x:v>
      </x:c>
      <x:c r="C78" s="30" t="str">
        <x:v>floater_on_boat</x:v>
      </x:c>
      <x:c r="D78" s="30" t="str">
        <x:v>entity.kind + human.location_context + item.kind；不混用v2</x:v>
      </x:c>
      <x:c r="E78" s="30" t="str">
        <x:v>原始类别口径保留；本项目字段映射不声称源数据含这些运行状态</x:v>
      </x:c>
      <x:c r="F78" s="30" t="str">
        <x:v>https://seadronessee.cs.uni-tuebingen.de/leaderboard</x:v>
      </x:c>
    </x:row>
    <x:row r="79" ht="90" customHeight="1">
      <x:c r="A79" s="30" t="str">
        <x:v>S12</x:v>
      </x:c>
      <x:c r="B79" s="30" t="str">
        <x:v>SeaDronesSee v1 classes</x:v>
      </x:c>
      <x:c r="C79" s="30" t="str">
        <x:v>life_jacket</x:v>
      </x:c>
      <x:c r="D79" s="30" t="str">
        <x:v>entity.kind + human.location_context + item.kind；不混用v2</x:v>
      </x:c>
      <x:c r="E79" s="30" t="str">
        <x:v>原始类别口径保留；本项目字段映射不声称源数据含这些运行状态</x:v>
      </x:c>
      <x:c r="F79" s="30" t="str">
        <x:v>https://seadronessee.cs.uni-tuebingen.de/leaderboard</x:v>
      </x:c>
    </x:row>
    <x:row r="80" ht="90" customHeight="1">
      <x:c r="A80" s="30" t="str">
        <x:v>S23</x:v>
      </x:c>
      <x:c r="B80" s="30" t="str">
        <x:v>xView2 inherited disaster_type</x:v>
      </x:c>
      <x:c r="C80" s="30" t="str">
        <x:v>volcano</x:v>
      </x:c>
      <x:c r="D80" s="30" t="str">
        <x:v>hazard.kind；由数据原生分类映射到场景</x:v>
      </x:c>
      <x:c r="E80" s="30" t="str">
        <x:v>原始类别口径保留；本项目字段映射不声称源数据含这些运行状态</x:v>
      </x:c>
      <x:c r="F80" s="30" t="str">
        <x:v>https://github.com/prs-eth/xbd-s12/blob/main/DATASET.md</x:v>
      </x:c>
    </x:row>
    <x:row r="81" ht="90" customHeight="1">
      <x:c r="A81" s="30" t="str">
        <x:v>S23</x:v>
      </x:c>
      <x:c r="B81" s="30" t="str">
        <x:v>xView2 inherited disaster_type</x:v>
      </x:c>
      <x:c r="C81" s="30" t="str">
        <x:v>flooding</x:v>
      </x:c>
      <x:c r="D81" s="30" t="str">
        <x:v>hazard.kind；由数据原生分类映射到场景</x:v>
      </x:c>
      <x:c r="E81" s="30" t="str">
        <x:v>原始类别口径保留；本项目字段映射不声称源数据含这些运行状态</x:v>
      </x:c>
      <x:c r="F81" s="30" t="str">
        <x:v>https://github.com/prs-eth/xbd-s12/blob/main/DATASET.md</x:v>
      </x:c>
    </x:row>
    <x:row r="82" ht="90" customHeight="1">
      <x:c r="A82" s="30" t="str">
        <x:v>S23</x:v>
      </x:c>
      <x:c r="B82" s="30" t="str">
        <x:v>xView2 inherited disaster_type</x:v>
      </x:c>
      <x:c r="C82" s="30" t="str">
        <x:v>wind</x:v>
      </x:c>
      <x:c r="D82" s="30" t="str">
        <x:v>hazard.kind；由数据原生分类映射到场景</x:v>
      </x:c>
      <x:c r="E82" s="30" t="str">
        <x:v>原始类别口径保留；本项目字段映射不声称源数据含这些运行状态</x:v>
      </x:c>
      <x:c r="F82" s="30" t="str">
        <x:v>https://github.com/prs-eth/xbd-s12/blob/main/DATASET.md</x:v>
      </x:c>
    </x:row>
    <x:row r="83" ht="90" customHeight="1">
      <x:c r="A83" s="30" t="str">
        <x:v>S23</x:v>
      </x:c>
      <x:c r="B83" s="30" t="str">
        <x:v>xView2 inherited disaster_type</x:v>
      </x:c>
      <x:c r="C83" s="30" t="str">
        <x:v>earthquake</x:v>
      </x:c>
      <x:c r="D83" s="30" t="str">
        <x:v>hazard.kind；由数据原生分类映射到场景</x:v>
      </x:c>
      <x:c r="E83" s="30" t="str">
        <x:v>原始类别口径保留；本项目字段映射不声称源数据含这些运行状态</x:v>
      </x:c>
      <x:c r="F83" s="30" t="str">
        <x:v>https://github.com/prs-eth/xbd-s12/blob/main/DATASET.md</x:v>
      </x:c>
    </x:row>
    <x:row r="84" ht="90" customHeight="1">
      <x:c r="A84" s="30" t="str">
        <x:v>S23</x:v>
      </x:c>
      <x:c r="B84" s="30" t="str">
        <x:v>xView2 inherited disaster_type</x:v>
      </x:c>
      <x:c r="C84" s="30" t="str">
        <x:v>tsunami</x:v>
      </x:c>
      <x:c r="D84" s="30" t="str">
        <x:v>hazard.kind；由数据原生分类映射到场景</x:v>
      </x:c>
      <x:c r="E84" s="30" t="str">
        <x:v>原始类别口径保留；本项目字段映射不声称源数据含这些运行状态</x:v>
      </x:c>
      <x:c r="F84" s="30" t="str">
        <x:v>https://github.com/prs-eth/xbd-s12/blob/main/DATASET.md</x:v>
      </x:c>
    </x:row>
    <x:row r="85" ht="90" customHeight="1">
      <x:c r="A85" s="30" t="str">
        <x:v>S23</x:v>
      </x:c>
      <x:c r="B85" s="30" t="str">
        <x:v>xView2 inherited disaster_type</x:v>
      </x:c>
      <x:c r="C85" s="30" t="str">
        <x:v>fire</x:v>
      </x:c>
      <x:c r="D85" s="30" t="str">
        <x:v>hazard.kind；由数据原生分类映射到场景</x:v>
      </x:c>
      <x:c r="E85" s="30" t="str">
        <x:v>原始类别口径保留；本项目字段映射不声称源数据含这些运行状态</x:v>
      </x:c>
      <x:c r="F85" s="30" t="str">
        <x:v>https://github.com/prs-eth/xbd-s12/blob/main/DATASET.md</x:v>
      </x:c>
    </x:row>
  </x:sheetData>
  <x:mergeCells>
    <x:mergeCell ref="A1:F1"/>
    <x:mergeCell ref="A2:F2"/>
  </x:mergeCells>
  <x:pageMargins left="0.7" right="0.7" top="0.75" bottom="0.75" header="0.3" footer="0.3"/>
  <x:tableParts count="1">
    <x:tablePart xmlns:r="http://schemas.openxmlformats.org/officeDocument/2006/relationships" r:id="R25a20d9c9bbb4543"/>
  </x:tableParts>
</x:worksheet>
</file>

<file path=xl/worksheets/sheet13.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20" hidden="0" customWidth="1"/>
    <x:col min="2" max="2" width="18" hidden="0" customWidth="1"/>
    <x:col min="3" max="3" width="12" hidden="0" customWidth="1"/>
    <x:col min="4" max="4" width="24" hidden="0" customWidth="1"/>
    <x:col min="5" max="5" width="36" hidden="0" customWidth="1"/>
    <x:col min="6" max="6" width="42" hidden="0" customWidth="1"/>
    <x:col min="7" max="7" width="55" hidden="0" customWidth="1"/>
  </x:cols>
  <x:sheetData>
    <x:row r="1" ht="33" customHeight="1">
      <x:c r="A1" s="8" t="str">
        <x:v>ESAR已公开线索字典逐项展开</x:v>
      </x:c>
      <x:c r="B1" s="8"/>
      <x:c r="C1" s="8"/>
      <x:c r="D1" s="8"/>
      <x:c r="E1" s="8"/>
      <x:c r="F1" s="8"/>
      <x:c r="G1" s="8"/>
    </x:row>
    <x:row r="2" ht="34" customHeight="1">
      <x:c r="A2" s="15" t="str">
        <x:v>完整cue_list的四地图命名空间条目：85个cues + 10个fire，共95项、12种名称。不是600任务逐行清单，也不是95种救援行动</x:v>
      </x:c>
      <x:c r="B2" s="15"/>
      <x:c r="C2" s="15"/>
      <x:c r="D2" s="15"/>
      <x:c r="E2" s="15"/>
      <x:c r="F2" s="15"/>
      <x:c r="G2" s="15"/>
    </x:row>
    <x:row r="3">
      <x:c r="A3" s="4"/>
      <x:c r="B3" s="4"/>
      <x:c r="C3" s="4"/>
      <x:c r="D3" s="4"/>
      <x:c r="E3" s="4"/>
      <x:c r="F3" s="4"/>
      <x:c r="G3" s="4"/>
    </x:row>
    <x:row r="4" ht="29" customHeight="1">
      <x:c r="A4" s="23" t="str">
        <x:v>地图</x:v>
      </x:c>
      <x:c r="B4" s="23" t="str">
        <x:v>命名空间</x:v>
      </x:c>
      <x:c r="C4" s="23" t="str">
        <x:v>源内ID</x:v>
      </x:c>
      <x:c r="D4" s="23" t="str">
        <x:v>名称</x:v>
      </x:c>
      <x:c r="E4" s="23" t="str">
        <x:v>全局区分键</x:v>
      </x:c>
      <x:c r="F4" s="23" t="str">
        <x:v>对应字段</x:v>
      </x:c>
      <x:c r="G4" s="23" t="str">
        <x:v>来源URL</x:v>
      </x:c>
    </x:row>
    <x:row r="5" ht="36" customHeight="1">
      <x:c r="A5" s="30" t="str">
        <x:v>aotai2800</x:v>
      </x:c>
      <x:c r="B5" s="30" t="str">
        <x:v>cues</x:v>
      </x:c>
      <x:c r="C5" s="30" t="n">
        <x:v>0</x:v>
      </x:c>
      <x:c r="D5" s="30" t="str">
        <x:v>Backpack</x:v>
      </x:c>
      <x:c r="E5" s="30" t="str">
        <x:v>aotai2800/cues/0</x:v>
      </x:c>
      <x:c r="F5" s="30" t="str">
        <x:v>cue.source_local_id / cue.kind</x:v>
      </x:c>
      <x:c r="G5" s="30" t="str">
        <x:v>https://raw.githubusercontent.com/4amGodvzx/ESAR/main/data/cue_list.json</x:v>
      </x:c>
    </x:row>
    <x:row r="6" ht="36" customHeight="1">
      <x:c r="A6" s="30" t="str">
        <x:v>aotai2800</x:v>
      </x:c>
      <x:c r="B6" s="30" t="str">
        <x:v>cues</x:v>
      </x:c>
      <x:c r="C6" s="30" t="n">
        <x:v>1</x:v>
      </x:c>
      <x:c r="D6" s="30" t="str">
        <x:v>Backpack</x:v>
      </x:c>
      <x:c r="E6" s="30" t="str">
        <x:v>aotai2800/cues/1</x:v>
      </x:c>
      <x:c r="F6" s="30" t="str">
        <x:v>cue.source_local_id / cue.kind</x:v>
      </x:c>
      <x:c r="G6" s="30" t="str">
        <x:v>https://raw.githubusercontent.com/4amGodvzx/ESAR/main/data/cue_list.json</x:v>
      </x:c>
    </x:row>
    <x:row r="7" ht="36" customHeight="1">
      <x:c r="A7" s="30" t="str">
        <x:v>aotai2800</x:v>
      </x:c>
      <x:c r="B7" s="30" t="str">
        <x:v>cues</x:v>
      </x:c>
      <x:c r="C7" s="30" t="n">
        <x:v>2</x:v>
      </x:c>
      <x:c r="D7" s="30" t="str">
        <x:v>Backpack</x:v>
      </x:c>
      <x:c r="E7" s="30" t="str">
        <x:v>aotai2800/cues/2</x:v>
      </x:c>
      <x:c r="F7" s="30" t="str">
        <x:v>cue.source_local_id / cue.kind</x:v>
      </x:c>
      <x:c r="G7" s="30" t="str">
        <x:v>https://raw.githubusercontent.com/4amGodvzx/ESAR/main/data/cue_list.json</x:v>
      </x:c>
    </x:row>
    <x:row r="8" ht="36" customHeight="1">
      <x:c r="A8" s="30" t="str">
        <x:v>aotai2800</x:v>
      </x:c>
      <x:c r="B8" s="30" t="str">
        <x:v>cues</x:v>
      </x:c>
      <x:c r="C8" s="30" t="n">
        <x:v>3</x:v>
      </x:c>
      <x:c r="D8" s="30" t="str">
        <x:v>Bottle</x:v>
      </x:c>
      <x:c r="E8" s="30" t="str">
        <x:v>aotai2800/cues/3</x:v>
      </x:c>
      <x:c r="F8" s="30" t="str">
        <x:v>cue.source_local_id / cue.kind</x:v>
      </x:c>
      <x:c r="G8" s="30" t="str">
        <x:v>https://raw.githubusercontent.com/4amGodvzx/ESAR/main/data/cue_list.json</x:v>
      </x:c>
    </x:row>
    <x:row r="9" ht="36" customHeight="1">
      <x:c r="A9" s="30" t="str">
        <x:v>aotai2800</x:v>
      </x:c>
      <x:c r="B9" s="30" t="str">
        <x:v>cues</x:v>
      </x:c>
      <x:c r="C9" s="30" t="n">
        <x:v>4</x:v>
      </x:c>
      <x:c r="D9" s="30" t="str">
        <x:v>Bottle</x:v>
      </x:c>
      <x:c r="E9" s="30" t="str">
        <x:v>aotai2800/cues/4</x:v>
      </x:c>
      <x:c r="F9" s="30" t="str">
        <x:v>cue.source_local_id / cue.kind</x:v>
      </x:c>
      <x:c r="G9" s="30" t="str">
        <x:v>https://raw.githubusercontent.com/4amGodvzx/ESAR/main/data/cue_list.json</x:v>
      </x:c>
    </x:row>
    <x:row r="10" ht="36" customHeight="1">
      <x:c r="A10" s="30" t="str">
        <x:v>aotai2800</x:v>
      </x:c>
      <x:c r="B10" s="30" t="str">
        <x:v>cues</x:v>
      </x:c>
      <x:c r="C10" s="30" t="n">
        <x:v>5</x:v>
      </x:c>
      <x:c r="D10" s="30" t="str">
        <x:v>Bottle</x:v>
      </x:c>
      <x:c r="E10" s="30" t="str">
        <x:v>aotai2800/cues/5</x:v>
      </x:c>
      <x:c r="F10" s="30" t="str">
        <x:v>cue.source_local_id / cue.kind</x:v>
      </x:c>
      <x:c r="G10" s="30" t="str">
        <x:v>https://raw.githubusercontent.com/4amGodvzx/ESAR/main/data/cue_list.json</x:v>
      </x:c>
    </x:row>
    <x:row r="11" ht="36" customHeight="1">
      <x:c r="A11" s="30" t="str">
        <x:v>aotai2800</x:v>
      </x:c>
      <x:c r="B11" s="30" t="str">
        <x:v>cues</x:v>
      </x:c>
      <x:c r="C11" s="30" t="n">
        <x:v>6</x:v>
      </x:c>
      <x:c r="D11" s="30" t="str">
        <x:v>Bottle</x:v>
      </x:c>
      <x:c r="E11" s="30" t="str">
        <x:v>aotai2800/cues/6</x:v>
      </x:c>
      <x:c r="F11" s="30" t="str">
        <x:v>cue.source_local_id / cue.kind</x:v>
      </x:c>
      <x:c r="G11" s="30" t="str">
        <x:v>https://raw.githubusercontent.com/4amGodvzx/ESAR/main/data/cue_list.json</x:v>
      </x:c>
    </x:row>
    <x:row r="12" ht="36" customHeight="1">
      <x:c r="A12" s="30" t="str">
        <x:v>aotai2800</x:v>
      </x:c>
      <x:c r="B12" s="30" t="str">
        <x:v>cues</x:v>
      </x:c>
      <x:c r="C12" s="30" t="n">
        <x:v>7</x:v>
      </x:c>
      <x:c r="D12" s="30" t="str">
        <x:v>Campfire</x:v>
      </x:c>
      <x:c r="E12" s="30" t="str">
        <x:v>aotai2800/cues/7</x:v>
      </x:c>
      <x:c r="F12" s="30" t="str">
        <x:v>cue.source_local_id / cue.kind</x:v>
      </x:c>
      <x:c r="G12" s="30" t="str">
        <x:v>https://raw.githubusercontent.com/4amGodvzx/ESAR/main/data/cue_list.json</x:v>
      </x:c>
    </x:row>
    <x:row r="13" ht="36" customHeight="1">
      <x:c r="A13" s="30" t="str">
        <x:v>aotai2800</x:v>
      </x:c>
      <x:c r="B13" s="30" t="str">
        <x:v>cues</x:v>
      </x:c>
      <x:c r="C13" s="30" t="n">
        <x:v>8</x:v>
      </x:c>
      <x:c r="D13" s="30" t="str">
        <x:v>Campfire</x:v>
      </x:c>
      <x:c r="E13" s="30" t="str">
        <x:v>aotai2800/cues/8</x:v>
      </x:c>
      <x:c r="F13" s="30" t="str">
        <x:v>cue.source_local_id / cue.kind</x:v>
      </x:c>
      <x:c r="G13" s="30" t="str">
        <x:v>https://raw.githubusercontent.com/4amGodvzx/ESAR/main/data/cue_list.json</x:v>
      </x:c>
    </x:row>
    <x:row r="14" ht="36" customHeight="1">
      <x:c r="A14" s="30" t="str">
        <x:v>aotai2800</x:v>
      </x:c>
      <x:c r="B14" s="30" t="str">
        <x:v>cues</x:v>
      </x:c>
      <x:c r="C14" s="30" t="n">
        <x:v>9</x:v>
      </x:c>
      <x:c r="D14" s="30" t="str">
        <x:v>Flashlight</x:v>
      </x:c>
      <x:c r="E14" s="30" t="str">
        <x:v>aotai2800/cues/9</x:v>
      </x:c>
      <x:c r="F14" s="30" t="str">
        <x:v>cue.source_local_id / cue.kind</x:v>
      </x:c>
      <x:c r="G14" s="30" t="str">
        <x:v>https://raw.githubusercontent.com/4amGodvzx/ESAR/main/data/cue_list.json</x:v>
      </x:c>
    </x:row>
    <x:row r="15" ht="36" customHeight="1">
      <x:c r="A15" s="30" t="str">
        <x:v>aotai2800</x:v>
      </x:c>
      <x:c r="B15" s="30" t="str">
        <x:v>cues</x:v>
      </x:c>
      <x:c r="C15" s="30" t="n">
        <x:v>10</x:v>
      </x:c>
      <x:c r="D15" s="30" t="str">
        <x:v>Flashlight</x:v>
      </x:c>
      <x:c r="E15" s="30" t="str">
        <x:v>aotai2800/cues/10</x:v>
      </x:c>
      <x:c r="F15" s="30" t="str">
        <x:v>cue.source_local_id / cue.kind</x:v>
      </x:c>
      <x:c r="G15" s="30" t="str">
        <x:v>https://raw.githubusercontent.com/4amGodvzx/ESAR/main/data/cue_list.json</x:v>
      </x:c>
    </x:row>
    <x:row r="16" ht="36" customHeight="1">
      <x:c r="A16" s="30" t="str">
        <x:v>aotai2800</x:v>
      </x:c>
      <x:c r="B16" s="30" t="str">
        <x:v>cues</x:v>
      </x:c>
      <x:c r="C16" s="30" t="n">
        <x:v>11</x:v>
      </x:c>
      <x:c r="D16" s="30" t="str">
        <x:v>Jacket</x:v>
      </x:c>
      <x:c r="E16" s="30" t="str">
        <x:v>aotai2800/cues/11</x:v>
      </x:c>
      <x:c r="F16" s="30" t="str">
        <x:v>cue.source_local_id / cue.kind</x:v>
      </x:c>
      <x:c r="G16" s="30" t="str">
        <x:v>https://raw.githubusercontent.com/4amGodvzx/ESAR/main/data/cue_list.json</x:v>
      </x:c>
    </x:row>
    <x:row r="17" ht="36" customHeight="1">
      <x:c r="A17" s="30" t="str">
        <x:v>aotai2800</x:v>
      </x:c>
      <x:c r="B17" s="30" t="str">
        <x:v>cues</x:v>
      </x:c>
      <x:c r="C17" s="30" t="n">
        <x:v>12</x:v>
      </x:c>
      <x:c r="D17" s="30" t="str">
        <x:v>Jacket</x:v>
      </x:c>
      <x:c r="E17" s="30" t="str">
        <x:v>aotai2800/cues/12</x:v>
      </x:c>
      <x:c r="F17" s="30" t="str">
        <x:v>cue.source_local_id / cue.kind</x:v>
      </x:c>
      <x:c r="G17" s="30" t="str">
        <x:v>https://raw.githubusercontent.com/4amGodvzx/ESAR/main/data/cue_list.json</x:v>
      </x:c>
    </x:row>
    <x:row r="18" ht="36" customHeight="1">
      <x:c r="A18" s="30" t="str">
        <x:v>aotai2800</x:v>
      </x:c>
      <x:c r="B18" s="30" t="str">
        <x:v>cues</x:v>
      </x:c>
      <x:c r="C18" s="30" t="n">
        <x:v>13</x:v>
      </x:c>
      <x:c r="D18" s="30" t="str">
        <x:v>PlasticBag</x:v>
      </x:c>
      <x:c r="E18" s="30" t="str">
        <x:v>aotai2800/cues/13</x:v>
      </x:c>
      <x:c r="F18" s="30" t="str">
        <x:v>cue.source_local_id / cue.kind</x:v>
      </x:c>
      <x:c r="G18" s="30" t="str">
        <x:v>https://raw.githubusercontent.com/4amGodvzx/ESAR/main/data/cue_list.json</x:v>
      </x:c>
    </x:row>
    <x:row r="19" ht="36" customHeight="1">
      <x:c r="A19" s="30" t="str">
        <x:v>aotai2800</x:v>
      </x:c>
      <x:c r="B19" s="30" t="str">
        <x:v>cues</x:v>
      </x:c>
      <x:c r="C19" s="30" t="n">
        <x:v>14</x:v>
      </x:c>
      <x:c r="D19" s="30" t="str">
        <x:v>Powerbank</x:v>
      </x:c>
      <x:c r="E19" s="30" t="str">
        <x:v>aotai2800/cues/14</x:v>
      </x:c>
      <x:c r="F19" s="30" t="str">
        <x:v>cue.source_local_id / cue.kind</x:v>
      </x:c>
      <x:c r="G19" s="30" t="str">
        <x:v>https://raw.githubusercontent.com/4amGodvzx/ESAR/main/data/cue_list.json</x:v>
      </x:c>
    </x:row>
    <x:row r="20" ht="36" customHeight="1">
      <x:c r="A20" s="30" t="str">
        <x:v>aotai2800</x:v>
      </x:c>
      <x:c r="B20" s="30" t="str">
        <x:v>cues</x:v>
      </x:c>
      <x:c r="C20" s="30" t="n">
        <x:v>15</x:v>
      </x:c>
      <x:c r="D20" s="30" t="str">
        <x:v>Shoe</x:v>
      </x:c>
      <x:c r="E20" s="30" t="str">
        <x:v>aotai2800/cues/15</x:v>
      </x:c>
      <x:c r="F20" s="30" t="str">
        <x:v>cue.source_local_id / cue.kind</x:v>
      </x:c>
      <x:c r="G20" s="30" t="str">
        <x:v>https://raw.githubusercontent.com/4amGodvzx/ESAR/main/data/cue_list.json</x:v>
      </x:c>
    </x:row>
    <x:row r="21" ht="36" customHeight="1">
      <x:c r="A21" s="30" t="str">
        <x:v>aotai2800</x:v>
      </x:c>
      <x:c r="B21" s="30" t="str">
        <x:v>cues</x:v>
      </x:c>
      <x:c r="C21" s="30" t="n">
        <x:v>16</x:v>
      </x:c>
      <x:c r="D21" s="30" t="str">
        <x:v>SleepingBag</x:v>
      </x:c>
      <x:c r="E21" s="30" t="str">
        <x:v>aotai2800/cues/16</x:v>
      </x:c>
      <x:c r="F21" s="30" t="str">
        <x:v>cue.source_local_id / cue.kind</x:v>
      </x:c>
      <x:c r="G21" s="30" t="str">
        <x:v>https://raw.githubusercontent.com/4amGodvzx/ESAR/main/data/cue_list.json</x:v>
      </x:c>
    </x:row>
    <x:row r="22" ht="36" customHeight="1">
      <x:c r="A22" s="30" t="str">
        <x:v>aotai2800</x:v>
      </x:c>
      <x:c r="B22" s="30" t="str">
        <x:v>cues</x:v>
      </x:c>
      <x:c r="C22" s="30" t="n">
        <x:v>17</x:v>
      </x:c>
      <x:c r="D22" s="30" t="str">
        <x:v>SleepingBag</x:v>
      </x:c>
      <x:c r="E22" s="30" t="str">
        <x:v>aotai2800/cues/17</x:v>
      </x:c>
      <x:c r="F22" s="30" t="str">
        <x:v>cue.source_local_id / cue.kind</x:v>
      </x:c>
      <x:c r="G22" s="30" t="str">
        <x:v>https://raw.githubusercontent.com/4amGodvzx/ESAR/main/data/cue_list.json</x:v>
      </x:c>
    </x:row>
    <x:row r="23" ht="36" customHeight="1">
      <x:c r="A23" s="30" t="str">
        <x:v>aotai2800</x:v>
      </x:c>
      <x:c r="B23" s="30" t="str">
        <x:v>cues</x:v>
      </x:c>
      <x:c r="C23" s="30" t="n">
        <x:v>18</x:v>
      </x:c>
      <x:c r="D23" s="30" t="str">
        <x:v>SleepingBag</x:v>
      </x:c>
      <x:c r="E23" s="30" t="str">
        <x:v>aotai2800/cues/18</x:v>
      </x:c>
      <x:c r="F23" s="30" t="str">
        <x:v>cue.source_local_id / cue.kind</x:v>
      </x:c>
      <x:c r="G23" s="30" t="str">
        <x:v>https://raw.githubusercontent.com/4amGodvzx/ESAR/main/data/cue_list.json</x:v>
      </x:c>
    </x:row>
    <x:row r="24" ht="36" customHeight="1">
      <x:c r="A24" s="30" t="str">
        <x:v>aotai2800</x:v>
      </x:c>
      <x:c r="B24" s="30" t="str">
        <x:v>cues</x:v>
      </x:c>
      <x:c r="C24" s="30" t="n">
        <x:v>19</x:v>
      </x:c>
      <x:c r="D24" s="30" t="str">
        <x:v>Tent</x:v>
      </x:c>
      <x:c r="E24" s="30" t="str">
        <x:v>aotai2800/cues/19</x:v>
      </x:c>
      <x:c r="F24" s="30" t="str">
        <x:v>cue.source_local_id / cue.kind</x:v>
      </x:c>
      <x:c r="G24" s="30" t="str">
        <x:v>https://raw.githubusercontent.com/4amGodvzx/ESAR/main/data/cue_list.json</x:v>
      </x:c>
    </x:row>
    <x:row r="25" ht="36" customHeight="1">
      <x:c r="A25" s="30" t="str">
        <x:v>aotai2800</x:v>
      </x:c>
      <x:c r="B25" s="30" t="str">
        <x:v>cues</x:v>
      </x:c>
      <x:c r="C25" s="30" t="n">
        <x:v>20</x:v>
      </x:c>
      <x:c r="D25" s="30" t="str">
        <x:v>Tent</x:v>
      </x:c>
      <x:c r="E25" s="30" t="str">
        <x:v>aotai2800/cues/20</x:v>
      </x:c>
      <x:c r="F25" s="30" t="str">
        <x:v>cue.source_local_id / cue.kind</x:v>
      </x:c>
      <x:c r="G25" s="30" t="str">
        <x:v>https://raw.githubusercontent.com/4amGodvzx/ESAR/main/data/cue_list.json</x:v>
      </x:c>
    </x:row>
    <x:row r="26" ht="36" customHeight="1">
      <x:c r="A26" s="30" t="str">
        <x:v>aotai2800</x:v>
      </x:c>
      <x:c r="B26" s="30" t="str">
        <x:v>cues</x:v>
      </x:c>
      <x:c r="C26" s="30" t="n">
        <x:v>21</x:v>
      </x:c>
      <x:c r="D26" s="30" t="str">
        <x:v>Tent</x:v>
      </x:c>
      <x:c r="E26" s="30" t="str">
        <x:v>aotai2800/cues/21</x:v>
      </x:c>
      <x:c r="F26" s="30" t="str">
        <x:v>cue.source_local_id / cue.kind</x:v>
      </x:c>
      <x:c r="G26" s="30" t="str">
        <x:v>https://raw.githubusercontent.com/4amGodvzx/ESAR/main/data/cue_list.json</x:v>
      </x:c>
    </x:row>
    <x:row r="27" ht="36" customHeight="1">
      <x:c r="A27" s="30" t="str">
        <x:v>aotai2800</x:v>
      </x:c>
      <x:c r="B27" s="30" t="str">
        <x:v>fire</x:v>
      </x:c>
      <x:c r="C27" s="30" t="n">
        <x:v>0</x:v>
      </x:c>
      <x:c r="D27" s="30" t="str">
        <x:v>Fire</x:v>
      </x:c>
      <x:c r="E27" s="30" t="str">
        <x:v>aotai2800/fire/0</x:v>
      </x:c>
      <x:c r="F27" s="30" t="str">
        <x:v>cue.source_local_id / cue.kind</x:v>
      </x:c>
      <x:c r="G27" s="30" t="str">
        <x:v>https://raw.githubusercontent.com/4amGodvzx/ESAR/main/data/cue_list.json</x:v>
      </x:c>
    </x:row>
    <x:row r="28" ht="36" customHeight="1">
      <x:c r="A28" s="30" t="str">
        <x:v>aotai2800</x:v>
      </x:c>
      <x:c r="B28" s="30" t="str">
        <x:v>fire</x:v>
      </x:c>
      <x:c r="C28" s="30" t="n">
        <x:v>1</x:v>
      </x:c>
      <x:c r="D28" s="30" t="str">
        <x:v>Fire</x:v>
      </x:c>
      <x:c r="E28" s="30" t="str">
        <x:v>aotai2800/fire/1</x:v>
      </x:c>
      <x:c r="F28" s="30" t="str">
        <x:v>cue.source_local_id / cue.kind</x:v>
      </x:c>
      <x:c r="G28" s="30" t="str">
        <x:v>https://raw.githubusercontent.com/4amGodvzx/ESAR/main/data/cue_list.json</x:v>
      </x:c>
    </x:row>
    <x:row r="29" ht="36" customHeight="1">
      <x:c r="A29" s="30" t="str">
        <x:v>aotai2800</x:v>
      </x:c>
      <x:c r="B29" s="30" t="str">
        <x:v>fire</x:v>
      </x:c>
      <x:c r="C29" s="30" t="n">
        <x:v>2</x:v>
      </x:c>
      <x:c r="D29" s="30" t="str">
        <x:v>Flare</x:v>
      </x:c>
      <x:c r="E29" s="30" t="str">
        <x:v>aotai2800/fire/2</x:v>
      </x:c>
      <x:c r="F29" s="30" t="str">
        <x:v>cue.source_local_id / cue.kind</x:v>
      </x:c>
      <x:c r="G29" s="30" t="str">
        <x:v>https://raw.githubusercontent.com/4amGodvzx/ESAR/main/data/cue_list.json</x:v>
      </x:c>
    </x:row>
    <x:row r="30" ht="36" customHeight="1">
      <x:c r="A30" s="30" t="str">
        <x:v>lopnur</x:v>
      </x:c>
      <x:c r="B30" s="30" t="str">
        <x:v>cues</x:v>
      </x:c>
      <x:c r="C30" s="30" t="n">
        <x:v>0</x:v>
      </x:c>
      <x:c r="D30" s="30" t="str">
        <x:v>Backpack</x:v>
      </x:c>
      <x:c r="E30" s="30" t="str">
        <x:v>lopnur/cues/0</x:v>
      </x:c>
      <x:c r="F30" s="30" t="str">
        <x:v>cue.source_local_id / cue.kind</x:v>
      </x:c>
      <x:c r="G30" s="30" t="str">
        <x:v>https://raw.githubusercontent.com/4amGodvzx/ESAR/main/data/cue_list.json</x:v>
      </x:c>
    </x:row>
    <x:row r="31" ht="36" customHeight="1">
      <x:c r="A31" s="30" t="str">
        <x:v>lopnur</x:v>
      </x:c>
      <x:c r="B31" s="30" t="str">
        <x:v>cues</x:v>
      </x:c>
      <x:c r="C31" s="30" t="n">
        <x:v>1</x:v>
      </x:c>
      <x:c r="D31" s="30" t="str">
        <x:v>Backpack</x:v>
      </x:c>
      <x:c r="E31" s="30" t="str">
        <x:v>lopnur/cues/1</x:v>
      </x:c>
      <x:c r="F31" s="30" t="str">
        <x:v>cue.source_local_id / cue.kind</x:v>
      </x:c>
      <x:c r="G31" s="30" t="str">
        <x:v>https://raw.githubusercontent.com/4amGodvzx/ESAR/main/data/cue_list.json</x:v>
      </x:c>
    </x:row>
    <x:row r="32" ht="36" customHeight="1">
      <x:c r="A32" s="30" t="str">
        <x:v>lopnur</x:v>
      </x:c>
      <x:c r="B32" s="30" t="str">
        <x:v>cues</x:v>
      </x:c>
      <x:c r="C32" s="30" t="n">
        <x:v>2</x:v>
      </x:c>
      <x:c r="D32" s="30" t="str">
        <x:v>Backpack</x:v>
      </x:c>
      <x:c r="E32" s="30" t="str">
        <x:v>lopnur/cues/2</x:v>
      </x:c>
      <x:c r="F32" s="30" t="str">
        <x:v>cue.source_local_id / cue.kind</x:v>
      </x:c>
      <x:c r="G32" s="30" t="str">
        <x:v>https://raw.githubusercontent.com/4amGodvzx/ESAR/main/data/cue_list.json</x:v>
      </x:c>
    </x:row>
    <x:row r="33" ht="36" customHeight="1">
      <x:c r="A33" s="30" t="str">
        <x:v>lopnur</x:v>
      </x:c>
      <x:c r="B33" s="30" t="str">
        <x:v>cues</x:v>
      </x:c>
      <x:c r="C33" s="30" t="n">
        <x:v>3</x:v>
      </x:c>
      <x:c r="D33" s="30" t="str">
        <x:v>Bottle</x:v>
      </x:c>
      <x:c r="E33" s="30" t="str">
        <x:v>lopnur/cues/3</x:v>
      </x:c>
      <x:c r="F33" s="30" t="str">
        <x:v>cue.source_local_id / cue.kind</x:v>
      </x:c>
      <x:c r="G33" s="30" t="str">
        <x:v>https://raw.githubusercontent.com/4amGodvzx/ESAR/main/data/cue_list.json</x:v>
      </x:c>
    </x:row>
    <x:row r="34" ht="36" customHeight="1">
      <x:c r="A34" s="30" t="str">
        <x:v>lopnur</x:v>
      </x:c>
      <x:c r="B34" s="30" t="str">
        <x:v>cues</x:v>
      </x:c>
      <x:c r="C34" s="30" t="n">
        <x:v>4</x:v>
      </x:c>
      <x:c r="D34" s="30" t="str">
        <x:v>Bottle</x:v>
      </x:c>
      <x:c r="E34" s="30" t="str">
        <x:v>lopnur/cues/4</x:v>
      </x:c>
      <x:c r="F34" s="30" t="str">
        <x:v>cue.source_local_id / cue.kind</x:v>
      </x:c>
      <x:c r="G34" s="30" t="str">
        <x:v>https://raw.githubusercontent.com/4amGodvzx/ESAR/main/data/cue_list.json</x:v>
      </x:c>
    </x:row>
    <x:row r="35" ht="36" customHeight="1">
      <x:c r="A35" s="30" t="str">
        <x:v>lopnur</x:v>
      </x:c>
      <x:c r="B35" s="30" t="str">
        <x:v>cues</x:v>
      </x:c>
      <x:c r="C35" s="30" t="n">
        <x:v>5</x:v>
      </x:c>
      <x:c r="D35" s="30" t="str">
        <x:v>Bottle</x:v>
      </x:c>
      <x:c r="E35" s="30" t="str">
        <x:v>lopnur/cues/5</x:v>
      </x:c>
      <x:c r="F35" s="30" t="str">
        <x:v>cue.source_local_id / cue.kind</x:v>
      </x:c>
      <x:c r="G35" s="30" t="str">
        <x:v>https://raw.githubusercontent.com/4amGodvzx/ESAR/main/data/cue_list.json</x:v>
      </x:c>
    </x:row>
    <x:row r="36" ht="36" customHeight="1">
      <x:c r="A36" s="30" t="str">
        <x:v>lopnur</x:v>
      </x:c>
      <x:c r="B36" s="30" t="str">
        <x:v>cues</x:v>
      </x:c>
      <x:c r="C36" s="30" t="n">
        <x:v>6</x:v>
      </x:c>
      <x:c r="D36" s="30" t="str">
        <x:v>Bottle</x:v>
      </x:c>
      <x:c r="E36" s="30" t="str">
        <x:v>lopnur/cues/6</x:v>
      </x:c>
      <x:c r="F36" s="30" t="str">
        <x:v>cue.source_local_id / cue.kind</x:v>
      </x:c>
      <x:c r="G36" s="30" t="str">
        <x:v>https://raw.githubusercontent.com/4amGodvzx/ESAR/main/data/cue_list.json</x:v>
      </x:c>
    </x:row>
    <x:row r="37" ht="36" customHeight="1">
      <x:c r="A37" s="30" t="str">
        <x:v>lopnur</x:v>
      </x:c>
      <x:c r="B37" s="30" t="str">
        <x:v>cues</x:v>
      </x:c>
      <x:c r="C37" s="30" t="n">
        <x:v>7</x:v>
      </x:c>
      <x:c r="D37" s="30" t="str">
        <x:v>Campfire</x:v>
      </x:c>
      <x:c r="E37" s="30" t="str">
        <x:v>lopnur/cues/7</x:v>
      </x:c>
      <x:c r="F37" s="30" t="str">
        <x:v>cue.source_local_id / cue.kind</x:v>
      </x:c>
      <x:c r="G37" s="30" t="str">
        <x:v>https://raw.githubusercontent.com/4amGodvzx/ESAR/main/data/cue_list.json</x:v>
      </x:c>
    </x:row>
    <x:row r="38" ht="36" customHeight="1">
      <x:c r="A38" s="30" t="str">
        <x:v>lopnur</x:v>
      </x:c>
      <x:c r="B38" s="30" t="str">
        <x:v>cues</x:v>
      </x:c>
      <x:c r="C38" s="30" t="n">
        <x:v>8</x:v>
      </x:c>
      <x:c r="D38" s="30" t="str">
        <x:v>Flashlight</x:v>
      </x:c>
      <x:c r="E38" s="30" t="str">
        <x:v>lopnur/cues/8</x:v>
      </x:c>
      <x:c r="F38" s="30" t="str">
        <x:v>cue.source_local_id / cue.kind</x:v>
      </x:c>
      <x:c r="G38" s="30" t="str">
        <x:v>https://raw.githubusercontent.com/4amGodvzx/ESAR/main/data/cue_list.json</x:v>
      </x:c>
    </x:row>
    <x:row r="39" ht="36" customHeight="1">
      <x:c r="A39" s="30" t="str">
        <x:v>lopnur</x:v>
      </x:c>
      <x:c r="B39" s="30" t="str">
        <x:v>cues</x:v>
      </x:c>
      <x:c r="C39" s="30" t="n">
        <x:v>9</x:v>
      </x:c>
      <x:c r="D39" s="30" t="str">
        <x:v>Flashlight</x:v>
      </x:c>
      <x:c r="E39" s="30" t="str">
        <x:v>lopnur/cues/9</x:v>
      </x:c>
      <x:c r="F39" s="30" t="str">
        <x:v>cue.source_local_id / cue.kind</x:v>
      </x:c>
      <x:c r="G39" s="30" t="str">
        <x:v>https://raw.githubusercontent.com/4amGodvzx/ESAR/main/data/cue_list.json</x:v>
      </x:c>
    </x:row>
    <x:row r="40" ht="36" customHeight="1">
      <x:c r="A40" s="30" t="str">
        <x:v>lopnur</x:v>
      </x:c>
      <x:c r="B40" s="30" t="str">
        <x:v>cues</x:v>
      </x:c>
      <x:c r="C40" s="30" t="n">
        <x:v>10</x:v>
      </x:c>
      <x:c r="D40" s="30" t="str">
        <x:v>Jacket</x:v>
      </x:c>
      <x:c r="E40" s="30" t="str">
        <x:v>lopnur/cues/10</x:v>
      </x:c>
      <x:c r="F40" s="30" t="str">
        <x:v>cue.source_local_id / cue.kind</x:v>
      </x:c>
      <x:c r="G40" s="30" t="str">
        <x:v>https://raw.githubusercontent.com/4amGodvzx/ESAR/main/data/cue_list.json</x:v>
      </x:c>
    </x:row>
    <x:row r="41" ht="36" customHeight="1">
      <x:c r="A41" s="30" t="str">
        <x:v>lopnur</x:v>
      </x:c>
      <x:c r="B41" s="30" t="str">
        <x:v>cues</x:v>
      </x:c>
      <x:c r="C41" s="30" t="n">
        <x:v>11</x:v>
      </x:c>
      <x:c r="D41" s="30" t="str">
        <x:v>Jacket</x:v>
      </x:c>
      <x:c r="E41" s="30" t="str">
        <x:v>lopnur/cues/11</x:v>
      </x:c>
      <x:c r="F41" s="30" t="str">
        <x:v>cue.source_local_id / cue.kind</x:v>
      </x:c>
      <x:c r="G41" s="30" t="str">
        <x:v>https://raw.githubusercontent.com/4amGodvzx/ESAR/main/data/cue_list.json</x:v>
      </x:c>
    </x:row>
    <x:row r="42" ht="36" customHeight="1">
      <x:c r="A42" s="30" t="str">
        <x:v>lopnur</x:v>
      </x:c>
      <x:c r="B42" s="30" t="str">
        <x:v>cues</x:v>
      </x:c>
      <x:c r="C42" s="30" t="n">
        <x:v>12</x:v>
      </x:c>
      <x:c r="D42" s="30" t="str">
        <x:v>PlasticBag</x:v>
      </x:c>
      <x:c r="E42" s="30" t="str">
        <x:v>lopnur/cues/12</x:v>
      </x:c>
      <x:c r="F42" s="30" t="str">
        <x:v>cue.source_local_id / cue.kind</x:v>
      </x:c>
      <x:c r="G42" s="30" t="str">
        <x:v>https://raw.githubusercontent.com/4amGodvzx/ESAR/main/data/cue_list.json</x:v>
      </x:c>
    </x:row>
    <x:row r="43" ht="36" customHeight="1">
      <x:c r="A43" s="30" t="str">
        <x:v>lopnur</x:v>
      </x:c>
      <x:c r="B43" s="30" t="str">
        <x:v>cues</x:v>
      </x:c>
      <x:c r="C43" s="30" t="n">
        <x:v>13</x:v>
      </x:c>
      <x:c r="D43" s="30" t="str">
        <x:v>Powerbank</x:v>
      </x:c>
      <x:c r="E43" s="30" t="str">
        <x:v>lopnur/cues/13</x:v>
      </x:c>
      <x:c r="F43" s="30" t="str">
        <x:v>cue.source_local_id / cue.kind</x:v>
      </x:c>
      <x:c r="G43" s="30" t="str">
        <x:v>https://raw.githubusercontent.com/4amGodvzx/ESAR/main/data/cue_list.json</x:v>
      </x:c>
    </x:row>
    <x:row r="44" ht="36" customHeight="1">
      <x:c r="A44" s="30" t="str">
        <x:v>lopnur</x:v>
      </x:c>
      <x:c r="B44" s="30" t="str">
        <x:v>cues</x:v>
      </x:c>
      <x:c r="C44" s="30" t="n">
        <x:v>14</x:v>
      </x:c>
      <x:c r="D44" s="30" t="str">
        <x:v>Shoe</x:v>
      </x:c>
      <x:c r="E44" s="30" t="str">
        <x:v>lopnur/cues/14</x:v>
      </x:c>
      <x:c r="F44" s="30" t="str">
        <x:v>cue.source_local_id / cue.kind</x:v>
      </x:c>
      <x:c r="G44" s="30" t="str">
        <x:v>https://raw.githubusercontent.com/4amGodvzx/ESAR/main/data/cue_list.json</x:v>
      </x:c>
    </x:row>
    <x:row r="45" ht="36" customHeight="1">
      <x:c r="A45" s="30" t="str">
        <x:v>lopnur</x:v>
      </x:c>
      <x:c r="B45" s="30" t="str">
        <x:v>cues</x:v>
      </x:c>
      <x:c r="C45" s="30" t="n">
        <x:v>15</x:v>
      </x:c>
      <x:c r="D45" s="30" t="str">
        <x:v>SleepingBag</x:v>
      </x:c>
      <x:c r="E45" s="30" t="str">
        <x:v>lopnur/cues/15</x:v>
      </x:c>
      <x:c r="F45" s="30" t="str">
        <x:v>cue.source_local_id / cue.kind</x:v>
      </x:c>
      <x:c r="G45" s="30" t="str">
        <x:v>https://raw.githubusercontent.com/4amGodvzx/ESAR/main/data/cue_list.json</x:v>
      </x:c>
    </x:row>
    <x:row r="46" ht="36" customHeight="1">
      <x:c r="A46" s="30" t="str">
        <x:v>lopnur</x:v>
      </x:c>
      <x:c r="B46" s="30" t="str">
        <x:v>cues</x:v>
      </x:c>
      <x:c r="C46" s="30" t="n">
        <x:v>16</x:v>
      </x:c>
      <x:c r="D46" s="30" t="str">
        <x:v>SleepingBag</x:v>
      </x:c>
      <x:c r="E46" s="30" t="str">
        <x:v>lopnur/cues/16</x:v>
      </x:c>
      <x:c r="F46" s="30" t="str">
        <x:v>cue.source_local_id / cue.kind</x:v>
      </x:c>
      <x:c r="G46" s="30" t="str">
        <x:v>https://raw.githubusercontent.com/4amGodvzx/ESAR/main/data/cue_list.json</x:v>
      </x:c>
    </x:row>
    <x:row r="47" ht="36" customHeight="1">
      <x:c r="A47" s="30" t="str">
        <x:v>lopnur</x:v>
      </x:c>
      <x:c r="B47" s="30" t="str">
        <x:v>cues</x:v>
      </x:c>
      <x:c r="C47" s="30" t="n">
        <x:v>17</x:v>
      </x:c>
      <x:c r="D47" s="30" t="str">
        <x:v>SleepingBag</x:v>
      </x:c>
      <x:c r="E47" s="30" t="str">
        <x:v>lopnur/cues/17</x:v>
      </x:c>
      <x:c r="F47" s="30" t="str">
        <x:v>cue.source_local_id / cue.kind</x:v>
      </x:c>
      <x:c r="G47" s="30" t="str">
        <x:v>https://raw.githubusercontent.com/4amGodvzx/ESAR/main/data/cue_list.json</x:v>
      </x:c>
    </x:row>
    <x:row r="48" ht="36" customHeight="1">
      <x:c r="A48" s="30" t="str">
        <x:v>lopnur</x:v>
      </x:c>
      <x:c r="B48" s="30" t="str">
        <x:v>cues</x:v>
      </x:c>
      <x:c r="C48" s="30" t="n">
        <x:v>18</x:v>
      </x:c>
      <x:c r="D48" s="30" t="str">
        <x:v>Tent</x:v>
      </x:c>
      <x:c r="E48" s="30" t="str">
        <x:v>lopnur/cues/18</x:v>
      </x:c>
      <x:c r="F48" s="30" t="str">
        <x:v>cue.source_local_id / cue.kind</x:v>
      </x:c>
      <x:c r="G48" s="30" t="str">
        <x:v>https://raw.githubusercontent.com/4amGodvzx/ESAR/main/data/cue_list.json</x:v>
      </x:c>
    </x:row>
    <x:row r="49" ht="36" customHeight="1">
      <x:c r="A49" s="30" t="str">
        <x:v>lopnur</x:v>
      </x:c>
      <x:c r="B49" s="30" t="str">
        <x:v>cues</x:v>
      </x:c>
      <x:c r="C49" s="30" t="n">
        <x:v>19</x:v>
      </x:c>
      <x:c r="D49" s="30" t="str">
        <x:v>Tent</x:v>
      </x:c>
      <x:c r="E49" s="30" t="str">
        <x:v>lopnur/cues/19</x:v>
      </x:c>
      <x:c r="F49" s="30" t="str">
        <x:v>cue.source_local_id / cue.kind</x:v>
      </x:c>
      <x:c r="G49" s="30" t="str">
        <x:v>https://raw.githubusercontent.com/4amGodvzx/ESAR/main/data/cue_list.json</x:v>
      </x:c>
    </x:row>
    <x:row r="50" ht="36" customHeight="1">
      <x:c r="A50" s="30" t="str">
        <x:v>lopnur</x:v>
      </x:c>
      <x:c r="B50" s="30" t="str">
        <x:v>cues</x:v>
      </x:c>
      <x:c r="C50" s="30" t="n">
        <x:v>20</x:v>
      </x:c>
      <x:c r="D50" s="30" t="str">
        <x:v>Tent</x:v>
      </x:c>
      <x:c r="E50" s="30" t="str">
        <x:v>lopnur/cues/20</x:v>
      </x:c>
      <x:c r="F50" s="30" t="str">
        <x:v>cue.source_local_id / cue.kind</x:v>
      </x:c>
      <x:c r="G50" s="30" t="str">
        <x:v>https://raw.githubusercontent.com/4amGodvzx/ESAR/main/data/cue_list.json</x:v>
      </x:c>
    </x:row>
    <x:row r="51" ht="36" customHeight="1">
      <x:c r="A51" s="30" t="str">
        <x:v>lopnur</x:v>
      </x:c>
      <x:c r="B51" s="30" t="str">
        <x:v>fire</x:v>
      </x:c>
      <x:c r="C51" s="30" t="n">
        <x:v>0</x:v>
      </x:c>
      <x:c r="D51" s="30" t="str">
        <x:v>Fire</x:v>
      </x:c>
      <x:c r="E51" s="30" t="str">
        <x:v>lopnur/fire/0</x:v>
      </x:c>
      <x:c r="F51" s="30" t="str">
        <x:v>cue.source_local_id / cue.kind</x:v>
      </x:c>
      <x:c r="G51" s="30" t="str">
        <x:v>https://raw.githubusercontent.com/4amGodvzx/ESAR/main/data/cue_list.json</x:v>
      </x:c>
    </x:row>
    <x:row r="52" ht="36" customHeight="1">
      <x:c r="A52" s="30" t="str">
        <x:v>lopnur</x:v>
      </x:c>
      <x:c r="B52" s="30" t="str">
        <x:v>fire</x:v>
      </x:c>
      <x:c r="C52" s="30" t="n">
        <x:v>1</x:v>
      </x:c>
      <x:c r="D52" s="30" t="str">
        <x:v>Flare</x:v>
      </x:c>
      <x:c r="E52" s="30" t="str">
        <x:v>lopnur/fire/1</x:v>
      </x:c>
      <x:c r="F52" s="30" t="str">
        <x:v>cue.source_local_id / cue.kind</x:v>
      </x:c>
      <x:c r="G52" s="30" t="str">
        <x:v>https://raw.githubusercontent.com/4amGodvzx/ESAR/main/data/cue_list.json</x:v>
      </x:c>
    </x:row>
    <x:row r="53" ht="36" customHeight="1">
      <x:c r="A53" s="30" t="str">
        <x:v>k2</x:v>
      </x:c>
      <x:c r="B53" s="30" t="str">
        <x:v>cues</x:v>
      </x:c>
      <x:c r="C53" s="30" t="n">
        <x:v>0</x:v>
      </x:c>
      <x:c r="D53" s="30" t="str">
        <x:v>Backpack</x:v>
      </x:c>
      <x:c r="E53" s="30" t="str">
        <x:v>k2/cues/0</x:v>
      </x:c>
      <x:c r="F53" s="30" t="str">
        <x:v>cue.source_local_id / cue.kind</x:v>
      </x:c>
      <x:c r="G53" s="30" t="str">
        <x:v>https://raw.githubusercontent.com/4amGodvzx/ESAR/main/data/cue_list.json</x:v>
      </x:c>
    </x:row>
    <x:row r="54" ht="36" customHeight="1">
      <x:c r="A54" s="30" t="str">
        <x:v>k2</x:v>
      </x:c>
      <x:c r="B54" s="30" t="str">
        <x:v>cues</x:v>
      </x:c>
      <x:c r="C54" s="30" t="n">
        <x:v>1</x:v>
      </x:c>
      <x:c r="D54" s="30" t="str">
        <x:v>Backpack</x:v>
      </x:c>
      <x:c r="E54" s="30" t="str">
        <x:v>k2/cues/1</x:v>
      </x:c>
      <x:c r="F54" s="30" t="str">
        <x:v>cue.source_local_id / cue.kind</x:v>
      </x:c>
      <x:c r="G54" s="30" t="str">
        <x:v>https://raw.githubusercontent.com/4amGodvzx/ESAR/main/data/cue_list.json</x:v>
      </x:c>
    </x:row>
    <x:row r="55" ht="36" customHeight="1">
      <x:c r="A55" s="30" t="str">
        <x:v>k2</x:v>
      </x:c>
      <x:c r="B55" s="30" t="str">
        <x:v>cues</x:v>
      </x:c>
      <x:c r="C55" s="30" t="n">
        <x:v>2</x:v>
      </x:c>
      <x:c r="D55" s="30" t="str">
        <x:v>Backpack</x:v>
      </x:c>
      <x:c r="E55" s="30" t="str">
        <x:v>k2/cues/2</x:v>
      </x:c>
      <x:c r="F55" s="30" t="str">
        <x:v>cue.source_local_id / cue.kind</x:v>
      </x:c>
      <x:c r="G55" s="30" t="str">
        <x:v>https://raw.githubusercontent.com/4amGodvzx/ESAR/main/data/cue_list.json</x:v>
      </x:c>
    </x:row>
    <x:row r="56" ht="36" customHeight="1">
      <x:c r="A56" s="30" t="str">
        <x:v>k2</x:v>
      </x:c>
      <x:c r="B56" s="30" t="str">
        <x:v>cues</x:v>
      </x:c>
      <x:c r="C56" s="30" t="n">
        <x:v>3</x:v>
      </x:c>
      <x:c r="D56" s="30" t="str">
        <x:v>Bottle</x:v>
      </x:c>
      <x:c r="E56" s="30" t="str">
        <x:v>k2/cues/3</x:v>
      </x:c>
      <x:c r="F56" s="30" t="str">
        <x:v>cue.source_local_id / cue.kind</x:v>
      </x:c>
      <x:c r="G56" s="30" t="str">
        <x:v>https://raw.githubusercontent.com/4amGodvzx/ESAR/main/data/cue_list.json</x:v>
      </x:c>
    </x:row>
    <x:row r="57" ht="36" customHeight="1">
      <x:c r="A57" s="30" t="str">
        <x:v>k2</x:v>
      </x:c>
      <x:c r="B57" s="30" t="str">
        <x:v>cues</x:v>
      </x:c>
      <x:c r="C57" s="30" t="n">
        <x:v>4</x:v>
      </x:c>
      <x:c r="D57" s="30" t="str">
        <x:v>Bottle</x:v>
      </x:c>
      <x:c r="E57" s="30" t="str">
        <x:v>k2/cues/4</x:v>
      </x:c>
      <x:c r="F57" s="30" t="str">
        <x:v>cue.source_local_id / cue.kind</x:v>
      </x:c>
      <x:c r="G57" s="30" t="str">
        <x:v>https://raw.githubusercontent.com/4amGodvzx/ESAR/main/data/cue_list.json</x:v>
      </x:c>
    </x:row>
    <x:row r="58" ht="36" customHeight="1">
      <x:c r="A58" s="30" t="str">
        <x:v>k2</x:v>
      </x:c>
      <x:c r="B58" s="30" t="str">
        <x:v>cues</x:v>
      </x:c>
      <x:c r="C58" s="30" t="n">
        <x:v>5</x:v>
      </x:c>
      <x:c r="D58" s="30" t="str">
        <x:v>Bottle</x:v>
      </x:c>
      <x:c r="E58" s="30" t="str">
        <x:v>k2/cues/5</x:v>
      </x:c>
      <x:c r="F58" s="30" t="str">
        <x:v>cue.source_local_id / cue.kind</x:v>
      </x:c>
      <x:c r="G58" s="30" t="str">
        <x:v>https://raw.githubusercontent.com/4amGodvzx/ESAR/main/data/cue_list.json</x:v>
      </x:c>
    </x:row>
    <x:row r="59" ht="36" customHeight="1">
      <x:c r="A59" s="30" t="str">
        <x:v>k2</x:v>
      </x:c>
      <x:c r="B59" s="30" t="str">
        <x:v>cues</x:v>
      </x:c>
      <x:c r="C59" s="30" t="n">
        <x:v>6</x:v>
      </x:c>
      <x:c r="D59" s="30" t="str">
        <x:v>Bottle</x:v>
      </x:c>
      <x:c r="E59" s="30" t="str">
        <x:v>k2/cues/6</x:v>
      </x:c>
      <x:c r="F59" s="30" t="str">
        <x:v>cue.source_local_id / cue.kind</x:v>
      </x:c>
      <x:c r="G59" s="30" t="str">
        <x:v>https://raw.githubusercontent.com/4amGodvzx/ESAR/main/data/cue_list.json</x:v>
      </x:c>
    </x:row>
    <x:row r="60" ht="36" customHeight="1">
      <x:c r="A60" s="30" t="str">
        <x:v>k2</x:v>
      </x:c>
      <x:c r="B60" s="30" t="str">
        <x:v>cues</x:v>
      </x:c>
      <x:c r="C60" s="30" t="n">
        <x:v>7</x:v>
      </x:c>
      <x:c r="D60" s="30" t="str">
        <x:v>Flashlight</x:v>
      </x:c>
      <x:c r="E60" s="30" t="str">
        <x:v>k2/cues/7</x:v>
      </x:c>
      <x:c r="F60" s="30" t="str">
        <x:v>cue.source_local_id / cue.kind</x:v>
      </x:c>
      <x:c r="G60" s="30" t="str">
        <x:v>https://raw.githubusercontent.com/4amGodvzx/ESAR/main/data/cue_list.json</x:v>
      </x:c>
    </x:row>
    <x:row r="61" ht="36" customHeight="1">
      <x:c r="A61" s="30" t="str">
        <x:v>k2</x:v>
      </x:c>
      <x:c r="B61" s="30" t="str">
        <x:v>cues</x:v>
      </x:c>
      <x:c r="C61" s="30" t="n">
        <x:v>8</x:v>
      </x:c>
      <x:c r="D61" s="30" t="str">
        <x:v>Flashlight</x:v>
      </x:c>
      <x:c r="E61" s="30" t="str">
        <x:v>k2/cues/8</x:v>
      </x:c>
      <x:c r="F61" s="30" t="str">
        <x:v>cue.source_local_id / cue.kind</x:v>
      </x:c>
      <x:c r="G61" s="30" t="str">
        <x:v>https://raw.githubusercontent.com/4amGodvzx/ESAR/main/data/cue_list.json</x:v>
      </x:c>
    </x:row>
    <x:row r="62" ht="36" customHeight="1">
      <x:c r="A62" s="30" t="str">
        <x:v>k2</x:v>
      </x:c>
      <x:c r="B62" s="30" t="str">
        <x:v>cues</x:v>
      </x:c>
      <x:c r="C62" s="30" t="n">
        <x:v>9</x:v>
      </x:c>
      <x:c r="D62" s="30" t="str">
        <x:v>Jacket</x:v>
      </x:c>
      <x:c r="E62" s="30" t="str">
        <x:v>k2/cues/9</x:v>
      </x:c>
      <x:c r="F62" s="30" t="str">
        <x:v>cue.source_local_id / cue.kind</x:v>
      </x:c>
      <x:c r="G62" s="30" t="str">
        <x:v>https://raw.githubusercontent.com/4amGodvzx/ESAR/main/data/cue_list.json</x:v>
      </x:c>
    </x:row>
    <x:row r="63" ht="36" customHeight="1">
      <x:c r="A63" s="30" t="str">
        <x:v>k2</x:v>
      </x:c>
      <x:c r="B63" s="30" t="str">
        <x:v>cues</x:v>
      </x:c>
      <x:c r="C63" s="30" t="n">
        <x:v>10</x:v>
      </x:c>
      <x:c r="D63" s="30" t="str">
        <x:v>Jacket</x:v>
      </x:c>
      <x:c r="E63" s="30" t="str">
        <x:v>k2/cues/10</x:v>
      </x:c>
      <x:c r="F63" s="30" t="str">
        <x:v>cue.source_local_id / cue.kind</x:v>
      </x:c>
      <x:c r="G63" s="30" t="str">
        <x:v>https://raw.githubusercontent.com/4amGodvzx/ESAR/main/data/cue_list.json</x:v>
      </x:c>
    </x:row>
    <x:row r="64" ht="36" customHeight="1">
      <x:c r="A64" s="30" t="str">
        <x:v>k2</x:v>
      </x:c>
      <x:c r="B64" s="30" t="str">
        <x:v>cues</x:v>
      </x:c>
      <x:c r="C64" s="30" t="n">
        <x:v>11</x:v>
      </x:c>
      <x:c r="D64" s="30" t="str">
        <x:v>PlasticBag</x:v>
      </x:c>
      <x:c r="E64" s="30" t="str">
        <x:v>k2/cues/11</x:v>
      </x:c>
      <x:c r="F64" s="30" t="str">
        <x:v>cue.source_local_id / cue.kind</x:v>
      </x:c>
      <x:c r="G64" s="30" t="str">
        <x:v>https://raw.githubusercontent.com/4amGodvzx/ESAR/main/data/cue_list.json</x:v>
      </x:c>
    </x:row>
    <x:row r="65" ht="36" customHeight="1">
      <x:c r="A65" s="30" t="str">
        <x:v>k2</x:v>
      </x:c>
      <x:c r="B65" s="30" t="str">
        <x:v>cues</x:v>
      </x:c>
      <x:c r="C65" s="30" t="n">
        <x:v>12</x:v>
      </x:c>
      <x:c r="D65" s="30" t="str">
        <x:v>Powerbank</x:v>
      </x:c>
      <x:c r="E65" s="30" t="str">
        <x:v>k2/cues/12</x:v>
      </x:c>
      <x:c r="F65" s="30" t="str">
        <x:v>cue.source_local_id / cue.kind</x:v>
      </x:c>
      <x:c r="G65" s="30" t="str">
        <x:v>https://raw.githubusercontent.com/4amGodvzx/ESAR/main/data/cue_list.json</x:v>
      </x:c>
    </x:row>
    <x:row r="66" ht="36" customHeight="1">
      <x:c r="A66" s="30" t="str">
        <x:v>k2</x:v>
      </x:c>
      <x:c r="B66" s="30" t="str">
        <x:v>cues</x:v>
      </x:c>
      <x:c r="C66" s="30" t="n">
        <x:v>13</x:v>
      </x:c>
      <x:c r="D66" s="30" t="str">
        <x:v>Shoe</x:v>
      </x:c>
      <x:c r="E66" s="30" t="str">
        <x:v>k2/cues/13</x:v>
      </x:c>
      <x:c r="F66" s="30" t="str">
        <x:v>cue.source_local_id / cue.kind</x:v>
      </x:c>
      <x:c r="G66" s="30" t="str">
        <x:v>https://raw.githubusercontent.com/4amGodvzx/ESAR/main/data/cue_list.json</x:v>
      </x:c>
    </x:row>
    <x:row r="67" ht="36" customHeight="1">
      <x:c r="A67" s="30" t="str">
        <x:v>k2</x:v>
      </x:c>
      <x:c r="B67" s="30" t="str">
        <x:v>cues</x:v>
      </x:c>
      <x:c r="C67" s="30" t="n">
        <x:v>14</x:v>
      </x:c>
      <x:c r="D67" s="30" t="str">
        <x:v>SleepingBag</x:v>
      </x:c>
      <x:c r="E67" s="30" t="str">
        <x:v>k2/cues/14</x:v>
      </x:c>
      <x:c r="F67" s="30" t="str">
        <x:v>cue.source_local_id / cue.kind</x:v>
      </x:c>
      <x:c r="G67" s="30" t="str">
        <x:v>https://raw.githubusercontent.com/4amGodvzx/ESAR/main/data/cue_list.json</x:v>
      </x:c>
    </x:row>
    <x:row r="68" ht="36" customHeight="1">
      <x:c r="A68" s="30" t="str">
        <x:v>k2</x:v>
      </x:c>
      <x:c r="B68" s="30" t="str">
        <x:v>cues</x:v>
      </x:c>
      <x:c r="C68" s="30" t="n">
        <x:v>15</x:v>
      </x:c>
      <x:c r="D68" s="30" t="str">
        <x:v>SleepingBag</x:v>
      </x:c>
      <x:c r="E68" s="30" t="str">
        <x:v>k2/cues/15</x:v>
      </x:c>
      <x:c r="F68" s="30" t="str">
        <x:v>cue.source_local_id / cue.kind</x:v>
      </x:c>
      <x:c r="G68" s="30" t="str">
        <x:v>https://raw.githubusercontent.com/4amGodvzx/ESAR/main/data/cue_list.json</x:v>
      </x:c>
    </x:row>
    <x:row r="69" ht="36" customHeight="1">
      <x:c r="A69" s="30" t="str">
        <x:v>k2</x:v>
      </x:c>
      <x:c r="B69" s="30" t="str">
        <x:v>cues</x:v>
      </x:c>
      <x:c r="C69" s="30" t="n">
        <x:v>16</x:v>
      </x:c>
      <x:c r="D69" s="30" t="str">
        <x:v>SleepingBag</x:v>
      </x:c>
      <x:c r="E69" s="30" t="str">
        <x:v>k2/cues/16</x:v>
      </x:c>
      <x:c r="F69" s="30" t="str">
        <x:v>cue.source_local_id / cue.kind</x:v>
      </x:c>
      <x:c r="G69" s="30" t="str">
        <x:v>https://raw.githubusercontent.com/4amGodvzx/ESAR/main/data/cue_list.json</x:v>
      </x:c>
    </x:row>
    <x:row r="70" ht="36" customHeight="1">
      <x:c r="A70" s="30" t="str">
        <x:v>k2</x:v>
      </x:c>
      <x:c r="B70" s="30" t="str">
        <x:v>cues</x:v>
      </x:c>
      <x:c r="C70" s="30" t="n">
        <x:v>17</x:v>
      </x:c>
      <x:c r="D70" s="30" t="str">
        <x:v>Tent</x:v>
      </x:c>
      <x:c r="E70" s="30" t="str">
        <x:v>k2/cues/17</x:v>
      </x:c>
      <x:c r="F70" s="30" t="str">
        <x:v>cue.source_local_id / cue.kind</x:v>
      </x:c>
      <x:c r="G70" s="30" t="str">
        <x:v>https://raw.githubusercontent.com/4amGodvzx/ESAR/main/data/cue_list.json</x:v>
      </x:c>
    </x:row>
    <x:row r="71" ht="36" customHeight="1">
      <x:c r="A71" s="30" t="str">
        <x:v>k2</x:v>
      </x:c>
      <x:c r="B71" s="30" t="str">
        <x:v>cues</x:v>
      </x:c>
      <x:c r="C71" s="30" t="n">
        <x:v>18</x:v>
      </x:c>
      <x:c r="D71" s="30" t="str">
        <x:v>Tent</x:v>
      </x:c>
      <x:c r="E71" s="30" t="str">
        <x:v>k2/cues/18</x:v>
      </x:c>
      <x:c r="F71" s="30" t="str">
        <x:v>cue.source_local_id / cue.kind</x:v>
      </x:c>
      <x:c r="G71" s="30" t="str">
        <x:v>https://raw.githubusercontent.com/4amGodvzx/ESAR/main/data/cue_list.json</x:v>
      </x:c>
    </x:row>
    <x:row r="72" ht="36" customHeight="1">
      <x:c r="A72" s="30" t="str">
        <x:v>k2</x:v>
      </x:c>
      <x:c r="B72" s="30" t="str">
        <x:v>cues</x:v>
      </x:c>
      <x:c r="C72" s="30" t="n">
        <x:v>19</x:v>
      </x:c>
      <x:c r="D72" s="30" t="str">
        <x:v>Tent</x:v>
      </x:c>
      <x:c r="E72" s="30" t="str">
        <x:v>k2/cues/19</x:v>
      </x:c>
      <x:c r="F72" s="30" t="str">
        <x:v>cue.source_local_id / cue.kind</x:v>
      </x:c>
      <x:c r="G72" s="30" t="str">
        <x:v>https://raw.githubusercontent.com/4amGodvzx/ESAR/main/data/cue_list.json</x:v>
      </x:c>
    </x:row>
    <x:row r="73" ht="36" customHeight="1">
      <x:c r="A73" s="30" t="str">
        <x:v>k2</x:v>
      </x:c>
      <x:c r="B73" s="30" t="str">
        <x:v>cues</x:v>
      </x:c>
      <x:c r="C73" s="30" t="n">
        <x:v>20</x:v>
      </x:c>
      <x:c r="D73" s="30" t="str">
        <x:v>Tent</x:v>
      </x:c>
      <x:c r="E73" s="30" t="str">
        <x:v>k2/cues/20</x:v>
      </x:c>
      <x:c r="F73" s="30" t="str">
        <x:v>cue.source_local_id / cue.kind</x:v>
      </x:c>
      <x:c r="G73" s="30" t="str">
        <x:v>https://raw.githubusercontent.com/4amGodvzx/ESAR/main/data/cue_list.json</x:v>
      </x:c>
    </x:row>
    <x:row r="74" ht="36" customHeight="1">
      <x:c r="A74" s="30" t="str">
        <x:v>k2</x:v>
      </x:c>
      <x:c r="B74" s="30" t="str">
        <x:v>fire</x:v>
      </x:c>
      <x:c r="C74" s="30" t="n">
        <x:v>0</x:v>
      </x:c>
      <x:c r="D74" s="30" t="str">
        <x:v>Fire</x:v>
      </x:c>
      <x:c r="E74" s="30" t="str">
        <x:v>k2/fire/0</x:v>
      </x:c>
      <x:c r="F74" s="30" t="str">
        <x:v>cue.source_local_id / cue.kind</x:v>
      </x:c>
      <x:c r="G74" s="30" t="str">
        <x:v>https://raw.githubusercontent.com/4amGodvzx/ESAR/main/data/cue_list.json</x:v>
      </x:c>
    </x:row>
    <x:row r="75" ht="36" customHeight="1">
      <x:c r="A75" s="30" t="str">
        <x:v>k2</x:v>
      </x:c>
      <x:c r="B75" s="30" t="str">
        <x:v>fire</x:v>
      </x:c>
      <x:c r="C75" s="30" t="n">
        <x:v>1</x:v>
      </x:c>
      <x:c r="D75" s="30" t="str">
        <x:v>Flare</x:v>
      </x:c>
      <x:c r="E75" s="30" t="str">
        <x:v>k2/fire/1</x:v>
      </x:c>
      <x:c r="F75" s="30" t="str">
        <x:v>cue.source_local_id / cue.kind</x:v>
      </x:c>
      <x:c r="G75" s="30" t="str">
        <x:v>https://raw.githubusercontent.com/4amGodvzx/ESAR/main/data/cue_list.json</x:v>
      </x:c>
    </x:row>
    <x:row r="76" ht="36" customHeight="1">
      <x:c r="A76" s="30" t="str">
        <x:v>dapeng</x:v>
      </x:c>
      <x:c r="B76" s="30" t="str">
        <x:v>cues</x:v>
      </x:c>
      <x:c r="C76" s="30" t="n">
        <x:v>0</x:v>
      </x:c>
      <x:c r="D76" s="30" t="str">
        <x:v>Backpack</x:v>
      </x:c>
      <x:c r="E76" s="30" t="str">
        <x:v>dapeng/cues/0</x:v>
      </x:c>
      <x:c r="F76" s="30" t="str">
        <x:v>cue.source_local_id / cue.kind</x:v>
      </x:c>
      <x:c r="G76" s="30" t="str">
        <x:v>https://raw.githubusercontent.com/4amGodvzx/ESAR/main/data/cue_list.json</x:v>
      </x:c>
    </x:row>
    <x:row r="77" ht="36" customHeight="1">
      <x:c r="A77" s="30" t="str">
        <x:v>dapeng</x:v>
      </x:c>
      <x:c r="B77" s="30" t="str">
        <x:v>cues</x:v>
      </x:c>
      <x:c r="C77" s="30" t="n">
        <x:v>1</x:v>
      </x:c>
      <x:c r="D77" s="30" t="str">
        <x:v>Backpack</x:v>
      </x:c>
      <x:c r="E77" s="30" t="str">
        <x:v>dapeng/cues/1</x:v>
      </x:c>
      <x:c r="F77" s="30" t="str">
        <x:v>cue.source_local_id / cue.kind</x:v>
      </x:c>
      <x:c r="G77" s="30" t="str">
        <x:v>https://raw.githubusercontent.com/4amGodvzx/ESAR/main/data/cue_list.json</x:v>
      </x:c>
    </x:row>
    <x:row r="78" ht="36" customHeight="1">
      <x:c r="A78" s="30" t="str">
        <x:v>dapeng</x:v>
      </x:c>
      <x:c r="B78" s="30" t="str">
        <x:v>cues</x:v>
      </x:c>
      <x:c r="C78" s="30" t="n">
        <x:v>2</x:v>
      </x:c>
      <x:c r="D78" s="30" t="str">
        <x:v>Backpack</x:v>
      </x:c>
      <x:c r="E78" s="30" t="str">
        <x:v>dapeng/cues/2</x:v>
      </x:c>
      <x:c r="F78" s="30" t="str">
        <x:v>cue.source_local_id / cue.kind</x:v>
      </x:c>
      <x:c r="G78" s="30" t="str">
        <x:v>https://raw.githubusercontent.com/4amGodvzx/ESAR/main/data/cue_list.json</x:v>
      </x:c>
    </x:row>
    <x:row r="79" ht="36" customHeight="1">
      <x:c r="A79" s="30" t="str">
        <x:v>dapeng</x:v>
      </x:c>
      <x:c r="B79" s="30" t="str">
        <x:v>cues</x:v>
      </x:c>
      <x:c r="C79" s="30" t="n">
        <x:v>3</x:v>
      </x:c>
      <x:c r="D79" s="30" t="str">
        <x:v>Bottle</x:v>
      </x:c>
      <x:c r="E79" s="30" t="str">
        <x:v>dapeng/cues/3</x:v>
      </x:c>
      <x:c r="F79" s="30" t="str">
        <x:v>cue.source_local_id / cue.kind</x:v>
      </x:c>
      <x:c r="G79" s="30" t="str">
        <x:v>https://raw.githubusercontent.com/4amGodvzx/ESAR/main/data/cue_list.json</x:v>
      </x:c>
    </x:row>
    <x:row r="80" ht="36" customHeight="1">
      <x:c r="A80" s="30" t="str">
        <x:v>dapeng</x:v>
      </x:c>
      <x:c r="B80" s="30" t="str">
        <x:v>cues</x:v>
      </x:c>
      <x:c r="C80" s="30" t="n">
        <x:v>4</x:v>
      </x:c>
      <x:c r="D80" s="30" t="str">
        <x:v>Bottle</x:v>
      </x:c>
      <x:c r="E80" s="30" t="str">
        <x:v>dapeng/cues/4</x:v>
      </x:c>
      <x:c r="F80" s="30" t="str">
        <x:v>cue.source_local_id / cue.kind</x:v>
      </x:c>
      <x:c r="G80" s="30" t="str">
        <x:v>https://raw.githubusercontent.com/4amGodvzx/ESAR/main/data/cue_list.json</x:v>
      </x:c>
    </x:row>
    <x:row r="81" ht="36" customHeight="1">
      <x:c r="A81" s="30" t="str">
        <x:v>dapeng</x:v>
      </x:c>
      <x:c r="B81" s="30" t="str">
        <x:v>cues</x:v>
      </x:c>
      <x:c r="C81" s="30" t="n">
        <x:v>5</x:v>
      </x:c>
      <x:c r="D81" s="30" t="str">
        <x:v>Bottle</x:v>
      </x:c>
      <x:c r="E81" s="30" t="str">
        <x:v>dapeng/cues/5</x:v>
      </x:c>
      <x:c r="F81" s="30" t="str">
        <x:v>cue.source_local_id / cue.kind</x:v>
      </x:c>
      <x:c r="G81" s="30" t="str">
        <x:v>https://raw.githubusercontent.com/4amGodvzx/ESAR/main/data/cue_list.json</x:v>
      </x:c>
    </x:row>
    <x:row r="82" ht="36" customHeight="1">
      <x:c r="A82" s="30" t="str">
        <x:v>dapeng</x:v>
      </x:c>
      <x:c r="B82" s="30" t="str">
        <x:v>cues</x:v>
      </x:c>
      <x:c r="C82" s="30" t="n">
        <x:v>6</x:v>
      </x:c>
      <x:c r="D82" s="30" t="str">
        <x:v>Bottle</x:v>
      </x:c>
      <x:c r="E82" s="30" t="str">
        <x:v>dapeng/cues/6</x:v>
      </x:c>
      <x:c r="F82" s="30" t="str">
        <x:v>cue.source_local_id / cue.kind</x:v>
      </x:c>
      <x:c r="G82" s="30" t="str">
        <x:v>https://raw.githubusercontent.com/4amGodvzx/ESAR/main/data/cue_list.json</x:v>
      </x:c>
    </x:row>
    <x:row r="83" ht="36" customHeight="1">
      <x:c r="A83" s="30" t="str">
        <x:v>dapeng</x:v>
      </x:c>
      <x:c r="B83" s="30" t="str">
        <x:v>cues</x:v>
      </x:c>
      <x:c r="C83" s="30" t="n">
        <x:v>7</x:v>
      </x:c>
      <x:c r="D83" s="30" t="str">
        <x:v>Campfire</x:v>
      </x:c>
      <x:c r="E83" s="30" t="str">
        <x:v>dapeng/cues/7</x:v>
      </x:c>
      <x:c r="F83" s="30" t="str">
        <x:v>cue.source_local_id / cue.kind</x:v>
      </x:c>
      <x:c r="G83" s="30" t="str">
        <x:v>https://raw.githubusercontent.com/4amGodvzx/ESAR/main/data/cue_list.json</x:v>
      </x:c>
    </x:row>
    <x:row r="84" ht="36" customHeight="1">
      <x:c r="A84" s="30" t="str">
        <x:v>dapeng</x:v>
      </x:c>
      <x:c r="B84" s="30" t="str">
        <x:v>cues</x:v>
      </x:c>
      <x:c r="C84" s="30" t="n">
        <x:v>8</x:v>
      </x:c>
      <x:c r="D84" s="30" t="str">
        <x:v>Campfire</x:v>
      </x:c>
      <x:c r="E84" s="30" t="str">
        <x:v>dapeng/cues/8</x:v>
      </x:c>
      <x:c r="F84" s="30" t="str">
        <x:v>cue.source_local_id / cue.kind</x:v>
      </x:c>
      <x:c r="G84" s="30" t="str">
        <x:v>https://raw.githubusercontent.com/4amGodvzx/ESAR/main/data/cue_list.json</x:v>
      </x:c>
    </x:row>
    <x:row r="85" ht="36" customHeight="1">
      <x:c r="A85" s="30" t="str">
        <x:v>dapeng</x:v>
      </x:c>
      <x:c r="B85" s="30" t="str">
        <x:v>cues</x:v>
      </x:c>
      <x:c r="C85" s="30" t="n">
        <x:v>9</x:v>
      </x:c>
      <x:c r="D85" s="30" t="str">
        <x:v>Flashlight</x:v>
      </x:c>
      <x:c r="E85" s="30" t="str">
        <x:v>dapeng/cues/9</x:v>
      </x:c>
      <x:c r="F85" s="30" t="str">
        <x:v>cue.source_local_id / cue.kind</x:v>
      </x:c>
      <x:c r="G85" s="30" t="str">
        <x:v>https://raw.githubusercontent.com/4amGodvzx/ESAR/main/data/cue_list.json</x:v>
      </x:c>
    </x:row>
    <x:row r="86" ht="36" customHeight="1">
      <x:c r="A86" s="30" t="str">
        <x:v>dapeng</x:v>
      </x:c>
      <x:c r="B86" s="30" t="str">
        <x:v>cues</x:v>
      </x:c>
      <x:c r="C86" s="30" t="n">
        <x:v>10</x:v>
      </x:c>
      <x:c r="D86" s="30" t="str">
        <x:v>Flashlight</x:v>
      </x:c>
      <x:c r="E86" s="30" t="str">
        <x:v>dapeng/cues/10</x:v>
      </x:c>
      <x:c r="F86" s="30" t="str">
        <x:v>cue.source_local_id / cue.kind</x:v>
      </x:c>
      <x:c r="G86" s="30" t="str">
        <x:v>https://raw.githubusercontent.com/4amGodvzx/ESAR/main/data/cue_list.json</x:v>
      </x:c>
    </x:row>
    <x:row r="87" ht="36" customHeight="1">
      <x:c r="A87" s="30" t="str">
        <x:v>dapeng</x:v>
      </x:c>
      <x:c r="B87" s="30" t="str">
        <x:v>cues</x:v>
      </x:c>
      <x:c r="C87" s="30" t="n">
        <x:v>11</x:v>
      </x:c>
      <x:c r="D87" s="30" t="str">
        <x:v>Jacket</x:v>
      </x:c>
      <x:c r="E87" s="30" t="str">
        <x:v>dapeng/cues/11</x:v>
      </x:c>
      <x:c r="F87" s="30" t="str">
        <x:v>cue.source_local_id / cue.kind</x:v>
      </x:c>
      <x:c r="G87" s="30" t="str">
        <x:v>https://raw.githubusercontent.com/4amGodvzx/ESAR/main/data/cue_list.json</x:v>
      </x:c>
    </x:row>
    <x:row r="88" ht="36" customHeight="1">
      <x:c r="A88" s="30" t="str">
        <x:v>dapeng</x:v>
      </x:c>
      <x:c r="B88" s="30" t="str">
        <x:v>cues</x:v>
      </x:c>
      <x:c r="C88" s="30" t="n">
        <x:v>12</x:v>
      </x:c>
      <x:c r="D88" s="30" t="str">
        <x:v>Jacket</x:v>
      </x:c>
      <x:c r="E88" s="30" t="str">
        <x:v>dapeng/cues/12</x:v>
      </x:c>
      <x:c r="F88" s="30" t="str">
        <x:v>cue.source_local_id / cue.kind</x:v>
      </x:c>
      <x:c r="G88" s="30" t="str">
        <x:v>https://raw.githubusercontent.com/4amGodvzx/ESAR/main/data/cue_list.json</x:v>
      </x:c>
    </x:row>
    <x:row r="89" ht="36" customHeight="1">
      <x:c r="A89" s="30" t="str">
        <x:v>dapeng</x:v>
      </x:c>
      <x:c r="B89" s="30" t="str">
        <x:v>cues</x:v>
      </x:c>
      <x:c r="C89" s="30" t="n">
        <x:v>13</x:v>
      </x:c>
      <x:c r="D89" s="30" t="str">
        <x:v>PlasticBag</x:v>
      </x:c>
      <x:c r="E89" s="30" t="str">
        <x:v>dapeng/cues/13</x:v>
      </x:c>
      <x:c r="F89" s="30" t="str">
        <x:v>cue.source_local_id / cue.kind</x:v>
      </x:c>
      <x:c r="G89" s="30" t="str">
        <x:v>https://raw.githubusercontent.com/4amGodvzx/ESAR/main/data/cue_list.json</x:v>
      </x:c>
    </x:row>
    <x:row r="90" ht="36" customHeight="1">
      <x:c r="A90" s="30" t="str">
        <x:v>dapeng</x:v>
      </x:c>
      <x:c r="B90" s="30" t="str">
        <x:v>cues</x:v>
      </x:c>
      <x:c r="C90" s="30" t="n">
        <x:v>14</x:v>
      </x:c>
      <x:c r="D90" s="30" t="str">
        <x:v>Powerbank</x:v>
      </x:c>
      <x:c r="E90" s="30" t="str">
        <x:v>dapeng/cues/14</x:v>
      </x:c>
      <x:c r="F90" s="30" t="str">
        <x:v>cue.source_local_id / cue.kind</x:v>
      </x:c>
      <x:c r="G90" s="30" t="str">
        <x:v>https://raw.githubusercontent.com/4amGodvzx/ESAR/main/data/cue_list.json</x:v>
      </x:c>
    </x:row>
    <x:row r="91" ht="36" customHeight="1">
      <x:c r="A91" s="30" t="str">
        <x:v>dapeng</x:v>
      </x:c>
      <x:c r="B91" s="30" t="str">
        <x:v>cues</x:v>
      </x:c>
      <x:c r="C91" s="30" t="n">
        <x:v>15</x:v>
      </x:c>
      <x:c r="D91" s="30" t="str">
        <x:v>Shoe</x:v>
      </x:c>
      <x:c r="E91" s="30" t="str">
        <x:v>dapeng/cues/15</x:v>
      </x:c>
      <x:c r="F91" s="30" t="str">
        <x:v>cue.source_local_id / cue.kind</x:v>
      </x:c>
      <x:c r="G91" s="30" t="str">
        <x:v>https://raw.githubusercontent.com/4amGodvzx/ESAR/main/data/cue_list.json</x:v>
      </x:c>
    </x:row>
    <x:row r="92" ht="36" customHeight="1">
      <x:c r="A92" s="30" t="str">
        <x:v>dapeng</x:v>
      </x:c>
      <x:c r="B92" s="30" t="str">
        <x:v>cues</x:v>
      </x:c>
      <x:c r="C92" s="30" t="n">
        <x:v>16</x:v>
      </x:c>
      <x:c r="D92" s="30" t="str">
        <x:v>SleepingBag</x:v>
      </x:c>
      <x:c r="E92" s="30" t="str">
        <x:v>dapeng/cues/16</x:v>
      </x:c>
      <x:c r="F92" s="30" t="str">
        <x:v>cue.source_local_id / cue.kind</x:v>
      </x:c>
      <x:c r="G92" s="30" t="str">
        <x:v>https://raw.githubusercontent.com/4amGodvzx/ESAR/main/data/cue_list.json</x:v>
      </x:c>
    </x:row>
    <x:row r="93" ht="36" customHeight="1">
      <x:c r="A93" s="30" t="str">
        <x:v>dapeng</x:v>
      </x:c>
      <x:c r="B93" s="30" t="str">
        <x:v>cues</x:v>
      </x:c>
      <x:c r="C93" s="30" t="n">
        <x:v>17</x:v>
      </x:c>
      <x:c r="D93" s="30" t="str">
        <x:v>SleepingBag</x:v>
      </x:c>
      <x:c r="E93" s="30" t="str">
        <x:v>dapeng/cues/17</x:v>
      </x:c>
      <x:c r="F93" s="30" t="str">
        <x:v>cue.source_local_id / cue.kind</x:v>
      </x:c>
      <x:c r="G93" s="30" t="str">
        <x:v>https://raw.githubusercontent.com/4amGodvzx/ESAR/main/data/cue_list.json</x:v>
      </x:c>
    </x:row>
    <x:row r="94" ht="36" customHeight="1">
      <x:c r="A94" s="30" t="str">
        <x:v>dapeng</x:v>
      </x:c>
      <x:c r="B94" s="30" t="str">
        <x:v>cues</x:v>
      </x:c>
      <x:c r="C94" s="30" t="n">
        <x:v>18</x:v>
      </x:c>
      <x:c r="D94" s="30" t="str">
        <x:v>SleepingBag</x:v>
      </x:c>
      <x:c r="E94" s="30" t="str">
        <x:v>dapeng/cues/18</x:v>
      </x:c>
      <x:c r="F94" s="30" t="str">
        <x:v>cue.source_local_id / cue.kind</x:v>
      </x:c>
      <x:c r="G94" s="30" t="str">
        <x:v>https://raw.githubusercontent.com/4amGodvzx/ESAR/main/data/cue_list.json</x:v>
      </x:c>
    </x:row>
    <x:row r="95" ht="36" customHeight="1">
      <x:c r="A95" s="30" t="str">
        <x:v>dapeng</x:v>
      </x:c>
      <x:c r="B95" s="30" t="str">
        <x:v>cues</x:v>
      </x:c>
      <x:c r="C95" s="30" t="n">
        <x:v>19</x:v>
      </x:c>
      <x:c r="D95" s="30" t="str">
        <x:v>Tent</x:v>
      </x:c>
      <x:c r="E95" s="30" t="str">
        <x:v>dapeng/cues/19</x:v>
      </x:c>
      <x:c r="F95" s="30" t="str">
        <x:v>cue.source_local_id / cue.kind</x:v>
      </x:c>
      <x:c r="G95" s="30" t="str">
        <x:v>https://raw.githubusercontent.com/4amGodvzx/ESAR/main/data/cue_list.json</x:v>
      </x:c>
    </x:row>
    <x:row r="96" ht="36" customHeight="1">
      <x:c r="A96" s="30" t="str">
        <x:v>dapeng</x:v>
      </x:c>
      <x:c r="B96" s="30" t="str">
        <x:v>cues</x:v>
      </x:c>
      <x:c r="C96" s="30" t="n">
        <x:v>20</x:v>
      </x:c>
      <x:c r="D96" s="30" t="str">
        <x:v>Tent</x:v>
      </x:c>
      <x:c r="E96" s="30" t="str">
        <x:v>dapeng/cues/20</x:v>
      </x:c>
      <x:c r="F96" s="30" t="str">
        <x:v>cue.source_local_id / cue.kind</x:v>
      </x:c>
      <x:c r="G96" s="30" t="str">
        <x:v>https://raw.githubusercontent.com/4amGodvzx/ESAR/main/data/cue_list.json</x:v>
      </x:c>
    </x:row>
    <x:row r="97" ht="36" customHeight="1">
      <x:c r="A97" s="30" t="str">
        <x:v>dapeng</x:v>
      </x:c>
      <x:c r="B97" s="30" t="str">
        <x:v>fire</x:v>
      </x:c>
      <x:c r="C97" s="30" t="n">
        <x:v>0</x:v>
      </x:c>
      <x:c r="D97" s="30" t="str">
        <x:v>Fire</x:v>
      </x:c>
      <x:c r="E97" s="30" t="str">
        <x:v>dapeng/fire/0</x:v>
      </x:c>
      <x:c r="F97" s="30" t="str">
        <x:v>cue.source_local_id / cue.kind</x:v>
      </x:c>
      <x:c r="G97" s="30" t="str">
        <x:v>https://raw.githubusercontent.com/4amGodvzx/ESAR/main/data/cue_list.json</x:v>
      </x:c>
    </x:row>
    <x:row r="98" ht="36" customHeight="1">
      <x:c r="A98" s="30" t="str">
        <x:v>dapeng</x:v>
      </x:c>
      <x:c r="B98" s="30" t="str">
        <x:v>fire</x:v>
      </x:c>
      <x:c r="C98" s="30" t="n">
        <x:v>1</x:v>
      </x:c>
      <x:c r="D98" s="30" t="str">
        <x:v>Fire</x:v>
      </x:c>
      <x:c r="E98" s="30" t="str">
        <x:v>dapeng/fire/1</x:v>
      </x:c>
      <x:c r="F98" s="30" t="str">
        <x:v>cue.source_local_id / cue.kind</x:v>
      </x:c>
      <x:c r="G98" s="30" t="str">
        <x:v>https://raw.githubusercontent.com/4amGodvzx/ESAR/main/data/cue_list.json</x:v>
      </x:c>
    </x:row>
    <x:row r="99" ht="36" customHeight="1">
      <x:c r="A99" s="30" t="str">
        <x:v>dapeng</x:v>
      </x:c>
      <x:c r="B99" s="30" t="str">
        <x:v>fire</x:v>
      </x:c>
      <x:c r="C99" s="30" t="n">
        <x:v>2</x:v>
      </x:c>
      <x:c r="D99" s="30" t="str">
        <x:v>Flare</x:v>
      </x:c>
      <x:c r="E99" s="30" t="str">
        <x:v>dapeng/fire/2</x:v>
      </x:c>
      <x:c r="F99" s="30" t="str">
        <x:v>cue.source_local_id / cue.kind</x:v>
      </x:c>
      <x:c r="G99" s="30" t="str">
        <x:v>https://raw.githubusercontent.com/4amGodvzx/ESAR/main/data/cue_list.json</x:v>
      </x:c>
    </x:row>
  </x:sheetData>
  <x:mergeCells>
    <x:mergeCell ref="A1:G1"/>
    <x:mergeCell ref="A2:G2"/>
  </x:mergeCells>
  <x:pageMargins left="0.7" right="0.7" top="0.75" bottom="0.75" header="0.3" footer="0.3"/>
  <x:tableParts count="1">
    <x:tablePart xmlns:r="http://schemas.openxmlformats.org/officeDocument/2006/relationships" r:id="Rfa8481dfc4c24215"/>
  </x:tableParts>
</x:worksheet>
</file>

<file path=xl/worksheets/sheet14.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34" hidden="0" customWidth="1"/>
    <x:col min="3" max="3" width="58" hidden="0" customWidth="1"/>
    <x:col min="4" max="4" width="65" hidden="0" customWidth="1"/>
    <x:col min="5" max="5" width="58" hidden="0" customWidth="1"/>
    <x:col min="6" max="6" width="20" hidden="0" customWidth="1"/>
    <x:col min="7" max="7" width="55" hidden="0" customWidth="1"/>
  </x:cols>
  <x:sheetData>
    <x:row r="1" ht="33" customHeight="1">
      <x:c r="A1" s="8" t="str">
        <x:v>18条生成/派生/转移/评估规则</x:v>
      </x:c>
      <x:c r="B1" s="8"/>
      <x:c r="C1" s="8"/>
      <x:c r="D1" s="8"/>
      <x:c r="E1" s="8"/>
      <x:c r="F1" s="8"/>
      <x:c r="G1" s="8"/>
    </x:row>
    <x:row r="2" ht="34" customHeight="1">
      <x:c r="A2" s="15" t="str">
        <x:v>场景规则只生成世界与合法效应；不会自动把D2建筑转换为预设SearchBuilding任务。所有概率和耗时参数未经校准则标合成</x:v>
      </x:c>
      <x:c r="B2" s="15"/>
      <x:c r="C2" s="15"/>
      <x:c r="D2" s="15"/>
      <x:c r="E2" s="15"/>
      <x:c r="F2" s="15"/>
      <x:c r="G2" s="15"/>
    </x:row>
    <x:row r="3">
      <x:c r="A3" s="4"/>
      <x:c r="B3" s="4"/>
      <x:c r="C3" s="4"/>
      <x:c r="D3" s="4"/>
      <x:c r="E3" s="4"/>
      <x:c r="F3" s="4"/>
      <x:c r="G3" s="4"/>
    </x:row>
    <x:row r="4" ht="29" customHeight="1">
      <x:c r="A4" s="23" t="str">
        <x:v>规则ID</x:v>
      </x:c>
      <x:c r="B4" s="23" t="str">
        <x:v>规则</x:v>
      </x:c>
      <x:c r="C4" s="23" t="str">
        <x:v>输入字段</x:v>
      </x:c>
      <x:c r="D4" s="23" t="str">
        <x:v>输出实体/语义</x:v>
      </x:c>
      <x:c r="E4" s="23" t="str">
        <x:v>输出字段</x:v>
      </x:c>
      <x:c r="F4" s="23" t="str">
        <x:v>来源ID</x:v>
      </x:c>
      <x:c r="G4" s="23" t="str">
        <x:v>来源URL</x:v>
      </x:c>
    </x:row>
    <x:row r="5" ht="125" customHeight="1">
      <x:c r="A5" s="30" t="str">
        <x:v>G01</x:v>
      </x:c>
      <x:c r="B5" s="30" t="str">
        <x:v>布置平面底图</x:v>
      </x:c>
      <x:c r="C5" s="30" t="str">
        <x:v>region.land_use
region.building_density
region.road_pattern
episode.map_bounds_m
episode.seed</x:v>
      </x:c>
      <x:c r="D5" s="30" t="str">
        <x:v>建筑、道路、地块、树草水体实体及空间关系</x:v>
      </x:c>
      <x:c r="E5" s="30" t="str">
        <x:v>entity.footprint
entity.kind
road.centerline
road.width_m
building.use</x:v>
      </x:c>
      <x:c r="F5" s="30" t="str">
        <x:v>S07；S08；S15；S24</x:v>
      </x:c>
      <x:c r="G5" s="30" t="str">
        <x:v>https://github.com/BinaLab/RescueNet-A-High-Resolution-Post-Disaster-UAV-Dataset-for-Semantic-Segmentation
https://github.com/BinaLab/FloodNet-Supervised_v1.0
https://github.com/namurproject/SAREnv</x:v>
      </x:c>
    </x:row>
    <x:row r="6" ht="125" customHeight="1">
      <x:c r="A6" s="30" t="str">
        <x:v>G02</x:v>
      </x:c>
      <x:c r="B6" s="30" t="str">
        <x:v>采样灾前占用</x:v>
      </x:c>
      <x:c r="C6" s="30" t="str">
        <x:v>building.use
building.capacity
region.occupancy_prior_id
episode.seed</x:v>
      </x:c>
      <x:c r="D6" s="30" t="str">
        <x:v>生成原有人口/撤离先验；不是damage直接决定有没有人</x:v>
      </x:c>
      <x:c r="E6" s="30" t="str">
        <x:v>building.occupant_ids
human.location_context
human.needs</x:v>
      </x:c>
      <x:c r="F6" s="30" t="str">
        <x:v>S01；S24</x:v>
      </x:c>
      <x:c r="G6" s="30" t="str">
        <x:v>https://insarag.org/wp-content/uploads/2021/06/INSARAG20Guidelines20Vol20II2C20Man20B.pdf</x:v>
      </x:c>
    </x:row>
    <x:row r="7" ht="125" customHeight="1">
      <x:c r="A7" s="30" t="str">
        <x:v>G03</x:v>
      </x:c>
      <x:c r="B7" s="30" t="str">
        <x:v>生成空间相关灾害</x:v>
      </x:c>
      <x:c r="C7" s="30" t="str">
        <x:v>region.disaster_profile_id
episode.seed</x:v>
      </x:c>
      <x:c r="D7" s="30" t="str">
        <x:v>危险强度/影响区及显式次生事件</x:v>
      </x:c>
      <x:c r="E7" s="30" t="str">
        <x:v>hazard.kind
hazard.footprint
hazard.intensity
hazard.secondary_event</x:v>
      </x:c>
      <x:c r="F7" s="30" t="str">
        <x:v>S22；S23；S24</x:v>
      </x:c>
      <x:c r="G7" s="30" t="str">
        <x:v>https://www.undrr.org/m/risk-and-resilience-maps/
https://github.com/prs-eth/xbd-s12/blob/main/DATASET.md</x:v>
      </x:c>
    </x:row>
    <x:row r="8" ht="125" customHeight="1">
      <x:c r="A8" s="30" t="str">
        <x:v>G04</x:v>
      </x:c>
      <x:c r="B8" s="30" t="str">
        <x:v>建筑损毁与外观</x:v>
      </x:c>
      <x:c r="C8" s="30" t="str">
        <x:v>hazard.intensity
building.structure
building.floors</x:v>
      </x:c>
      <x:c r="D8" s="30" t="str">
        <x:v>损毁状态/可见几何配置；统计模型未校准须标合成</x:v>
      </x:c>
      <x:c r="E8" s="30" t="str">
        <x:v>building.visual_damage
building.structural_condition
building.roof_loss_ratio
building.wall_damage
building.render_variant</x:v>
      </x:c>
      <x:c r="F8" s="30" t="str">
        <x:v>S07；S09；S24</x:v>
      </x:c>
      <x:c r="G8" s="30" t="str">
        <x:v>https://github.com/BinaLab/RescueNet-A-High-Resolution-Post-Disaster-UAV-Dataset-for-Semantic-Segmentation
https://arxiv.org/abs/1911.09296</x:v>
      </x:c>
    </x:row>
    <x:row r="9" ht="125" customHeight="1">
      <x:c r="A9" s="30" t="str">
        <x:v>G05</x:v>
      </x:c>
      <x:c r="B9" s="30" t="str">
        <x:v>损毁产生障碍</x:v>
      </x:c>
      <x:c r="C9" s="30" t="str">
        <x:v>building.wall_damage
building.roof_loss_ratio
building.structure
hazard.wind_mps</x:v>
      </x:c>
      <x:c r="D9" s="30" t="str">
        <x:v>创建残骸/倒树/屋面板，位置与母结构及地块一致</x:v>
      </x:c>
      <x:c r="E9" s="30" t="str">
        <x:v>obstacle.kind
obstacle.material
obstacle.source_id
obstacle.volume_m3
obstacle.state</x:v>
      </x:c>
      <x:c r="F9" s="30" t="str">
        <x:v>S01；S07；S24</x:v>
      </x:c>
      <x:c r="G9" s="30" t="str">
        <x:v>https://insarag.org/wp-content/uploads/2021/06/INSARAG20Guidelines20Vol20II2C20Man20B.pdf
https://github.com/BinaLab/RescueNet-A-High-Resolution-Post-Disaster-UAV-Dataset-for-Semantic-Segmentation</x:v>
      </x:c>
    </x:row>
    <x:row r="10" ht="125" customHeight="1">
      <x:c r="A10" s="30" t="str">
        <x:v>G06</x:v>
      </x:c>
      <x:c r="B10" s="30" t="str">
        <x:v>人员暴露与受困</x:v>
      </x:c>
      <x:c r="C10" s="30" t="str">
        <x:v>building.occupant_ids
building.structural_condition
hazard.intensity</x:v>
      </x:c>
      <x:c r="D10" s="30" t="str">
        <x:v>改变已存在人员状态及位置，不将D0视为无人</x:v>
      </x:c>
      <x:c r="E10" s="30" t="str">
        <x:v>human.mobility
human.injury
human.buriedness
human.location_context</x:v>
      </x:c>
      <x:c r="F10" s="30" t="str">
        <x:v>S01；S03；S24</x:v>
      </x:c>
      <x:c r="G10" s="30" t="str">
        <x:v>https://insarag.org/wp-content/uploads/2021/06/INSARAG20Guidelines20Vol20II2C20Man20B.pdf
https://roborescue.github.io/rcrs-server/rcrs-server/index.html</x:v>
      </x:c>
    </x:row>
    <x:row r="11" ht="125" customHeight="1">
      <x:c r="A11" s="30" t="str">
        <x:v>G07</x:v>
      </x:c>
      <x:c r="B11" s="30" t="str">
        <x:v>配置可搜索线索</x:v>
      </x:c>
      <x:c r="C11" s="30" t="str">
        <x:v>human.location_context
episode.seed
region.land_use</x:v>
      </x:c>
      <x:c r="D11" s="30" t="str">
        <x:v>生成线索及隐藏关联，可有无关/过期线索</x:v>
      </x:c>
      <x:c r="E11" s="30" t="str">
        <x:v>cue.kind
cue.related_human_id
cue.location
cue.age_s
cue.signal_state</x:v>
      </x:c>
      <x:c r="F11" s="30" t="str">
        <x:v>S04；S05；S26</x:v>
      </x:c>
      <x:c r="G11" s="30" t="str">
        <x:v>https://www.darpa.mil/research/programs/darpa-subterranean-challenge
https://4amgodvzx.github.io/ESAR.github.io/
https://raw.githubusercontent.com/4amGodvzx/ESAR/main/data/cue_list.json</x:v>
      </x:c>
    </x:row>
    <x:row r="12" ht="125" customHeight="1">
      <x:c r="A12" s="30" t="str">
        <x:v>D01</x:v>
      </x:c>
      <x:c r="B12" s="30" t="str">
        <x:v>派生平台可达</x:v>
      </x:c>
      <x:c r="C12" s="30" t="str">
        <x:v>entity.footprint
obstacle.state
road.width_m
platform.width_m
platform.swept_radius_m
platform.water_tolerance_m</x:v>
      </x:c>
      <x:c r="D12" s="30" t="str">
        <x:v>几何净空/水深/台阶/平台约束，而非road_blocked一刀切</x:v>
      </x:c>
      <x:c r="E12" s="30" t="str">
        <x:v>road.obstacle_ids
road.clear_width_m
road.passability
road.travel_cost</x:v>
      </x:c>
      <x:c r="F12" s="30" t="str">
        <x:v>S02；S03；S24</x:v>
      </x:c>
      <x:c r="G12" s="30" t="str">
        <x:v>https://www.nist.gov/programs-projects/department-homeland-security-response-robot-performance-standards
https://roborescue.github.io/rcrs-server/rcrs-server/index.html</x:v>
      </x:c>
    </x:row>
    <x:row r="13" ht="125" customHeight="1">
      <x:c r="A13" s="30" t="str">
        <x:v>D02</x:v>
      </x:c>
      <x:c r="B13" s="30" t="str">
        <x:v>派生视线与传感条件</x:v>
      </x:c>
      <x:c r="C13" s="30" t="str">
        <x:v>entity.pose
entity.height_m
human.pose
sensor.mount_pose
sensor.fov_deg
hazard.smoke_density</x:v>
      </x:c>
      <x:c r="D13" s="30" t="str">
        <x:v>生成实际帧/观测；隐藏人员不作为标签附给Agent</x:v>
      </x:c>
      <x:c r="E13" s="30" t="str">
        <x:v>human.visibility_context
observation.payload_ref
observation.mode</x:v>
      </x:c>
      <x:c r="F13" s="30" t="str">
        <x:v>S02；S05；S11；S24</x:v>
      </x:c>
      <x:c r="G13" s="30" t="str">
        <x:v>https://www.nist.gov/programs-projects/department-homeland-security-response-robot-performance-standards
https://4amgodvzx.github.io/ESAR.github.io/
https://arxiv.org/abs/2309.09518</x:v>
      </x:c>
    </x:row>
    <x:row r="14" ht="125" customHeight="1">
      <x:c r="A14" s="30" t="str">
        <x:v>D03</x:v>
      </x:c>
      <x:c r="B14" s="30" t="str">
        <x:v>载荷和库存守恒</x:v>
      </x:c>
      <x:c r="C14" s="30" t="str">
        <x:v>item.holder_id
item.mass_kg
item.quantity
platform.payload_capacity_kg</x:v>
      </x:c>
      <x:c r="D14" s="30" t="str">
        <x:v>物资转移时重算载荷/库存；禁止复制/瞬间消失</x:v>
      </x:c>
      <x:c r="E14" s="30" t="str">
        <x:v>platform.payload_used_kg
platform.payload_item_ids
station.inventory</x:v>
      </x:c>
      <x:c r="F14" s="30" t="str">
        <x:v>S02；S24</x:v>
      </x:c>
      <x:c r="G14" s="30" t="str">
        <x:v>https://www.nist.gov/programs-projects/department-homeland-security-response-robot-performance-standards</x:v>
      </x:c>
    </x:row>
    <x:row r="15" ht="125" customHeight="1">
      <x:c r="A15" s="30" t="str">
        <x:v>D04</x:v>
      </x:c>
      <x:c r="B15" s="30" t="str">
        <x:v>能源统一账本</x:v>
      </x:c>
      <x:c r="C15" s="30" t="str">
        <x:v>platform.energy_model
radio.energy_Wh
compute.energy_Wh
action.consumed_resources</x:v>
      </x:c>
      <x:c r="D15" s="30" t="str">
        <x:v>按同一计费边界汇总，保留模拟与实测模式</x:v>
      </x:c>
      <x:c r="E15" s="30" t="str">
        <x:v>platform.battery_remaining_Wh
evaluation.energy_Wh</x:v>
      </x:c>
      <x:c r="F15" s="30" t="str">
        <x:v>S18；S24</x:v>
      </x:c>
      <x:c r="G15" s="30" t="str">
        <x:v>https://www.nsnam.org/docs/models/html/energy.html</x:v>
      </x:c>
    </x:row>
    <x:row r="16" ht="125" customHeight="1">
      <x:c r="A16" s="30" t="str">
        <x:v>D05</x:v>
      </x:c>
      <x:c r="B16" s="30" t="str">
        <x:v>网络业务可用性</x:v>
      </x:c>
      <x:c r="C16" s="30" t="str">
        <x:v>message.received_fragments
message.content_hash
message.correlation_id</x:v>
      </x:c>
      <x:c r="D16" s="30" t="str">
        <x:v>完整送达与校验后才给收件人本地副本</x:v>
      </x:c>
      <x:c r="E16" s="30" t="str">
        <x:v>message.local_availability
assignment.delivery_state</x:v>
      </x:c>
      <x:c r="F16" s="30" t="str">
        <x:v>S17；S24；S25</x:v>
      </x:c>
      <x:c r="G16" s="30" t="str">
        <x:v>https://www.nsnam.org/docs/models/html/wifi-design.html</x:v>
      </x:c>
    </x:row>
    <x:row r="17" ht="125" customHeight="1">
      <x:c r="A17" s="30" t="str">
        <x:v>D06</x:v>
      </x:c>
      <x:c r="B17" s="30" t="str">
        <x:v>计算准入与进度</x:v>
      </x:c>
      <x:c r="C17" s="30" t="str">
        <x:v>job.cpu_request
job.memory_request_bytes
compute.cpu_capacity
compute.memory_capacity_bytes
service.status</x:v>
      </x:c>
      <x:c r="D17" s="30" t="str">
        <x:v>入队/占用/执行/结果回传分开</x:v>
      </x:c>
      <x:c r="E17" s="30" t="str">
        <x:v>job.status
compute.queue_ids
compute.running_job_ids</x:v>
      </x:c>
      <x:c r="F17" s="30" t="str">
        <x:v>S19；S20；S21；S24</x:v>
      </x:c>
      <x:c r="G17" s="30" t="str">
        <x:v>https://design.ros2.org/articles/actions.html
https://kubernetes.io/docs/concepts/configuration/manage-resources-containers/
https://docs.mlcommons.org/inference/benchmarks/language/llama3_1-8b/</x:v>
      </x:c>
    </x:row>
    <x:row r="18" ht="125" customHeight="1">
      <x:c r="A18" s="30" t="str">
        <x:v>T01</x:v>
      </x:c>
      <x:c r="B18" s="30" t="str">
        <x:v>抽象室内搜索结算</x:v>
      </x:c>
      <x:c r="C18" s="30" t="str">
        <x:v>building.occupant_ids
building.search_difficulty
building.interior_area_m2
sensor.noise_model
action.parameters</x:v>
      </x:c>
      <x:c r="D18" s="30" t="str">
        <x:v>同一隐藏真值固定，搜索模型允许漏检；耗时/占用/能源计入</x:v>
      </x:c>
      <x:c r="E18" s="30" t="str">
        <x:v>building.search_coverage_truth
observation.mode
observation.payload_ref</x:v>
      </x:c>
      <x:c r="F18" s="30" t="str">
        <x:v>S01；S24</x:v>
      </x:c>
      <x:c r="G18" s="30" t="str">
        <x:v>https://insarag.org/wp-content/uploads/2021/06/INSARAG20Guidelines20Vol20II2C20Man20B.pdf</x:v>
      </x:c>
    </x:row>
    <x:row r="19" ht="125" customHeight="1">
      <x:c r="A19" s="30" t="str">
        <x:v>T02</x:v>
      </x:c>
      <x:c r="B19" s="30" t="str">
        <x:v>合法操作提交与反馈</x:v>
      </x:c>
      <x:c r="C19" s="30" t="str">
        <x:v>platform.capability_ids
equipment.rated_load_kg
task.revision
action.status</x:v>
      </x:c>
      <x:c r="D19" s="30" t="str">
        <x:v>方法与能力/资源匹配，运行失败保留反馈和已耗成本</x:v>
      </x:c>
      <x:c r="E19" s="30" t="str">
        <x:v>action.status
action.feedback
action.result
task.progress</x:v>
      </x:c>
      <x:c r="F19" s="30" t="str">
        <x:v>S02；S19；S24</x:v>
      </x:c>
      <x:c r="G19" s="30" t="str">
        <x:v>https://www.nist.gov/programs-projects/department-homeland-security-response-robot-performance-standards
https://design.ros2.org/articles/actions.html</x:v>
      </x:c>
    </x:row>
    <x:row r="20" ht="125" customHeight="1">
      <x:c r="A20" s="30" t="str">
        <x:v>T03</x:v>
      </x:c>
      <x:c r="B20" s="30" t="str">
        <x:v>人员支援独立结算</x:v>
      </x:c>
      <x:c r="C20" s="30" t="str">
        <x:v>human.mobility
item.receipt_id
equipment.operator_authority
human.handover_status</x:v>
      </x:c>
      <x:c r="D20" s="30" t="str">
        <x:v>发现、供给、解困、医疗、装载、移交分别登记</x:v>
      </x:c>
      <x:c r="E20" s="30" t="str">
        <x:v>human.support_received
human.carrier_id
human.destination_id
human.handover_status</x:v>
      </x:c>
      <x:c r="F20" s="30" t="str">
        <x:v>S01；S06；S24</x:v>
      </x:c>
      <x:c r="G20" s="30" t="str">
        <x:v>https://insarag.org/wp-content/uploads/2021/06/INSARAG20Guidelines20Vol20II2C20Man20B.pdf
https://github.com/UnrealZoo/RescueBench</x:v>
      </x:c>
    </x:row>
    <x:row r="21" ht="125" customHeight="1">
      <x:c r="A21" s="30" t="str">
        <x:v>T04</x:v>
      </x:c>
      <x:c r="B21" s="30" t="str">
        <x:v>本地认知更新</x:v>
      </x:c>
      <x:c r="C21" s="30" t="str">
        <x:v>observation.payload_ref
message.local_availability
task.status</x:v>
      </x:c>
      <x:c r="D21" s="30" t="str">
        <x:v>只更新本机已见/已收到内容；不会写入世界物理真值</x:v>
      </x:c>
      <x:c r="E21" s="30" t="str">
        <x:v>belief.current_goal_context
belief.evidence_ids
belief.updated_at_s
belief.team_estimates</x:v>
      </x:c>
      <x:c r="F21" s="30" t="str">
        <x:v>S24；S25</x:v>
      </x:c>
      <x:c r="G21" s="30" t="str"/>
    </x:row>
    <x:row r="22" ht="125" customHeight="1">
      <x:c r="A22" s="30" t="str">
        <x:v>E01</x:v>
      </x:c>
      <x:c r="B22" s="30" t="str">
        <x:v>独立全局评价</x:v>
      </x:c>
      <x:c r="C22" s="30" t="str">
        <x:v>evaluation.score_spec
action.result
human.support_received
human.handover_status
building.search_coverage_truth</x:v>
      </x:c>
      <x:c r="D22" s="30" t="str">
        <x:v>按固定口径统计，重复发现/领取不能刷分；不从奖励泄露每栋答案</x:v>
      </x:c>
      <x:c r="E22" s="30" t="str">
        <x:v>evaluation.detection_counts
evaluation.support_counts
evaluation.search_coverage
evaluation.response_time_s</x:v>
      </x:c>
      <x:c r="F22" s="30" t="str">
        <x:v>S01；S05；S06；S24</x:v>
      </x:c>
      <x:c r="G22" s="30" t="str">
        <x:v>https://insarag.org/wp-content/uploads/2021/06/INSARAG20Guidelines20Vol20II2C20Man20B.pdf
https://4amgodvzx.github.io/ESAR.github.io/
https://github.com/UnrealZoo/RescueBench</x:v>
      </x:c>
    </x:row>
  </x:sheetData>
  <x:mergeCells>
    <x:mergeCell ref="A1:G1"/>
    <x:mergeCell ref="A2:G2"/>
  </x:mergeCells>
  <x:pageMargins left="0.7" right="0.7" top="0.75" bottom="0.75" header="0.3" footer="0.3"/>
  <x:tableParts count="1">
    <x:tablePart xmlns:r="http://schemas.openxmlformats.org/officeDocument/2006/relationships" r:id="R7ed91c49f56344db"/>
  </x:tableParts>
</x:worksheet>
</file>

<file path=xl/worksheets/sheet15.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38" hidden="0" customWidth="1"/>
    <x:col min="3" max="3" width="12" hidden="0" customWidth="1"/>
    <x:col min="4" max="4" width="42" hidden="0" customWidth="1"/>
    <x:col min="5" max="5" width="42" hidden="0" customWidth="1"/>
    <x:col min="6" max="6" width="40" hidden="0" customWidth="1"/>
  </x:cols>
  <x:sheetData>
    <x:row r="1" ht="33" customHeight="1">
      <x:c r="A1" s="8" t="str">
        <x:v>情境—任务可用性全展开</x:v>
      </x:c>
      <x:c r="B1" s="8"/>
      <x:c r="C1" s="8"/>
      <x:c r="D1" s="8"/>
      <x:c r="E1" s="8"/>
      <x:c r="F1" s="8"/>
    </x:row>
    <x:row r="2" ht="34" customHeight="1">
      <x:c r="A2" s="15" t="str">
        <x:v>映射表示在符合装备/对象条件时可生成的任务池，不是各情境必须执行全部任务；不允许由此泄露隐藏人员</x:v>
      </x:c>
      <x:c r="B2" s="15"/>
      <x:c r="C2" s="15"/>
      <x:c r="D2" s="15"/>
      <x:c r="E2" s="15"/>
      <x:c r="F2" s="15"/>
    </x:row>
    <x:row r="3">
      <x:c r="A3" s="4"/>
      <x:c r="B3" s="4"/>
      <x:c r="C3" s="4"/>
      <x:c r="D3" s="4"/>
      <x:c r="E3" s="4"/>
      <x:c r="F3" s="4"/>
    </x:row>
    <x:row r="4" ht="29" customHeight="1">
      <x:c r="A4" s="23" t="str">
        <x:v>情境ID</x:v>
      </x:c>
      <x:c r="B4" s="23" t="str">
        <x:v>情境名称</x:v>
      </x:c>
      <x:c r="C4" s="23" t="str">
        <x:v>任务ID</x:v>
      </x:c>
      <x:c r="D4" s="23" t="str">
        <x:v>任务名称</x:v>
      </x:c>
      <x:c r="E4" s="23" t="str">
        <x:v>映射含义</x:v>
      </x:c>
      <x:c r="F4" s="23" t="str">
        <x:v>能力范围</x:v>
      </x:c>
    </x:row>
    <x:row r="5" ht="40" customHeight="1">
      <x:c r="A5" s="30" t="str">
        <x:v>SC01</x:v>
      </x:c>
      <x:c r="B5" s="30" t="str">
        <x:v>地震/建筑坍塌街区</x:v>
      </x:c>
      <x:c r="C5" s="30" t="str">
        <x:v>T001</x:v>
      </x:c>
      <x:c r="D5" s="30" t="str">
        <x:v>区域快速普查</x:v>
      </x:c>
      <x:c r="E5" s="30" t="str">
        <x:v>可候选；Agent决定是否创建/执行</x:v>
      </x:c>
      <x:c r="F5" s="30" t="str">
        <x:v>基线：依实际装配启用</x:v>
      </x:c>
    </x:row>
    <x:row r="6" ht="40" customHeight="1">
      <x:c r="A6" s="30" t="str">
        <x:v>SC01</x:v>
      </x:c>
      <x:c r="B6" s="30" t="str">
        <x:v>地震/建筑坍塌街区</x:v>
      </x:c>
      <x:c r="C6" s="30" t="str">
        <x:v>T002</x:v>
      </x:c>
      <x:c r="D6" s="30" t="str">
        <x:v>建筑外部损毁评估</x:v>
      </x:c>
      <x:c r="E6" s="30" t="str">
        <x:v>可候选；Agent决定是否创建/执行</x:v>
      </x:c>
      <x:c r="F6" s="30" t="str">
        <x:v>基线：依实际装配启用</x:v>
      </x:c>
    </x:row>
    <x:row r="7" ht="40" customHeight="1">
      <x:c r="A7" s="30" t="str">
        <x:v>SC01</x:v>
      </x:c>
      <x:c r="B7" s="30" t="str">
        <x:v>地震/建筑坍塌街区</x:v>
      </x:c>
      <x:c r="C7" s="30" t="str">
        <x:v>T003</x:v>
      </x:c>
      <x:c r="D7" s="30" t="str">
        <x:v>道路与通路灾后评估</x:v>
      </x:c>
      <x:c r="E7" s="30" t="str">
        <x:v>可候选；Agent决定是否创建/执行</x:v>
      </x:c>
      <x:c r="F7" s="30" t="str">
        <x:v>基线：依实际装配启用</x:v>
      </x:c>
    </x:row>
    <x:row r="8" ht="40" customHeight="1">
      <x:c r="A8" s="30" t="str">
        <x:v>SC01</x:v>
      </x:c>
      <x:c r="B8" s="30" t="str">
        <x:v>地震/建筑坍塌街区</x:v>
      </x:c>
      <x:c r="C8" s="30" t="str">
        <x:v>T004</x:v>
      </x:c>
      <x:c r="D8" s="30" t="str">
        <x:v>入口与屋顶交付区检查</x:v>
      </x:c>
      <x:c r="E8" s="30" t="str">
        <x:v>可候选；Agent决定是否创建/执行</x:v>
      </x:c>
      <x:c r="F8" s="30" t="str">
        <x:v>基线：依实际装配启用</x:v>
      </x:c>
    </x:row>
    <x:row r="9" ht="40" customHeight="1">
      <x:c r="A9" s="30" t="str">
        <x:v>SC01</x:v>
      </x:c>
      <x:c r="B9" s="30" t="str">
        <x:v>地震/建筑坍塌街区</x:v>
      </x:c>
      <x:c r="C9" s="30" t="str">
        <x:v>T007</x:v>
      </x:c>
      <x:c r="D9" s="30" t="str">
        <x:v>灾前灾后变化与地图更新</x:v>
      </x:c>
      <x:c r="E9" s="30" t="str">
        <x:v>可候选；Agent决定是否创建/执行</x:v>
      </x:c>
      <x:c r="F9" s="30" t="str">
        <x:v>基线：依实际装配启用</x:v>
      </x:c>
    </x:row>
    <x:row r="10" ht="40" customHeight="1">
      <x:c r="A10" s="30" t="str">
        <x:v>SC01</x:v>
      </x:c>
      <x:c r="B10" s="30" t="str">
        <x:v>地震/建筑坍塌街区</x:v>
      </x:c>
      <x:c r="C10" s="30" t="str">
        <x:v>T008</x:v>
      </x:c>
      <x:c r="D10" s="30" t="str">
        <x:v>建筑/区域覆盖登记</x:v>
      </x:c>
      <x:c r="E10" s="30" t="str">
        <x:v>可候选；Agent决定是否创建/执行</x:v>
      </x:c>
      <x:c r="F10" s="30" t="str">
        <x:v>基线：依实际装配启用</x:v>
      </x:c>
    </x:row>
    <x:row r="11" ht="40" customHeight="1">
      <x:c r="A11" s="30" t="str">
        <x:v>SC01</x:v>
      </x:c>
      <x:c r="B11" s="30" t="str">
        <x:v>地震/建筑坍塌街区</x:v>
      </x:c>
      <x:c r="C11" s="30" t="str">
        <x:v>T009</x:v>
      </x:c>
      <x:c r="D11" s="30" t="str">
        <x:v>系统空中人员搜索</x:v>
      </x:c>
      <x:c r="E11" s="30" t="str">
        <x:v>可候选；Agent决定是否创建/执行</x:v>
      </x:c>
      <x:c r="F11" s="30" t="str">
        <x:v>基线：依实际装配启用</x:v>
      </x:c>
    </x:row>
    <x:row r="12" ht="40" customHeight="1">
      <x:c r="A12" s="30" t="str">
        <x:v>SC01</x:v>
      </x:c>
      <x:c r="B12" s="30" t="str">
        <x:v>地震/建筑坍塌街区</x:v>
      </x:c>
      <x:c r="C12" s="30" t="str">
        <x:v>T010</x:v>
      </x:c>
      <x:c r="D12" s="30" t="str">
        <x:v>线索发现与语义解读</x:v>
      </x:c>
      <x:c r="E12" s="30" t="str">
        <x:v>可候选；Agent决定是否创建/执行</x:v>
      </x:c>
      <x:c r="F12" s="30" t="str">
        <x:v>基线：依实际装配启用</x:v>
      </x:c>
    </x:row>
    <x:row r="13" ht="40" customHeight="1">
      <x:c r="A13" s="30" t="str">
        <x:v>SC01</x:v>
      </x:c>
      <x:c r="B13" s="30" t="str">
        <x:v>地震/建筑坍塌街区</x:v>
      </x:c>
      <x:c r="C13" s="30" t="str">
        <x:v>T011</x:v>
      </x:c>
      <x:c r="D13" s="30" t="str">
        <x:v>疑似目标多视角复核</x:v>
      </x:c>
      <x:c r="E13" s="30" t="str">
        <x:v>可候选；Agent决定是否创建/执行</x:v>
      </x:c>
      <x:c r="F13" s="30" t="str">
        <x:v>基线：依实际装配启用</x:v>
      </x:c>
    </x:row>
    <x:row r="14" ht="40" customHeight="1">
      <x:c r="A14" s="30" t="str">
        <x:v>SC01</x:v>
      </x:c>
      <x:c r="B14" s="30" t="str">
        <x:v>地震/建筑坍塌街区</x:v>
      </x:c>
      <x:c r="C14" s="30" t="str">
        <x:v>T012</x:v>
      </x:c>
      <x:c r="D14" s="30" t="str">
        <x:v>目标定位跟踪与跨视角关联</x:v>
      </x:c>
      <x:c r="E14" s="30" t="str">
        <x:v>可候选；Agent决定是否创建/执行</x:v>
      </x:c>
      <x:c r="F14" s="30" t="str">
        <x:v>基线：依实际装配启用</x:v>
      </x:c>
    </x:row>
    <x:row r="15" ht="40" customHeight="1">
      <x:c r="A15" s="30" t="str">
        <x:v>SC01</x:v>
      </x:c>
      <x:c r="B15" s="30" t="str">
        <x:v>地震/建筑坍塌街区</x:v>
      </x:c>
      <x:c r="C15" s="30" t="str">
        <x:v>T013</x:v>
      </x:c>
      <x:c r="D15" s="30" t="str">
        <x:v>近地外部与狭窄区搜索</x:v>
      </x:c>
      <x:c r="E15" s="30" t="str">
        <x:v>可候选；Agent决定是否创建/执行</x:v>
      </x:c>
      <x:c r="F15" s="30" t="str">
        <x:v>基线：依实际装配启用</x:v>
      </x:c>
    </x:row>
    <x:row r="16" ht="40" customHeight="1">
      <x:c r="A16" s="30" t="str">
        <x:v>SC01</x:v>
      </x:c>
      <x:c r="B16" s="30" t="str">
        <x:v>地震/建筑坍塌街区</x:v>
      </x:c>
      <x:c r="C16" s="30" t="str">
        <x:v>T014</x:v>
      </x:c>
      <x:c r="D16" s="30" t="str">
        <x:v>建筑内部初次抽象搜索</x:v>
      </x:c>
      <x:c r="E16" s="30" t="str">
        <x:v>可候选；Agent决定是否创建/执行</x:v>
      </x:c>
      <x:c r="F16" s="30" t="str">
        <x:v>基线：依实际装配启用</x:v>
      </x:c>
    </x:row>
    <x:row r="17" ht="40" customHeight="1">
      <x:c r="A17" s="30" t="str">
        <x:v>SC01</x:v>
      </x:c>
      <x:c r="B17" s="30" t="str">
        <x:v>地震/建筑坍塌街区</x:v>
      </x:c>
      <x:c r="C17" s="30" t="str">
        <x:v>T015</x:v>
      </x:c>
      <x:c r="D17" s="30" t="str">
        <x:v>建筑内部复搜/完整搜索</x:v>
      </x:c>
      <x:c r="E17" s="30" t="str">
        <x:v>可候选；Agent决定是否创建/执行</x:v>
      </x:c>
      <x:c r="F17" s="30" t="str">
        <x:v>基线：依实际装配启用</x:v>
      </x:c>
    </x:row>
    <x:row r="18" ht="40" customHeight="1">
      <x:c r="A18" s="30" t="str">
        <x:v>SC01</x:v>
      </x:c>
      <x:c r="B18" s="30" t="str">
        <x:v>地震/建筑坍塌街区</x:v>
      </x:c>
      <x:c r="C18" s="30" t="str">
        <x:v>T019</x:v>
      </x:c>
      <x:c r="D18" s="30" t="str">
        <x:v>空中转场与观察点到达</x:v>
      </x:c>
      <x:c r="E18" s="30" t="str">
        <x:v>可候选；Agent决定是否创建/执行</x:v>
      </x:c>
      <x:c r="F18" s="30" t="str">
        <x:v>基线：依实际装配启用</x:v>
      </x:c>
    </x:row>
    <x:row r="19" ht="40" customHeight="1">
      <x:c r="A19" s="30" t="str">
        <x:v>SC01</x:v>
      </x:c>
      <x:c r="B19" s="30" t="str">
        <x:v>地震/建筑坍塌街区</x:v>
      </x:c>
      <x:c r="C19" s="30" t="str">
        <x:v>T020</x:v>
      </x:c>
      <x:c r="D19" s="30" t="str">
        <x:v>地面转场与绕行</x:v>
      </x:c>
      <x:c r="E19" s="30" t="str">
        <x:v>可候选；Agent决定是否创建/执行</x:v>
      </x:c>
      <x:c r="F19" s="30" t="str">
        <x:v>基线：依实际装配启用</x:v>
      </x:c>
    </x:row>
    <x:row r="20" ht="40" customHeight="1">
      <x:c r="A20" s="30" t="str">
        <x:v>SC01</x:v>
      </x:c>
      <x:c r="B20" s="30" t="str">
        <x:v>地震/建筑坍塌街区</x:v>
      </x:c>
      <x:c r="C20" s="30" t="str">
        <x:v>T021</x:v>
      </x:c>
      <x:c r="D20" s="30" t="str">
        <x:v>障碍接近探测与路径验证</x:v>
      </x:c>
      <x:c r="E20" s="30" t="str">
        <x:v>可候选；Agent决定是否创建/执行</x:v>
      </x:c>
      <x:c r="F20" s="30" t="str">
        <x:v>基线：依实际装配启用</x:v>
      </x:c>
    </x:row>
    <x:row r="21" ht="40" customHeight="1">
      <x:c r="A21" s="30" t="str">
        <x:v>SC01</x:v>
      </x:c>
      <x:c r="B21" s="30" t="str">
        <x:v>地震/建筑坍塌街区</x:v>
      </x:c>
      <x:c r="C21" s="30" t="str">
        <x:v>T022</x:v>
      </x:c>
      <x:c r="D21" s="30" t="str">
        <x:v>轻型残骸移除</x:v>
      </x:c>
      <x:c r="E21" s="30" t="str">
        <x:v>可候选；Agent决定是否创建/执行</x:v>
      </x:c>
      <x:c r="F21" s="30" t="str">
        <x:v>条件扩展：明确设备/专业服务后启用</x:v>
      </x:c>
    </x:row>
    <x:row r="22" ht="40" customHeight="1">
      <x:c r="A22" s="30" t="str">
        <x:v>SC01</x:v>
      </x:c>
      <x:c r="B22" s="30" t="str">
        <x:v>地震/建筑坍塌街区</x:v>
      </x:c>
      <x:c r="C22" s="30" t="str">
        <x:v>T023</x:v>
      </x:c>
      <x:c r="D22" s="30" t="str">
        <x:v>重型道路清障</x:v>
      </x:c>
      <x:c r="E22" s="30" t="str">
        <x:v>可候选；Agent决定是否创建/执行</x:v>
      </x:c>
      <x:c r="F22" s="30" t="str">
        <x:v>条件扩展：明确设备/专业服务后启用</x:v>
      </x:c>
    </x:row>
    <x:row r="23" ht="40" customHeight="1">
      <x:c r="A23" s="30" t="str">
        <x:v>SC01</x:v>
      </x:c>
      <x:c r="B23" s="30" t="str">
        <x:v>地震/建筑坍塌街区</x:v>
      </x:c>
      <x:c r="C23" s="30" t="str">
        <x:v>T024</x:v>
      </x:c>
      <x:c r="D23" s="30" t="str">
        <x:v>入口开辟与局部破拆</x:v>
      </x:c>
      <x:c r="E23" s="30" t="str">
        <x:v>可候选；Agent决定是否创建/执行</x:v>
      </x:c>
      <x:c r="F23" s="30" t="str">
        <x:v>条件扩展：明确设备/专业服务后启用</x:v>
      </x:c>
    </x:row>
    <x:row r="24" ht="40" customHeight="1">
      <x:c r="A24" s="30" t="str">
        <x:v>SC01</x:v>
      </x:c>
      <x:c r="B24" s="30" t="str">
        <x:v>地震/建筑坍塌街区</x:v>
      </x:c>
      <x:c r="C24" s="30" t="str">
        <x:v>T025</x:v>
      </x:c>
      <x:c r="D24" s="30" t="str">
        <x:v>危险结构临时支撑</x:v>
      </x:c>
      <x:c r="E24" s="30" t="str">
        <x:v>可候选；Agent决定是否创建/执行</x:v>
      </x:c>
      <x:c r="F24" s="30" t="str">
        <x:v>条件扩展：明确设备/专业服务后启用</x:v>
      </x:c>
    </x:row>
    <x:row r="25" ht="40" customHeight="1">
      <x:c r="A25" s="30" t="str">
        <x:v>SC01</x:v>
      </x:c>
      <x:c r="B25" s="30" t="str">
        <x:v>地震/建筑坍塌街区</x:v>
      </x:c>
      <x:c r="C25" s="30" t="str">
        <x:v>T026</x:v>
      </x:c>
      <x:c r="D25" s="30" t="str">
        <x:v>吊升/移置大块障碍</x:v>
      </x:c>
      <x:c r="E25" s="30" t="str">
        <x:v>可候选；Agent决定是否创建/执行</x:v>
      </x:c>
      <x:c r="F25" s="30" t="str">
        <x:v>条件扩展：明确设备/专业服务后启用</x:v>
      </x:c>
    </x:row>
    <x:row r="26" ht="40" customHeight="1">
      <x:c r="A26" s="30" t="str">
        <x:v>SC01</x:v>
      </x:c>
      <x:c r="B26" s="30" t="str">
        <x:v>地震/建筑坍塌街区</x:v>
      </x:c>
      <x:c r="C26" s="30" t="str">
        <x:v>T027</x:v>
      </x:c>
      <x:c r="D26" s="30" t="str">
        <x:v>建立联系并确认需求</x:v>
      </x:c>
      <x:c r="E26" s="30" t="str">
        <x:v>可候选；Agent决定是否创建/执行</x:v>
      </x:c>
      <x:c r="F26" s="30" t="str">
        <x:v>基线：依实际装配启用</x:v>
      </x:c>
    </x:row>
    <x:row r="27" ht="40" customHeight="1">
      <x:c r="A27" s="30" t="str">
        <x:v>SC01</x:v>
      </x:c>
      <x:c r="B27" s="30" t="str">
        <x:v>地震/建筑坍塌街区</x:v>
      </x:c>
      <x:c r="C27" s="30" t="str">
        <x:v>T028</x:v>
      </x:c>
      <x:c r="D27" s="30" t="str">
        <x:v>安全警示与避险引导</x:v>
      </x:c>
      <x:c r="E27" s="30" t="str">
        <x:v>可候选；Agent决定是否创建/执行</x:v>
      </x:c>
      <x:c r="F27" s="30" t="str">
        <x:v>基线：依实际装配启用</x:v>
      </x:c>
    </x:row>
    <x:row r="28" ht="40" customHeight="1">
      <x:c r="A28" s="30" t="str">
        <x:v>SC01</x:v>
      </x:c>
      <x:c r="B28" s="30" t="str">
        <x:v>地震/建筑坍塌街区</x:v>
      </x:c>
      <x:c r="C28" s="30" t="str">
        <x:v>T029</x:v>
      </x:c>
      <x:c r="D28" s="30" t="str">
        <x:v>专业伤员评估与分级</x:v>
      </x:c>
      <x:c r="E28" s="30" t="str">
        <x:v>可候选；Agent决定是否创建/执行</x:v>
      </x:c>
      <x:c r="F28" s="30" t="str">
        <x:v>条件扩展：明确设备/专业服务后启用</x:v>
      </x:c>
    </x:row>
    <x:row r="29" ht="40" customHeight="1">
      <x:c r="A29" s="30" t="str">
        <x:v>SC01</x:v>
      </x:c>
      <x:c r="B29" s="30" t="str">
        <x:v>地震/建筑坍塌街区</x:v>
      </x:c>
      <x:c r="C29" s="30" t="str">
        <x:v>T030</x:v>
      </x:c>
      <x:c r="D29" s="30" t="str">
        <x:v>人员基础物资支援</x:v>
      </x:c>
      <x:c r="E29" s="30" t="str">
        <x:v>可候选；Agent决定是否创建/执行</x:v>
      </x:c>
      <x:c r="F29" s="30" t="str">
        <x:v>基线：依实际装配启用</x:v>
      </x:c>
    </x:row>
    <x:row r="30" ht="40" customHeight="1">
      <x:c r="A30" s="30" t="str">
        <x:v>SC01</x:v>
      </x:c>
      <x:c r="B30" s="30" t="str">
        <x:v>地震/建筑坍塌街区</x:v>
      </x:c>
      <x:c r="C30" s="30" t="str">
        <x:v>T031</x:v>
      </x:c>
      <x:c r="D30" s="30" t="str">
        <x:v>专业初步救护</x:v>
      </x:c>
      <x:c r="E30" s="30" t="str">
        <x:v>可候选；Agent决定是否创建/执行</x:v>
      </x:c>
      <x:c r="F30" s="30" t="str">
        <x:v>条件扩展：明确设备/专业服务后启用</x:v>
      </x:c>
    </x:row>
    <x:row r="31" ht="40" customHeight="1">
      <x:c r="A31" s="30" t="str">
        <x:v>SC01</x:v>
      </x:c>
      <x:c r="B31" s="30" t="str">
        <x:v>地震/建筑坍塌街区</x:v>
      </x:c>
      <x:c r="C31" s="30" t="str">
        <x:v>T032</x:v>
      </x:c>
      <x:c r="D31" s="30" t="str">
        <x:v>受困解除/解困</x:v>
      </x:c>
      <x:c r="E31" s="30" t="str">
        <x:v>可候选；Agent决定是否创建/执行</x:v>
      </x:c>
      <x:c r="F31" s="30" t="str">
        <x:v>条件扩展：明确设备/专业服务后启用</x:v>
      </x:c>
    </x:row>
    <x:row r="32" ht="40" customHeight="1">
      <x:c r="A32" s="30" t="str">
        <x:v>SC01</x:v>
      </x:c>
      <x:c r="B32" s="30" t="str">
        <x:v>地震/建筑坍塌街区</x:v>
      </x:c>
      <x:c r="C32" s="30" t="str">
        <x:v>T033</x:v>
      </x:c>
      <x:c r="D32" s="30" t="str">
        <x:v>人员装载</x:v>
      </x:c>
      <x:c r="E32" s="30" t="str">
        <x:v>可候选；Agent决定是否创建/执行</x:v>
      </x:c>
      <x:c r="F32" s="30" t="str">
        <x:v>条件扩展：明确设备/专业服务后启用</x:v>
      </x:c>
    </x:row>
    <x:row r="33" ht="40" customHeight="1">
      <x:c r="A33" s="30" t="str">
        <x:v>SC01</x:v>
      </x:c>
      <x:c r="B33" s="30" t="str">
        <x:v>地震/建筑坍塌街区</x:v>
      </x:c>
      <x:c r="C33" s="30" t="str">
        <x:v>T034</x:v>
      </x:c>
      <x:c r="D33" s="30" t="str">
        <x:v>人员转运</x:v>
      </x:c>
      <x:c r="E33" s="30" t="str">
        <x:v>可候选；Agent决定是否创建/执行</x:v>
      </x:c>
      <x:c r="F33" s="30" t="str">
        <x:v>条件扩展：明确设备/专业服务后启用</x:v>
      </x:c>
    </x:row>
    <x:row r="34" ht="40" customHeight="1">
      <x:c r="A34" s="30" t="str">
        <x:v>SC01</x:v>
      </x:c>
      <x:c r="B34" s="30" t="str">
        <x:v>地震/建筑坍塌街区</x:v>
      </x:c>
      <x:c r="C34" s="30" t="str">
        <x:v>T035</x:v>
      </x:c>
      <x:c r="D34" s="30" t="str">
        <x:v>救援/医疗最终移交</x:v>
      </x:c>
      <x:c r="E34" s="30" t="str">
        <x:v>可候选；Agent决定是否创建/执行</x:v>
      </x:c>
      <x:c r="F34" s="30" t="str">
        <x:v>条件扩展：明确设备/专业服务后启用</x:v>
      </x:c>
    </x:row>
    <x:row r="35" ht="40" customHeight="1">
      <x:c r="A35" s="30" t="str">
        <x:v>SC01</x:v>
      </x:c>
      <x:c r="B35" s="30" t="str">
        <x:v>地震/建筑坍塌街区</x:v>
      </x:c>
      <x:c r="C35" s="30" t="str">
        <x:v>T037</x:v>
      </x:c>
      <x:c r="D35" s="30" t="str">
        <x:v>救援转恢复阶段的遗体移交</x:v>
      </x:c>
      <x:c r="E35" s="30" t="str">
        <x:v>可候选；Agent决定是否创建/执行</x:v>
      </x:c>
      <x:c r="F35" s="30" t="str">
        <x:v>条件扩展：明确设备/专业服务后启用</x:v>
      </x:c>
    </x:row>
    <x:row r="36" ht="40" customHeight="1">
      <x:c r="A36" s="30" t="str">
        <x:v>SC01</x:v>
      </x:c>
      <x:c r="B36" s="30" t="str">
        <x:v>地震/建筑坍塌街区</x:v>
      </x:c>
      <x:c r="C36" s="30" t="str">
        <x:v>T038</x:v>
      </x:c>
      <x:c r="D36" s="30" t="str">
        <x:v>货物取用与挂载</x:v>
      </x:c>
      <x:c r="E36" s="30" t="str">
        <x:v>可候选；Agent决定是否创建/执行</x:v>
      </x:c>
      <x:c r="F36" s="30" t="str">
        <x:v>基线：依实际装配启用</x:v>
      </x:c>
    </x:row>
    <x:row r="37" ht="40" customHeight="1">
      <x:c r="A37" s="30" t="str">
        <x:v>SC01</x:v>
      </x:c>
      <x:c r="B37" s="30" t="str">
        <x:v>地震/建筑坍塌街区</x:v>
      </x:c>
      <x:c r="C37" s="30" t="str">
        <x:v>T039</x:v>
      </x:c>
      <x:c r="D37" s="30" t="str">
        <x:v>无人机精确物资投送</x:v>
      </x:c>
      <x:c r="E37" s="30" t="str">
        <x:v>可候选；Agent决定是否创建/执行</x:v>
      </x:c>
      <x:c r="F37" s="30" t="str">
        <x:v>基线：依实际装配启用</x:v>
      </x:c>
    </x:row>
    <x:row r="38" ht="40" customHeight="1">
      <x:c r="A38" s="30" t="str">
        <x:v>SC01</x:v>
      </x:c>
      <x:c r="B38" s="30" t="str">
        <x:v>地震/建筑坍塌街区</x:v>
      </x:c>
      <x:c r="C38" s="30" t="str">
        <x:v>T040</x:v>
      </x:c>
      <x:c r="D38" s="30" t="str">
        <x:v>地面物资送达与卸放</x:v>
      </x:c>
      <x:c r="E38" s="30" t="str">
        <x:v>可候选；Agent决定是否创建/执行</x:v>
      </x:c>
      <x:c r="F38" s="30" t="str">
        <x:v>基线：依实际装配启用</x:v>
      </x:c>
    </x:row>
    <x:row r="39" ht="40" customHeight="1">
      <x:c r="A39" s="30" t="str">
        <x:v>SC01</x:v>
      </x:c>
      <x:c r="B39" s="30" t="str">
        <x:v>地震/建筑坍塌街区</x:v>
      </x:c>
      <x:c r="C39" s="30" t="str">
        <x:v>T041</x:v>
      </x:c>
      <x:c r="D39" s="30" t="str">
        <x:v>交付复核与收货报告</x:v>
      </x:c>
      <x:c r="E39" s="30" t="str">
        <x:v>可候选；Agent决定是否创建/执行</x:v>
      </x:c>
      <x:c r="F39" s="30" t="str">
        <x:v>基线：依实际装配启用</x:v>
      </x:c>
    </x:row>
    <x:row r="40" ht="40" customHeight="1">
      <x:c r="A40" s="30" t="str">
        <x:v>SC01</x:v>
      </x:c>
      <x:c r="B40" s="30" t="str">
        <x:v>地震/建筑坍塌街区</x:v>
      </x:c>
      <x:c r="C40" s="30" t="str">
        <x:v>T042</x:v>
      </x:c>
      <x:c r="D40" s="30" t="str">
        <x:v>物资/器材补给</x:v>
      </x:c>
      <x:c r="E40" s="30" t="str">
        <x:v>可候选；Agent决定是否创建/执行</x:v>
      </x:c>
      <x:c r="F40" s="30" t="str">
        <x:v>基线：依实际装配启用</x:v>
      </x:c>
    </x:row>
    <x:row r="41" ht="40" customHeight="1">
      <x:c r="A41" s="30" t="str">
        <x:v>SC01</x:v>
      </x:c>
      <x:c r="B41" s="30" t="str">
        <x:v>地震/建筑坍塌街区</x:v>
      </x:c>
      <x:c r="C41" s="30" t="str">
        <x:v>T043</x:v>
      </x:c>
      <x:c r="D41" s="30" t="str">
        <x:v>平台充电</x:v>
      </x:c>
      <x:c r="E41" s="30" t="str">
        <x:v>可候选；Agent决定是否创建/执行</x:v>
      </x:c>
      <x:c r="F41" s="30" t="str">
        <x:v>基线：依实际装配启用</x:v>
      </x:c>
    </x:row>
    <x:row r="42" ht="40" customHeight="1">
      <x:c r="A42" s="30" t="str">
        <x:v>SC01</x:v>
      </x:c>
      <x:c r="B42" s="30" t="str">
        <x:v>地震/建筑坍塌街区</x:v>
      </x:c>
      <x:c r="C42" s="30" t="str">
        <x:v>T044</x:v>
      </x:c>
      <x:c r="D42" s="30" t="str">
        <x:v>平台换电</x:v>
      </x:c>
      <x:c r="E42" s="30" t="str">
        <x:v>可候选；Agent决定是否创建/执行</x:v>
      </x:c>
      <x:c r="F42" s="30" t="str">
        <x:v>基线：依实际装配启用</x:v>
      </x:c>
    </x:row>
    <x:row r="43" ht="40" customHeight="1">
      <x:c r="A43" s="30" t="str">
        <x:v>SC01</x:v>
      </x:c>
      <x:c r="B43" s="30" t="str">
        <x:v>地震/建筑坍塌街区</x:v>
      </x:c>
      <x:c r="C43" s="30" t="str">
        <x:v>T045</x:v>
      </x:c>
      <x:c r="D43" s="30" t="str">
        <x:v>返航/返站与安全撤离</x:v>
      </x:c>
      <x:c r="E43" s="30" t="str">
        <x:v>可候选；Agent决定是否创建/执行</x:v>
      </x:c>
      <x:c r="F43" s="30" t="str">
        <x:v>基线：依实际装配启用</x:v>
      </x:c>
    </x:row>
    <x:row r="44" ht="40" customHeight="1">
      <x:c r="A44" s="30" t="str">
        <x:v>SC01</x:v>
      </x:c>
      <x:c r="B44" s="30" t="str">
        <x:v>地震/建筑坍塌街区</x:v>
      </x:c>
      <x:c r="C44" s="30" t="str">
        <x:v>T046</x:v>
      </x:c>
      <x:c r="D44" s="30" t="str">
        <x:v>失效平台回收</x:v>
      </x:c>
      <x:c r="E44" s="30" t="str">
        <x:v>可候选；Agent决定是否创建/执行</x:v>
      </x:c>
      <x:c r="F44" s="30" t="str">
        <x:v>条件扩展：明确设备/专业服务后启用</x:v>
      </x:c>
    </x:row>
    <x:row r="45" ht="40" customHeight="1">
      <x:c r="A45" s="30" t="str">
        <x:v>SC01</x:v>
      </x:c>
      <x:c r="B45" s="30" t="str">
        <x:v>地震/建筑坍塌街区</x:v>
      </x:c>
      <x:c r="C45" s="30" t="str">
        <x:v>T047</x:v>
      </x:c>
      <x:c r="D45" s="30" t="str">
        <x:v>链路探测与质量估计</x:v>
      </x:c>
      <x:c r="E45" s="30" t="str">
        <x:v>可候选；Agent决定是否创建/执行</x:v>
      </x:c>
      <x:c r="F45" s="30" t="str">
        <x:v>基线：依实际装配启用</x:v>
      </x:c>
    </x:row>
    <x:row r="46" ht="40" customHeight="1">
      <x:c r="A46" s="30" t="str">
        <x:v>SC01</x:v>
      </x:c>
      <x:c r="B46" s="30" t="str">
        <x:v>地震/建筑坍塌街区</x:v>
      </x:c>
      <x:c r="C46" s="30" t="str">
        <x:v>T048</x:v>
      </x:c>
      <x:c r="D46" s="30" t="str">
        <x:v>通信会合与重定位</x:v>
      </x:c>
      <x:c r="E46" s="30" t="str">
        <x:v>可候选；Agent决定是否创建/执行</x:v>
      </x:c>
      <x:c r="F46" s="30" t="str">
        <x:v>基线：依实际装配启用</x:v>
      </x:c>
    </x:row>
    <x:row r="47" ht="40" customHeight="1">
      <x:c r="A47" s="30" t="str">
        <x:v>SC01</x:v>
      </x:c>
      <x:c r="B47" s="30" t="str">
        <x:v>地震/建筑坍塌街区</x:v>
      </x:c>
      <x:c r="C47" s="30" t="str">
        <x:v>T049</x:v>
      </x:c>
      <x:c r="D47" s="30" t="str">
        <x:v>空中中继保持</x:v>
      </x:c>
      <x:c r="E47" s="30" t="str">
        <x:v>可候选；Agent决定是否创建/执行</x:v>
      </x:c>
      <x:c r="F47" s="30" t="str">
        <x:v>基线：依实际装配启用</x:v>
      </x:c>
    </x:row>
    <x:row r="48" ht="40" customHeight="1">
      <x:c r="A48" s="30" t="str">
        <x:v>SC01</x:v>
      </x:c>
      <x:c r="B48" s="30" t="str">
        <x:v>地震/建筑坍塌街区</x:v>
      </x:c>
      <x:c r="C48" s="30" t="str">
        <x:v>T050</x:v>
      </x:c>
      <x:c r="D48" s="30" t="str">
        <x:v>通信节点布放</x:v>
      </x:c>
      <x:c r="E48" s="30" t="str">
        <x:v>可候选；Agent决定是否创建/执行</x:v>
      </x:c>
      <x:c r="F48" s="30" t="str">
        <x:v>条件扩展：明确设备/专业服务后启用</x:v>
      </x:c>
    </x:row>
    <x:row r="49" ht="40" customHeight="1">
      <x:c r="A49" s="30" t="str">
        <x:v>SC01</x:v>
      </x:c>
      <x:c r="B49" s="30" t="str">
        <x:v>地震/建筑坍塌街区</x:v>
      </x:c>
      <x:c r="C49" s="30" t="str">
        <x:v>T051</x:v>
      </x:c>
      <x:c r="D49" s="30" t="str">
        <x:v>多跳业务转发</x:v>
      </x:c>
      <x:c r="E49" s="30" t="str">
        <x:v>可候选；Agent决定是否创建/执行</x:v>
      </x:c>
      <x:c r="F49" s="30" t="str">
        <x:v>基线：依实际装配启用</x:v>
      </x:c>
    </x:row>
    <x:row r="50" ht="40" customHeight="1">
      <x:c r="A50" s="30" t="str">
        <x:v>SC01</x:v>
      </x:c>
      <x:c r="B50" s="30" t="str">
        <x:v>地震/建筑坍塌街区</x:v>
      </x:c>
      <x:c r="C50" s="30" t="str">
        <x:v>T052</x:v>
      </x:c>
      <x:c r="D50" s="30" t="str">
        <x:v>图像/证据数据上传</x:v>
      </x:c>
      <x:c r="E50" s="30" t="str">
        <x:v>可候选；Agent决定是否创建/执行</x:v>
      </x:c>
      <x:c r="F50" s="30" t="str">
        <x:v>基线：依实际装配启用</x:v>
      </x:c>
    </x:row>
    <x:row r="51" ht="40" customHeight="1">
      <x:c r="A51" s="30" t="str">
        <x:v>SC01</x:v>
      </x:c>
      <x:c r="B51" s="30" t="str">
        <x:v>地震/建筑坍塌街区</x:v>
      </x:c>
      <x:c r="C51" s="30" t="str">
        <x:v>T053</x:v>
      </x:c>
      <x:c r="D51" s="30" t="str">
        <x:v>可靠回执与超时重传</x:v>
      </x:c>
      <x:c r="E51" s="30" t="str">
        <x:v>可候选；Agent决定是否创建/执行</x:v>
      </x:c>
      <x:c r="F51" s="30" t="str">
        <x:v>基线：依实际装配启用</x:v>
      </x:c>
    </x:row>
    <x:row r="52" ht="40" customHeight="1">
      <x:c r="A52" s="30" t="str">
        <x:v>SC01</x:v>
      </x:c>
      <x:c r="B52" s="30" t="str">
        <x:v>地震/建筑坍塌街区</x:v>
      </x:c>
      <x:c r="C52" s="30" t="str">
        <x:v>T054</x:v>
      </x:c>
      <x:c r="D52" s="30" t="str">
        <x:v>断联存储-携带-转发</x:v>
      </x:c>
      <x:c r="E52" s="30" t="str">
        <x:v>可候选；Agent决定是否创建/执行</x:v>
      </x:c>
      <x:c r="F52" s="30" t="str">
        <x:v>基线：依实际装配启用</x:v>
      </x:c>
    </x:row>
    <x:row r="53" ht="40" customHeight="1">
      <x:c r="A53" s="30" t="str">
        <x:v>SC01</x:v>
      </x:c>
      <x:c r="B53" s="30" t="str">
        <x:v>地震/建筑坍塌街区</x:v>
      </x:c>
      <x:c r="C53" s="30" t="str">
        <x:v>T055</x:v>
      </x:c>
      <x:c r="D53" s="30" t="str">
        <x:v>信道/功率/传输优先级调整</x:v>
      </x:c>
      <x:c r="E53" s="30" t="str">
        <x:v>可候选；Agent决定是否创建/执行</x:v>
      </x:c>
      <x:c r="F53" s="30" t="str">
        <x:v>基线：依实际装配启用</x:v>
      </x:c>
    </x:row>
    <x:row r="54" ht="40" customHeight="1">
      <x:c r="A54" s="30" t="str">
        <x:v>SC01</x:v>
      </x:c>
      <x:c r="B54" s="30" t="str">
        <x:v>地震/建筑坍塌街区</x:v>
      </x:c>
      <x:c r="C54" s="30" t="str">
        <x:v>T056</x:v>
      </x:c>
      <x:c r="D54" s="30" t="str">
        <x:v>失联后的连接恢复</x:v>
      </x:c>
      <x:c r="E54" s="30" t="str">
        <x:v>可候选；Agent决定是否创建/执行</x:v>
      </x:c>
      <x:c r="F54" s="30" t="str">
        <x:v>基线：依实际装配启用</x:v>
      </x:c>
    </x:row>
    <x:row r="55" ht="40" customHeight="1">
      <x:c r="A55" s="30" t="str">
        <x:v>SC01</x:v>
      </x:c>
      <x:c r="B55" s="30" t="str">
        <x:v>地震/建筑坍塌街区</x:v>
      </x:c>
      <x:c r="C55" s="30" t="str">
        <x:v>T057</x:v>
      </x:c>
      <x:c r="D55" s="30" t="str">
        <x:v>计算与模型服务发现</x:v>
      </x:c>
      <x:c r="E55" s="30" t="str">
        <x:v>可候选；Agent决定是否创建/执行</x:v>
      </x:c>
      <x:c r="F55" s="30" t="str">
        <x:v>基线：依实际装配启用</x:v>
      </x:c>
    </x:row>
    <x:row r="56" ht="40" customHeight="1">
      <x:c r="A56" s="30" t="str">
        <x:v>SC01</x:v>
      </x:c>
      <x:c r="B56" s="30" t="str">
        <x:v>地震/建筑坍塌街区</x:v>
      </x:c>
      <x:c r="C56" s="30" t="str">
        <x:v>T058</x:v>
      </x:c>
      <x:c r="D56" s="30" t="str">
        <x:v>本地视觉检测</x:v>
      </x:c>
      <x:c r="E56" s="30" t="str">
        <x:v>可候选；Agent决定是否创建/执行</x:v>
      </x:c>
      <x:c r="F56" s="30" t="str">
        <x:v>基线：依实际装配启用</x:v>
      </x:c>
    </x:row>
    <x:row r="57" ht="40" customHeight="1">
      <x:c r="A57" s="30" t="str">
        <x:v>SC01</x:v>
      </x:c>
      <x:c r="B57" s="30" t="str">
        <x:v>地震/建筑坍塌街区</x:v>
      </x:c>
      <x:c r="C57" s="30" t="str">
        <x:v>T059</x:v>
      </x:c>
      <x:c r="D57" s="30" t="str">
        <x:v>本地语义/任务推理</x:v>
      </x:c>
      <x:c r="E57" s="30" t="str">
        <x:v>可候选；Agent决定是否创建/执行</x:v>
      </x:c>
      <x:c r="F57" s="30" t="str">
        <x:v>基线：依实际装配启用</x:v>
      </x:c>
    </x:row>
    <x:row r="58" ht="40" customHeight="1">
      <x:c r="A58" s="30" t="str">
        <x:v>SC01</x:v>
      </x:c>
      <x:c r="B58" s="30" t="str">
        <x:v>地震/建筑坍塌街区</x:v>
      </x:c>
      <x:c r="C58" s="30" t="str">
        <x:v>T060</x:v>
      </x:c>
      <x:c r="D58" s="30" t="str">
        <x:v>远程视觉复核/推理卸载</x:v>
      </x:c>
      <x:c r="E58" s="30" t="str">
        <x:v>可候选；Agent决定是否创建/执行</x:v>
      </x:c>
      <x:c r="F58" s="30" t="str">
        <x:v>基线：依实际装配启用</x:v>
      </x:c>
    </x:row>
    <x:row r="59" ht="40" customHeight="1">
      <x:c r="A59" s="30" t="str">
        <x:v>SC01</x:v>
      </x:c>
      <x:c r="B59" s="30" t="str">
        <x:v>地震/建筑坍塌街区</x:v>
      </x:c>
      <x:c r="C59" s="30" t="str">
        <x:v>T061</x:v>
      </x:c>
      <x:c r="D59" s="30" t="str">
        <x:v>执行节点与模型选择</x:v>
      </x:c>
      <x:c r="E59" s="30" t="str">
        <x:v>可候选；Agent决定是否创建/执行</x:v>
      </x:c>
      <x:c r="F59" s="30" t="str">
        <x:v>基线：依实际装配启用</x:v>
      </x:c>
    </x:row>
    <x:row r="60" ht="40" customHeight="1">
      <x:c r="A60" s="30" t="str">
        <x:v>SC01</x:v>
      </x:c>
      <x:c r="B60" s="30" t="str">
        <x:v>地震/建筑坍塌街区</x:v>
      </x:c>
      <x:c r="C60" s="30" t="str">
        <x:v>T062</x:v>
      </x:c>
      <x:c r="D60" s="30" t="str">
        <x:v>计算作业准入与排队</x:v>
      </x:c>
      <x:c r="E60" s="30" t="str">
        <x:v>可候选；Agent决定是否创建/执行</x:v>
      </x:c>
      <x:c r="F60" s="30" t="str">
        <x:v>基线：依实际装配启用</x:v>
      </x:c>
    </x:row>
    <x:row r="61" ht="40" customHeight="1">
      <x:c r="A61" s="30" t="str">
        <x:v>SC01</x:v>
      </x:c>
      <x:c r="B61" s="30" t="str">
        <x:v>地震/建筑坍塌街区</x:v>
      </x:c>
      <x:c r="C61" s="30" t="str">
        <x:v>T063</x:v>
      </x:c>
      <x:c r="D61" s="30" t="str">
        <x:v>模型服务加载/卸载</x:v>
      </x:c>
      <x:c r="E61" s="30" t="str">
        <x:v>可候选；Agent决定是否创建/执行</x:v>
      </x:c>
      <x:c r="F61" s="30" t="str">
        <x:v>基线：依实际装配启用</x:v>
      </x:c>
    </x:row>
    <x:row r="62" ht="40" customHeight="1">
      <x:c r="A62" s="30" t="str">
        <x:v>SC01</x:v>
      </x:c>
      <x:c r="B62" s="30" t="str">
        <x:v>地震/建筑坍塌街区</x:v>
      </x:c>
      <x:c r="C62" s="30" t="str">
        <x:v>T064</x:v>
      </x:c>
      <x:c r="D62" s="30" t="str">
        <x:v>上下文/表示缓存复用</x:v>
      </x:c>
      <x:c r="E62" s="30" t="str">
        <x:v>可候选；Agent决定是否创建/执行</x:v>
      </x:c>
      <x:c r="F62" s="30" t="str">
        <x:v>基线：依实际装配启用</x:v>
      </x:c>
    </x:row>
    <x:row r="63" ht="40" customHeight="1">
      <x:c r="A63" s="30" t="str">
        <x:v>SC01</x:v>
      </x:c>
      <x:c r="B63" s="30" t="str">
        <x:v>地震/建筑坍塌街区</x:v>
      </x:c>
      <x:c r="C63" s="30" t="str">
        <x:v>T065</x:v>
      </x:c>
      <x:c r="D63" s="30" t="str">
        <x:v>服务/作业迁移与恢复</x:v>
      </x:c>
      <x:c r="E63" s="30" t="str">
        <x:v>可候选；Agent决定是否创建/执行</x:v>
      </x:c>
      <x:c r="F63" s="30" t="str">
        <x:v>条件扩展：明确设备/专业服务后启用</x:v>
      </x:c>
    </x:row>
    <x:row r="64" ht="40" customHeight="1">
      <x:c r="A64" s="30" t="str">
        <x:v>SC01</x:v>
      </x:c>
      <x:c r="B64" s="30" t="str">
        <x:v>地震/建筑坍塌街区</x:v>
      </x:c>
      <x:c r="C64" s="30" t="str">
        <x:v>T066</x:v>
      </x:c>
      <x:c r="D64" s="30" t="str">
        <x:v>预算耗尽/失败作业取消重试</x:v>
      </x:c>
      <x:c r="E64" s="30" t="str">
        <x:v>可候选；Agent决定是否创建/执行</x:v>
      </x:c>
      <x:c r="F64" s="30" t="str">
        <x:v>基线：依实际装配启用</x:v>
      </x:c>
    </x:row>
    <x:row r="65" ht="40" customHeight="1">
      <x:c r="A65" s="30" t="str">
        <x:v>SC01</x:v>
      </x:c>
      <x:c r="B65" s="30" t="str">
        <x:v>地震/建筑坍塌街区</x:v>
      </x:c>
      <x:c r="C65" s="30" t="str">
        <x:v>T067</x:v>
      </x:c>
      <x:c r="D65" s="30" t="str">
        <x:v>批处理/多源联合推理</x:v>
      </x:c>
      <x:c r="E65" s="30" t="str">
        <x:v>可候选；Agent决定是否创建/执行</x:v>
      </x:c>
      <x:c r="F65" s="30" t="str">
        <x:v>基线：依实际装配启用</x:v>
      </x:c>
    </x:row>
    <x:row r="66" ht="40" customHeight="1">
      <x:c r="A66" s="30" t="str">
        <x:v>SC01</x:v>
      </x:c>
      <x:c r="B66" s="30" t="str">
        <x:v>地震/建筑坍塌街区</x:v>
      </x:c>
      <x:c r="C66" s="30" t="str">
        <x:v>T068</x:v>
      </x:c>
      <x:c r="D66" s="30" t="str">
        <x:v>计算资源释放与缓存清理</x:v>
      </x:c>
      <x:c r="E66" s="30" t="str">
        <x:v>可候选；Agent决定是否创建/执行</x:v>
      </x:c>
      <x:c r="F66" s="30" t="str">
        <x:v>基线：依实际装配启用</x:v>
      </x:c>
    </x:row>
    <x:row r="67" ht="40" customHeight="1">
      <x:c r="A67" s="30" t="str">
        <x:v>SC01</x:v>
      </x:c>
      <x:c r="B67" s="30" t="str">
        <x:v>地震/建筑坍塌街区</x:v>
      </x:c>
      <x:c r="C67" s="30" t="str">
        <x:v>T069</x:v>
      </x:c>
      <x:c r="D67" s="30" t="str">
        <x:v>跨源时间坐标对齐</x:v>
      </x:c>
      <x:c r="E67" s="30" t="str">
        <x:v>可候选；Agent决定是否创建/执行</x:v>
      </x:c>
      <x:c r="F67" s="30" t="str">
        <x:v>基线：依实际装配启用</x:v>
      </x:c>
    </x:row>
    <x:row r="68" ht="40" customHeight="1">
      <x:c r="A68" s="30" t="str">
        <x:v>SC01</x:v>
      </x:c>
      <x:c r="B68" s="30" t="str">
        <x:v>地震/建筑坍塌街区</x:v>
      </x:c>
      <x:c r="C68" s="30" t="str">
        <x:v>T070</x:v>
      </x:c>
      <x:c r="D68" s="30" t="str">
        <x:v>任务条件化本地历史检索</x:v>
      </x:c>
      <x:c r="E68" s="30" t="str">
        <x:v>可候选；Agent决定是否创建/执行</x:v>
      </x:c>
      <x:c r="F68" s="30" t="str">
        <x:v>基线：依实际装配启用</x:v>
      </x:c>
    </x:row>
    <x:row r="69" ht="40" customHeight="1">
      <x:c r="A69" s="30" t="str">
        <x:v>SC01</x:v>
      </x:c>
      <x:c r="B69" s="30" t="str">
        <x:v>地震/建筑坍塌街区</x:v>
      </x:c>
      <x:c r="C69" s="30" t="str">
        <x:v>T071</x:v>
      </x:c>
      <x:c r="D69" s="30" t="str">
        <x:v>图像裁剪/编码/证据打包</x:v>
      </x:c>
      <x:c r="E69" s="30" t="str">
        <x:v>可候选；Agent决定是否创建/执行</x:v>
      </x:c>
      <x:c r="F69" s="30" t="str">
        <x:v>基线：依实际装配启用</x:v>
      </x:c>
    </x:row>
    <x:row r="70" ht="40" customHeight="1">
      <x:c r="A70" s="30" t="str">
        <x:v>SC01</x:v>
      </x:c>
      <x:c r="B70" s="30" t="str">
        <x:v>地震/建筑坍塌街区</x:v>
      </x:c>
      <x:c r="C70" s="30" t="str">
        <x:v>T072</x:v>
      </x:c>
      <x:c r="D70" s="30" t="str">
        <x:v>置信度与证据充分性判断</x:v>
      </x:c>
      <x:c r="E70" s="30" t="str">
        <x:v>可候选；Agent决定是否创建/执行</x:v>
      </x:c>
      <x:c r="F70" s="30" t="str">
        <x:v>基线：依实际装配启用</x:v>
      </x:c>
    </x:row>
    <x:row r="71" ht="40" customHeight="1">
      <x:c r="A71" s="30" t="str">
        <x:v>SC01</x:v>
      </x:c>
      <x:c r="B71" s="30" t="str">
        <x:v>地震/建筑坍塌街区</x:v>
      </x:c>
      <x:c r="C71" s="30" t="str">
        <x:v>T073</x:v>
      </x:c>
      <x:c r="D71" s="30" t="str">
        <x:v>多源融合与冲突更正</x:v>
      </x:c>
      <x:c r="E71" s="30" t="str">
        <x:v>可候选；Agent决定是否创建/执行</x:v>
      </x:c>
      <x:c r="F71" s="30" t="str">
        <x:v>基线：依实际装配启用</x:v>
      </x:c>
    </x:row>
    <x:row r="72" ht="40" customHeight="1">
      <x:c r="A72" s="30" t="str">
        <x:v>SC01</x:v>
      </x:c>
      <x:c r="B72" s="30" t="str">
        <x:v>地震/建筑坍塌街区</x:v>
      </x:c>
      <x:c r="C72" s="30" t="str">
        <x:v>T074</x:v>
      </x:c>
      <x:c r="D72" s="30" t="str">
        <x:v>面向任务的信息选择与共享</x:v>
      </x:c>
      <x:c r="E72" s="30" t="str">
        <x:v>可候选；Agent决定是否创建/执行</x:v>
      </x:c>
      <x:c r="F72" s="30" t="str">
        <x:v>基线：依实际装配启用</x:v>
      </x:c>
    </x:row>
    <x:row r="73" ht="40" customHeight="1">
      <x:c r="A73" s="30" t="str">
        <x:v>SC01</x:v>
      </x:c>
      <x:c r="B73" s="30" t="str">
        <x:v>地震/建筑坍塌街区</x:v>
      </x:c>
      <x:c r="C73" s="30" t="str">
        <x:v>T075</x:v>
      </x:c>
      <x:c r="D73" s="30" t="str">
        <x:v>局部信念与过时信息维护</x:v>
      </x:c>
      <x:c r="E73" s="30" t="str">
        <x:v>可候选；Agent决定是否创建/执行</x:v>
      </x:c>
      <x:c r="F73" s="30" t="str">
        <x:v>基线：依实际装配启用</x:v>
      </x:c>
    </x:row>
    <x:row r="74" ht="40" customHeight="1">
      <x:c r="A74" s="30" t="str">
        <x:v>SC01</x:v>
      </x:c>
      <x:c r="B74" s="30" t="str">
        <x:v>地震/建筑坍塌街区</x:v>
      </x:c>
      <x:c r="C74" s="30" t="str">
        <x:v>T076</x:v>
      </x:c>
      <x:c r="D74" s="30" t="str">
        <x:v>轨迹/证据归档与回放</x:v>
      </x:c>
      <x:c r="E74" s="30" t="str">
        <x:v>可候选；Agent决定是否创建/执行</x:v>
      </x:c>
      <x:c r="F74" s="30" t="str">
        <x:v>基线：依实际装配启用</x:v>
      </x:c>
    </x:row>
    <x:row r="75" ht="40" customHeight="1">
      <x:c r="A75" s="30" t="str">
        <x:v>SC01</x:v>
      </x:c>
      <x:c r="B75" s="30" t="str">
        <x:v>地震/建筑坍塌街区</x:v>
      </x:c>
      <x:c r="C75" s="30" t="str">
        <x:v>T077</x:v>
      </x:c>
      <x:c r="D75" s="30" t="str">
        <x:v>接收并解释当前使命</x:v>
      </x:c>
      <x:c r="E75" s="30" t="str">
        <x:v>可候选；Agent决定是否创建/执行</x:v>
      </x:c>
      <x:c r="F75" s="30" t="str">
        <x:v>基线：依实际装配启用</x:v>
      </x:c>
    </x:row>
    <x:row r="76" ht="40" customHeight="1">
      <x:c r="A76" s="30" t="str">
        <x:v>SC01</x:v>
      </x:c>
      <x:c r="B76" s="30" t="str">
        <x:v>地震/建筑坍塌街区</x:v>
      </x:c>
      <x:c r="C76" s="30" t="str">
        <x:v>T078</x:v>
      </x:c>
      <x:c r="D76" s="30" t="str">
        <x:v>自主任务分解与候选生成</x:v>
      </x:c>
      <x:c r="E76" s="30" t="str">
        <x:v>可候选；Agent决定是否创建/执行</x:v>
      </x:c>
      <x:c r="F76" s="30" t="str">
        <x:v>基线：依实际装配启用</x:v>
      </x:c>
    </x:row>
    <x:row r="77" ht="40" customHeight="1">
      <x:c r="A77" s="30" t="str">
        <x:v>SC01</x:v>
      </x:c>
      <x:c r="B77" s="30" t="str">
        <x:v>地震/建筑坍塌街区</x:v>
      </x:c>
      <x:c r="C77" s="30" t="str">
        <x:v>T079</x:v>
      </x:c>
      <x:c r="D77" s="30" t="str">
        <x:v>本机参与筛选与出价</x:v>
      </x:c>
      <x:c r="E77" s="30" t="str">
        <x:v>可候选；Agent决定是否创建/执行</x:v>
      </x:c>
      <x:c r="F77" s="30" t="str">
        <x:v>基线：依实际装配启用</x:v>
      </x:c>
    </x:row>
    <x:row r="78" ht="40" customHeight="1">
      <x:c r="A78" s="30" t="str">
        <x:v>SC01</x:v>
      </x:c>
      <x:c r="B78" s="30" t="str">
        <x:v>地震/建筑坍塌街区</x:v>
      </x:c>
      <x:c r="C78" s="30" t="str">
        <x:v>T080</x:v>
      </x:c>
      <x:c r="D78" s="30" t="str">
        <x:v>多平台任务分配与协调</x:v>
      </x:c>
      <x:c r="E78" s="30" t="str">
        <x:v>可候选；Agent决定是否创建/执行</x:v>
      </x:c>
      <x:c r="F78" s="30" t="str">
        <x:v>基线：依实际装配启用</x:v>
      </x:c>
    </x:row>
    <x:row r="79" ht="40" customHeight="1">
      <x:c r="A79" s="30" t="str">
        <x:v>SC01</x:v>
      </x:c>
      <x:c r="B79" s="30" t="str">
        <x:v>地震/建筑坍塌街区</x:v>
      </x:c>
      <x:c r="C79" s="30" t="str">
        <x:v>T081</x:v>
      </x:c>
      <x:c r="D79" s="30" t="str">
        <x:v>任务接受/拒绝与承诺</x:v>
      </x:c>
      <x:c r="E79" s="30" t="str">
        <x:v>可候选；Agent决定是否创建/执行</x:v>
      </x:c>
      <x:c r="F79" s="30" t="str">
        <x:v>基线：依实际装配启用</x:v>
      </x:c>
    </x:row>
    <x:row r="80" ht="40" customHeight="1">
      <x:c r="A80" s="30" t="str">
        <x:v>SC01</x:v>
      </x:c>
      <x:c r="B80" s="30" t="str">
        <x:v>地震/建筑坍塌街区</x:v>
      </x:c>
      <x:c r="C80" s="30" t="str">
        <x:v>T082</x:v>
      </x:c>
      <x:c r="D80" s="30" t="str">
        <x:v>进度监控与完成确认</x:v>
      </x:c>
      <x:c r="E80" s="30" t="str">
        <x:v>可候选；Agent决定是否创建/执行</x:v>
      </x:c>
      <x:c r="F80" s="30" t="str">
        <x:v>基线：依实际装配启用</x:v>
      </x:c>
    </x:row>
    <x:row r="81" ht="40" customHeight="1">
      <x:c r="A81" s="30" t="str">
        <x:v>SC01</x:v>
      </x:c>
      <x:c r="B81" s="30" t="str">
        <x:v>地震/建筑坍塌街区</x:v>
      </x:c>
      <x:c r="C81" s="30" t="str">
        <x:v>T083</x:v>
      </x:c>
      <x:c r="D81" s="30" t="str">
        <x:v>任务取消/抢占</x:v>
      </x:c>
      <x:c r="E81" s="30" t="str">
        <x:v>可候选；Agent决定是否创建/执行</x:v>
      </x:c>
      <x:c r="F81" s="30" t="str">
        <x:v>基线：依实际装配启用</x:v>
      </x:c>
    </x:row>
    <x:row r="82" ht="40" customHeight="1">
      <x:c r="A82" s="30" t="str">
        <x:v>SC01</x:v>
      </x:c>
      <x:c r="B82" s="30" t="str">
        <x:v>地震/建筑坍塌街区</x:v>
      </x:c>
      <x:c r="C82" s="30" t="str">
        <x:v>T084</x:v>
      </x:c>
      <x:c r="D82" s="30" t="str">
        <x:v>恢复原任务</x:v>
      </x:c>
      <x:c r="E82" s="30" t="str">
        <x:v>可候选；Agent决定是否创建/执行</x:v>
      </x:c>
      <x:c r="F82" s="30" t="str">
        <x:v>基线：依实际装配启用</x:v>
      </x:c>
    </x:row>
    <x:row r="83" ht="40" customHeight="1">
      <x:c r="A83" s="30" t="str">
        <x:v>SC01</x:v>
      </x:c>
      <x:c r="B83" s="30" t="str">
        <x:v>地震/建筑坍塌街区</x:v>
      </x:c>
      <x:c r="C83" s="30" t="str">
        <x:v>T085</x:v>
      </x:c>
      <x:c r="D83" s="30" t="str">
        <x:v>跨Agent任务与证据交接</x:v>
      </x:c>
      <x:c r="E83" s="30" t="str">
        <x:v>可候选；Agent决定是否创建/执行</x:v>
      </x:c>
      <x:c r="F83" s="30" t="str">
        <x:v>基线：依实际装配启用</x:v>
      </x:c>
    </x:row>
    <x:row r="84" ht="40" customHeight="1">
      <x:c r="A84" s="30" t="str">
        <x:v>SC01</x:v>
      </x:c>
      <x:c r="B84" s="30" t="str">
        <x:v>地震/建筑坍塌街区</x:v>
      </x:c>
      <x:c r="C84" s="30" t="str">
        <x:v>T086</x:v>
      </x:c>
      <x:c r="D84" s="30" t="str">
        <x:v>失败重规划与重派</x:v>
      </x:c>
      <x:c r="E84" s="30" t="str">
        <x:v>可候选；Agent决定是否创建/执行</x:v>
      </x:c>
      <x:c r="F84" s="30" t="str">
        <x:v>基线：依实际装配启用</x:v>
      </x:c>
    </x:row>
    <x:row r="85" ht="40" customHeight="1">
      <x:c r="A85" s="30" t="str">
        <x:v>SC01</x:v>
      </x:c>
      <x:c r="B85" s="30" t="str">
        <x:v>地震/建筑坍塌街区</x:v>
      </x:c>
      <x:c r="C85" s="30" t="str">
        <x:v>T087</x:v>
      </x:c>
      <x:c r="D85" s="30" t="str">
        <x:v>请求专业救援/工程力量</x:v>
      </x:c>
      <x:c r="E85" s="30" t="str">
        <x:v>可候选；Agent决定是否创建/执行</x:v>
      </x:c>
      <x:c r="F85" s="30" t="str">
        <x:v>基线：依实际装配启用</x:v>
      </x:c>
    </x:row>
    <x:row r="86" ht="40" customHeight="1">
      <x:c r="A86" s="30" t="str">
        <x:v>SC01</x:v>
      </x:c>
      <x:c r="B86" s="30" t="str">
        <x:v>地震/建筑坍塌街区</x:v>
      </x:c>
      <x:c r="C86" s="30" t="str">
        <x:v>T088</x:v>
      </x:c>
      <x:c r="D86" s="30" t="str">
        <x:v>工作现场闭合与阶段移交</x:v>
      </x:c>
      <x:c r="E86" s="30" t="str">
        <x:v>可候选；Agent决定是否创建/执行</x:v>
      </x:c>
      <x:c r="F86" s="30" t="str">
        <x:v>基线：依实际装配启用</x:v>
      </x:c>
    </x:row>
    <x:row r="87" ht="40" customHeight="1">
      <x:c r="A87" s="30" t="str">
        <x:v>SC01</x:v>
      </x:c>
      <x:c r="B87" s="30" t="str">
        <x:v>地震/建筑坍塌街区</x:v>
      </x:c>
      <x:c r="C87" s="30" t="str">
        <x:v>T089</x:v>
      </x:c>
      <x:c r="D87" s="30" t="str">
        <x:v>次生危险动态监视</x:v>
      </x:c>
      <x:c r="E87" s="30" t="str">
        <x:v>可候选；Agent决定是否创建/执行</x:v>
      </x:c>
      <x:c r="F87" s="30" t="str">
        <x:v>基线：依实际装配启用</x:v>
      </x:c>
    </x:row>
    <x:row r="88" ht="40" customHeight="1">
      <x:c r="A88" s="30" t="str">
        <x:v>SC01</x:v>
      </x:c>
      <x:c r="B88" s="30" t="str">
        <x:v>地震/建筑坍塌街区</x:v>
      </x:c>
      <x:c r="C88" s="30" t="str">
        <x:v>T090</x:v>
      </x:c>
      <x:c r="D88" s="30" t="str">
        <x:v>平台/能源/服务健康监视</x:v>
      </x:c>
      <x:c r="E88" s="30" t="str">
        <x:v>可候选；Agent决定是否创建/执行</x:v>
      </x:c>
      <x:c r="F88" s="30" t="str">
        <x:v>基线：依实际装配启用</x:v>
      </x:c>
    </x:row>
    <x:row r="89" ht="40" customHeight="1">
      <x:c r="A89" s="30" t="str">
        <x:v>SC01</x:v>
      </x:c>
      <x:c r="B89" s="30" t="str">
        <x:v>地震/建筑坍塌街区</x:v>
      </x:c>
      <x:c r="C89" s="30" t="str">
        <x:v>T091</x:v>
      </x:c>
      <x:c r="D89" s="30" t="str">
        <x:v>安全等待与驻留观察</x:v>
      </x:c>
      <x:c r="E89" s="30" t="str">
        <x:v>可候选；Agent决定是否创建/执行</x:v>
      </x:c>
      <x:c r="F89" s="30" t="str">
        <x:v>基线：依实际装配启用</x:v>
      </x:c>
    </x:row>
    <x:row r="90" ht="40" customHeight="1">
      <x:c r="A90" s="30" t="str">
        <x:v>SC01</x:v>
      </x:c>
      <x:c r="B90" s="30" t="str">
        <x:v>地震/建筑坍塌街区</x:v>
      </x:c>
      <x:c r="C90" s="30" t="str">
        <x:v>T092</x:v>
      </x:c>
      <x:c r="D90" s="30" t="str">
        <x:v>设备/传感器/服务故障诊断</x:v>
      </x:c>
      <x:c r="E90" s="30" t="str">
        <x:v>可候选；Agent决定是否创建/执行</x:v>
      </x:c>
      <x:c r="F90" s="30" t="str">
        <x:v>基线：依实际装配启用</x:v>
      </x:c>
    </x:row>
    <x:row r="91" ht="40" customHeight="1">
      <x:c r="A91" s="30" t="str">
        <x:v>SC01</x:v>
      </x:c>
      <x:c r="B91" s="30" t="str">
        <x:v>地震/建筑坍塌街区</x:v>
      </x:c>
      <x:c r="C91" s="30" t="str">
        <x:v>T096</x:v>
      </x:c>
      <x:c r="D91" s="30" t="str">
        <x:v>跨模型特征/潜表示适配</x:v>
      </x:c>
      <x:c r="E91" s="30" t="str">
        <x:v>可候选；Agent决定是否创建/执行</x:v>
      </x:c>
      <x:c r="F91" s="30" t="str">
        <x:v>条件扩展：明确设备/专业服务后启用</x:v>
      </x:c>
    </x:row>
    <x:row r="92" ht="40" customHeight="1">
      <x:c r="A92" s="30" t="str">
        <x:v>SC02</x:v>
      </x:c>
      <x:c r="B92" s="30" t="str">
        <x:v>台风/强风/龙卷风灾后街区</x:v>
      </x:c>
      <x:c r="C92" s="30" t="str">
        <x:v>T001</x:v>
      </x:c>
      <x:c r="D92" s="30" t="str">
        <x:v>区域快速普查</x:v>
      </x:c>
      <x:c r="E92" s="30" t="str">
        <x:v>可候选；Agent决定是否创建/执行</x:v>
      </x:c>
      <x:c r="F92" s="30" t="str">
        <x:v>基线：依实际装配启用</x:v>
      </x:c>
    </x:row>
    <x:row r="93" ht="40" customHeight="1">
      <x:c r="A93" s="30" t="str">
        <x:v>SC02</x:v>
      </x:c>
      <x:c r="B93" s="30" t="str">
        <x:v>台风/强风/龙卷风灾后街区</x:v>
      </x:c>
      <x:c r="C93" s="30" t="str">
        <x:v>T002</x:v>
      </x:c>
      <x:c r="D93" s="30" t="str">
        <x:v>建筑外部损毁评估</x:v>
      </x:c>
      <x:c r="E93" s="30" t="str">
        <x:v>可候选；Agent决定是否创建/执行</x:v>
      </x:c>
      <x:c r="F93" s="30" t="str">
        <x:v>基线：依实际装配启用</x:v>
      </x:c>
    </x:row>
    <x:row r="94" ht="40" customHeight="1">
      <x:c r="A94" s="30" t="str">
        <x:v>SC02</x:v>
      </x:c>
      <x:c r="B94" s="30" t="str">
        <x:v>台风/强风/龙卷风灾后街区</x:v>
      </x:c>
      <x:c r="C94" s="30" t="str">
        <x:v>T003</x:v>
      </x:c>
      <x:c r="D94" s="30" t="str">
        <x:v>道路与通路灾后评估</x:v>
      </x:c>
      <x:c r="E94" s="30" t="str">
        <x:v>可候选；Agent决定是否创建/执行</x:v>
      </x:c>
      <x:c r="F94" s="30" t="str">
        <x:v>基线：依实际装配启用</x:v>
      </x:c>
    </x:row>
    <x:row r="95" ht="40" customHeight="1">
      <x:c r="A95" s="30" t="str">
        <x:v>SC02</x:v>
      </x:c>
      <x:c r="B95" s="30" t="str">
        <x:v>台风/强风/龙卷风灾后街区</x:v>
      </x:c>
      <x:c r="C95" s="30" t="str">
        <x:v>T004</x:v>
      </x:c>
      <x:c r="D95" s="30" t="str">
        <x:v>入口与屋顶交付区检查</x:v>
      </x:c>
      <x:c r="E95" s="30" t="str">
        <x:v>可候选；Agent决定是否创建/执行</x:v>
      </x:c>
      <x:c r="F95" s="30" t="str">
        <x:v>基线：依实际装配启用</x:v>
      </x:c>
    </x:row>
    <x:row r="96" ht="40" customHeight="1">
      <x:c r="A96" s="30" t="str">
        <x:v>SC02</x:v>
      </x:c>
      <x:c r="B96" s="30" t="str">
        <x:v>台风/强风/龙卷风灾后街区</x:v>
      </x:c>
      <x:c r="C96" s="30" t="str">
        <x:v>T007</x:v>
      </x:c>
      <x:c r="D96" s="30" t="str">
        <x:v>灾前灾后变化与地图更新</x:v>
      </x:c>
      <x:c r="E96" s="30" t="str">
        <x:v>可候选；Agent决定是否创建/执行</x:v>
      </x:c>
      <x:c r="F96" s="30" t="str">
        <x:v>基线：依实际装配启用</x:v>
      </x:c>
    </x:row>
    <x:row r="97" ht="40" customHeight="1">
      <x:c r="A97" s="30" t="str">
        <x:v>SC02</x:v>
      </x:c>
      <x:c r="B97" s="30" t="str">
        <x:v>台风/强风/龙卷风灾后街区</x:v>
      </x:c>
      <x:c r="C97" s="30" t="str">
        <x:v>T008</x:v>
      </x:c>
      <x:c r="D97" s="30" t="str">
        <x:v>建筑/区域覆盖登记</x:v>
      </x:c>
      <x:c r="E97" s="30" t="str">
        <x:v>可候选；Agent决定是否创建/执行</x:v>
      </x:c>
      <x:c r="F97" s="30" t="str">
        <x:v>基线：依实际装配启用</x:v>
      </x:c>
    </x:row>
    <x:row r="98" ht="40" customHeight="1">
      <x:c r="A98" s="30" t="str">
        <x:v>SC02</x:v>
      </x:c>
      <x:c r="B98" s="30" t="str">
        <x:v>台风/强风/龙卷风灾后街区</x:v>
      </x:c>
      <x:c r="C98" s="30" t="str">
        <x:v>T009</x:v>
      </x:c>
      <x:c r="D98" s="30" t="str">
        <x:v>系统空中人员搜索</x:v>
      </x:c>
      <x:c r="E98" s="30" t="str">
        <x:v>可候选；Agent决定是否创建/执行</x:v>
      </x:c>
      <x:c r="F98" s="30" t="str">
        <x:v>基线：依实际装配启用</x:v>
      </x:c>
    </x:row>
    <x:row r="99" ht="40" customHeight="1">
      <x:c r="A99" s="30" t="str">
        <x:v>SC02</x:v>
      </x:c>
      <x:c r="B99" s="30" t="str">
        <x:v>台风/强风/龙卷风灾后街区</x:v>
      </x:c>
      <x:c r="C99" s="30" t="str">
        <x:v>T010</x:v>
      </x:c>
      <x:c r="D99" s="30" t="str">
        <x:v>线索发现与语义解读</x:v>
      </x:c>
      <x:c r="E99" s="30" t="str">
        <x:v>可候选；Agent决定是否创建/执行</x:v>
      </x:c>
      <x:c r="F99" s="30" t="str">
        <x:v>基线：依实际装配启用</x:v>
      </x:c>
    </x:row>
    <x:row r="100" ht="40" customHeight="1">
      <x:c r="A100" s="30" t="str">
        <x:v>SC02</x:v>
      </x:c>
      <x:c r="B100" s="30" t="str">
        <x:v>台风/强风/龙卷风灾后街区</x:v>
      </x:c>
      <x:c r="C100" s="30" t="str">
        <x:v>T011</x:v>
      </x:c>
      <x:c r="D100" s="30" t="str">
        <x:v>疑似目标多视角复核</x:v>
      </x:c>
      <x:c r="E100" s="30" t="str">
        <x:v>可候选；Agent决定是否创建/执行</x:v>
      </x:c>
      <x:c r="F100" s="30" t="str">
        <x:v>基线：依实际装配启用</x:v>
      </x:c>
    </x:row>
    <x:row r="101" ht="40" customHeight="1">
      <x:c r="A101" s="30" t="str">
        <x:v>SC02</x:v>
      </x:c>
      <x:c r="B101" s="30" t="str">
        <x:v>台风/强风/龙卷风灾后街区</x:v>
      </x:c>
      <x:c r="C101" s="30" t="str">
        <x:v>T012</x:v>
      </x:c>
      <x:c r="D101" s="30" t="str">
        <x:v>目标定位跟踪与跨视角关联</x:v>
      </x:c>
      <x:c r="E101" s="30" t="str">
        <x:v>可候选；Agent决定是否创建/执行</x:v>
      </x:c>
      <x:c r="F101" s="30" t="str">
        <x:v>基线：依实际装配启用</x:v>
      </x:c>
    </x:row>
    <x:row r="102" ht="40" customHeight="1">
      <x:c r="A102" s="30" t="str">
        <x:v>SC02</x:v>
      </x:c>
      <x:c r="B102" s="30" t="str">
        <x:v>台风/强风/龙卷风灾后街区</x:v>
      </x:c>
      <x:c r="C102" s="30" t="str">
        <x:v>T013</x:v>
      </x:c>
      <x:c r="D102" s="30" t="str">
        <x:v>近地外部与狭窄区搜索</x:v>
      </x:c>
      <x:c r="E102" s="30" t="str">
        <x:v>可候选；Agent决定是否创建/执行</x:v>
      </x:c>
      <x:c r="F102" s="30" t="str">
        <x:v>基线：依实际装配启用</x:v>
      </x:c>
    </x:row>
    <x:row r="103" ht="40" customHeight="1">
      <x:c r="A103" s="30" t="str">
        <x:v>SC02</x:v>
      </x:c>
      <x:c r="B103" s="30" t="str">
        <x:v>台风/强风/龙卷风灾后街区</x:v>
      </x:c>
      <x:c r="C103" s="30" t="str">
        <x:v>T014</x:v>
      </x:c>
      <x:c r="D103" s="30" t="str">
        <x:v>建筑内部初次抽象搜索</x:v>
      </x:c>
      <x:c r="E103" s="30" t="str">
        <x:v>可候选；Agent决定是否创建/执行</x:v>
      </x:c>
      <x:c r="F103" s="30" t="str">
        <x:v>基线：依实际装配启用</x:v>
      </x:c>
    </x:row>
    <x:row r="104" ht="40" customHeight="1">
      <x:c r="A104" s="30" t="str">
        <x:v>SC02</x:v>
      </x:c>
      <x:c r="B104" s="30" t="str">
        <x:v>台风/强风/龙卷风灾后街区</x:v>
      </x:c>
      <x:c r="C104" s="30" t="str">
        <x:v>T015</x:v>
      </x:c>
      <x:c r="D104" s="30" t="str">
        <x:v>建筑内部复搜/完整搜索</x:v>
      </x:c>
      <x:c r="E104" s="30" t="str">
        <x:v>可候选；Agent决定是否创建/执行</x:v>
      </x:c>
      <x:c r="F104" s="30" t="str">
        <x:v>基线：依实际装配启用</x:v>
      </x:c>
    </x:row>
    <x:row r="105" ht="40" customHeight="1">
      <x:c r="A105" s="30" t="str">
        <x:v>SC02</x:v>
      </x:c>
      <x:c r="B105" s="30" t="str">
        <x:v>台风/强风/龙卷风灾后街区</x:v>
      </x:c>
      <x:c r="C105" s="30" t="str">
        <x:v>T019</x:v>
      </x:c>
      <x:c r="D105" s="30" t="str">
        <x:v>空中转场与观察点到达</x:v>
      </x:c>
      <x:c r="E105" s="30" t="str">
        <x:v>可候选；Agent决定是否创建/执行</x:v>
      </x:c>
      <x:c r="F105" s="30" t="str">
        <x:v>基线：依实际装配启用</x:v>
      </x:c>
    </x:row>
    <x:row r="106" ht="40" customHeight="1">
      <x:c r="A106" s="30" t="str">
        <x:v>SC02</x:v>
      </x:c>
      <x:c r="B106" s="30" t="str">
        <x:v>台风/强风/龙卷风灾后街区</x:v>
      </x:c>
      <x:c r="C106" s="30" t="str">
        <x:v>T020</x:v>
      </x:c>
      <x:c r="D106" s="30" t="str">
        <x:v>地面转场与绕行</x:v>
      </x:c>
      <x:c r="E106" s="30" t="str">
        <x:v>可候选；Agent决定是否创建/执行</x:v>
      </x:c>
      <x:c r="F106" s="30" t="str">
        <x:v>基线：依实际装配启用</x:v>
      </x:c>
    </x:row>
    <x:row r="107" ht="40" customHeight="1">
      <x:c r="A107" s="30" t="str">
        <x:v>SC02</x:v>
      </x:c>
      <x:c r="B107" s="30" t="str">
        <x:v>台风/强风/龙卷风灾后街区</x:v>
      </x:c>
      <x:c r="C107" s="30" t="str">
        <x:v>T021</x:v>
      </x:c>
      <x:c r="D107" s="30" t="str">
        <x:v>障碍接近探测与路径验证</x:v>
      </x:c>
      <x:c r="E107" s="30" t="str">
        <x:v>可候选；Agent决定是否创建/执行</x:v>
      </x:c>
      <x:c r="F107" s="30" t="str">
        <x:v>基线：依实际装配启用</x:v>
      </x:c>
    </x:row>
    <x:row r="108" ht="40" customHeight="1">
      <x:c r="A108" s="30" t="str">
        <x:v>SC02</x:v>
      </x:c>
      <x:c r="B108" s="30" t="str">
        <x:v>台风/强风/龙卷风灾后街区</x:v>
      </x:c>
      <x:c r="C108" s="30" t="str">
        <x:v>T022</x:v>
      </x:c>
      <x:c r="D108" s="30" t="str">
        <x:v>轻型残骸移除</x:v>
      </x:c>
      <x:c r="E108" s="30" t="str">
        <x:v>可候选；Agent决定是否创建/执行</x:v>
      </x:c>
      <x:c r="F108" s="30" t="str">
        <x:v>条件扩展：明确设备/专业服务后启用</x:v>
      </x:c>
    </x:row>
    <x:row r="109" ht="40" customHeight="1">
      <x:c r="A109" s="30" t="str">
        <x:v>SC02</x:v>
      </x:c>
      <x:c r="B109" s="30" t="str">
        <x:v>台风/强风/龙卷风灾后街区</x:v>
      </x:c>
      <x:c r="C109" s="30" t="str">
        <x:v>T023</x:v>
      </x:c>
      <x:c r="D109" s="30" t="str">
        <x:v>重型道路清障</x:v>
      </x:c>
      <x:c r="E109" s="30" t="str">
        <x:v>可候选；Agent决定是否创建/执行</x:v>
      </x:c>
      <x:c r="F109" s="30" t="str">
        <x:v>条件扩展：明确设备/专业服务后启用</x:v>
      </x:c>
    </x:row>
    <x:row r="110" ht="40" customHeight="1">
      <x:c r="A110" s="30" t="str">
        <x:v>SC02</x:v>
      </x:c>
      <x:c r="B110" s="30" t="str">
        <x:v>台风/强风/龙卷风灾后街区</x:v>
      </x:c>
      <x:c r="C110" s="30" t="str">
        <x:v>T024</x:v>
      </x:c>
      <x:c r="D110" s="30" t="str">
        <x:v>入口开辟与局部破拆</x:v>
      </x:c>
      <x:c r="E110" s="30" t="str">
        <x:v>可候选；Agent决定是否创建/执行</x:v>
      </x:c>
      <x:c r="F110" s="30" t="str">
        <x:v>条件扩展：明确设备/专业服务后启用</x:v>
      </x:c>
    </x:row>
    <x:row r="111" ht="40" customHeight="1">
      <x:c r="A111" s="30" t="str">
        <x:v>SC02</x:v>
      </x:c>
      <x:c r="B111" s="30" t="str">
        <x:v>台风/强风/龙卷风灾后街区</x:v>
      </x:c>
      <x:c r="C111" s="30" t="str">
        <x:v>T026</x:v>
      </x:c>
      <x:c r="D111" s="30" t="str">
        <x:v>吊升/移置大块障碍</x:v>
      </x:c>
      <x:c r="E111" s="30" t="str">
        <x:v>可候选；Agent决定是否创建/执行</x:v>
      </x:c>
      <x:c r="F111" s="30" t="str">
        <x:v>条件扩展：明确设备/专业服务后启用</x:v>
      </x:c>
    </x:row>
    <x:row r="112" ht="40" customHeight="1">
      <x:c r="A112" s="30" t="str">
        <x:v>SC02</x:v>
      </x:c>
      <x:c r="B112" s="30" t="str">
        <x:v>台风/强风/龙卷风灾后街区</x:v>
      </x:c>
      <x:c r="C112" s="30" t="str">
        <x:v>T027</x:v>
      </x:c>
      <x:c r="D112" s="30" t="str">
        <x:v>建立联系并确认需求</x:v>
      </x:c>
      <x:c r="E112" s="30" t="str">
        <x:v>可候选；Agent决定是否创建/执行</x:v>
      </x:c>
      <x:c r="F112" s="30" t="str">
        <x:v>基线：依实际装配启用</x:v>
      </x:c>
    </x:row>
    <x:row r="113" ht="40" customHeight="1">
      <x:c r="A113" s="30" t="str">
        <x:v>SC02</x:v>
      </x:c>
      <x:c r="B113" s="30" t="str">
        <x:v>台风/强风/龙卷风灾后街区</x:v>
      </x:c>
      <x:c r="C113" s="30" t="str">
        <x:v>T028</x:v>
      </x:c>
      <x:c r="D113" s="30" t="str">
        <x:v>安全警示与避险引导</x:v>
      </x:c>
      <x:c r="E113" s="30" t="str">
        <x:v>可候选；Agent决定是否创建/执行</x:v>
      </x:c>
      <x:c r="F113" s="30" t="str">
        <x:v>基线：依实际装配启用</x:v>
      </x:c>
    </x:row>
    <x:row r="114" ht="40" customHeight="1">
      <x:c r="A114" s="30" t="str">
        <x:v>SC02</x:v>
      </x:c>
      <x:c r="B114" s="30" t="str">
        <x:v>台风/强风/龙卷风灾后街区</x:v>
      </x:c>
      <x:c r="C114" s="30" t="str">
        <x:v>T029</x:v>
      </x:c>
      <x:c r="D114" s="30" t="str">
        <x:v>专业伤员评估与分级</x:v>
      </x:c>
      <x:c r="E114" s="30" t="str">
        <x:v>可候选；Agent决定是否创建/执行</x:v>
      </x:c>
      <x:c r="F114" s="30" t="str">
        <x:v>条件扩展：明确设备/专业服务后启用</x:v>
      </x:c>
    </x:row>
    <x:row r="115" ht="40" customHeight="1">
      <x:c r="A115" s="30" t="str">
        <x:v>SC02</x:v>
      </x:c>
      <x:c r="B115" s="30" t="str">
        <x:v>台风/强风/龙卷风灾后街区</x:v>
      </x:c>
      <x:c r="C115" s="30" t="str">
        <x:v>T030</x:v>
      </x:c>
      <x:c r="D115" s="30" t="str">
        <x:v>人员基础物资支援</x:v>
      </x:c>
      <x:c r="E115" s="30" t="str">
        <x:v>可候选；Agent决定是否创建/执行</x:v>
      </x:c>
      <x:c r="F115" s="30" t="str">
        <x:v>基线：依实际装配启用</x:v>
      </x:c>
    </x:row>
    <x:row r="116" ht="40" customHeight="1">
      <x:c r="A116" s="30" t="str">
        <x:v>SC02</x:v>
      </x:c>
      <x:c r="B116" s="30" t="str">
        <x:v>台风/强风/龙卷风灾后街区</x:v>
      </x:c>
      <x:c r="C116" s="30" t="str">
        <x:v>T031</x:v>
      </x:c>
      <x:c r="D116" s="30" t="str">
        <x:v>专业初步救护</x:v>
      </x:c>
      <x:c r="E116" s="30" t="str">
        <x:v>可候选；Agent决定是否创建/执行</x:v>
      </x:c>
      <x:c r="F116" s="30" t="str">
        <x:v>条件扩展：明确设备/专业服务后启用</x:v>
      </x:c>
    </x:row>
    <x:row r="117" ht="40" customHeight="1">
      <x:c r="A117" s="30" t="str">
        <x:v>SC02</x:v>
      </x:c>
      <x:c r="B117" s="30" t="str">
        <x:v>台风/强风/龙卷风灾后街区</x:v>
      </x:c>
      <x:c r="C117" s="30" t="str">
        <x:v>T032</x:v>
      </x:c>
      <x:c r="D117" s="30" t="str">
        <x:v>受困解除/解困</x:v>
      </x:c>
      <x:c r="E117" s="30" t="str">
        <x:v>可候选；Agent决定是否创建/执行</x:v>
      </x:c>
      <x:c r="F117" s="30" t="str">
        <x:v>条件扩展：明确设备/专业服务后启用</x:v>
      </x:c>
    </x:row>
    <x:row r="118" ht="40" customHeight="1">
      <x:c r="A118" s="30" t="str">
        <x:v>SC02</x:v>
      </x:c>
      <x:c r="B118" s="30" t="str">
        <x:v>台风/强风/龙卷风灾后街区</x:v>
      </x:c>
      <x:c r="C118" s="30" t="str">
        <x:v>T033</x:v>
      </x:c>
      <x:c r="D118" s="30" t="str">
        <x:v>人员装载</x:v>
      </x:c>
      <x:c r="E118" s="30" t="str">
        <x:v>可候选；Agent决定是否创建/执行</x:v>
      </x:c>
      <x:c r="F118" s="30" t="str">
        <x:v>条件扩展：明确设备/专业服务后启用</x:v>
      </x:c>
    </x:row>
    <x:row r="119" ht="40" customHeight="1">
      <x:c r="A119" s="30" t="str">
        <x:v>SC02</x:v>
      </x:c>
      <x:c r="B119" s="30" t="str">
        <x:v>台风/强风/龙卷风灾后街区</x:v>
      </x:c>
      <x:c r="C119" s="30" t="str">
        <x:v>T034</x:v>
      </x:c>
      <x:c r="D119" s="30" t="str">
        <x:v>人员转运</x:v>
      </x:c>
      <x:c r="E119" s="30" t="str">
        <x:v>可候选；Agent决定是否创建/执行</x:v>
      </x:c>
      <x:c r="F119" s="30" t="str">
        <x:v>条件扩展：明确设备/专业服务后启用</x:v>
      </x:c>
    </x:row>
    <x:row r="120" ht="40" customHeight="1">
      <x:c r="A120" s="30" t="str">
        <x:v>SC02</x:v>
      </x:c>
      <x:c r="B120" s="30" t="str">
        <x:v>台风/强风/龙卷风灾后街区</x:v>
      </x:c>
      <x:c r="C120" s="30" t="str">
        <x:v>T035</x:v>
      </x:c>
      <x:c r="D120" s="30" t="str">
        <x:v>救援/医疗最终移交</x:v>
      </x:c>
      <x:c r="E120" s="30" t="str">
        <x:v>可候选；Agent决定是否创建/执行</x:v>
      </x:c>
      <x:c r="F120" s="30" t="str">
        <x:v>条件扩展：明确设备/专业服务后启用</x:v>
      </x:c>
    </x:row>
    <x:row r="121" ht="40" customHeight="1">
      <x:c r="A121" s="30" t="str">
        <x:v>SC02</x:v>
      </x:c>
      <x:c r="B121" s="30" t="str">
        <x:v>台风/强风/龙卷风灾后街区</x:v>
      </x:c>
      <x:c r="C121" s="30" t="str">
        <x:v>T038</x:v>
      </x:c>
      <x:c r="D121" s="30" t="str">
        <x:v>货物取用与挂载</x:v>
      </x:c>
      <x:c r="E121" s="30" t="str">
        <x:v>可候选；Agent决定是否创建/执行</x:v>
      </x:c>
      <x:c r="F121" s="30" t="str">
        <x:v>基线：依实际装配启用</x:v>
      </x:c>
    </x:row>
    <x:row r="122" ht="40" customHeight="1">
      <x:c r="A122" s="30" t="str">
        <x:v>SC02</x:v>
      </x:c>
      <x:c r="B122" s="30" t="str">
        <x:v>台风/强风/龙卷风灾后街区</x:v>
      </x:c>
      <x:c r="C122" s="30" t="str">
        <x:v>T039</x:v>
      </x:c>
      <x:c r="D122" s="30" t="str">
        <x:v>无人机精确物资投送</x:v>
      </x:c>
      <x:c r="E122" s="30" t="str">
        <x:v>可候选；Agent决定是否创建/执行</x:v>
      </x:c>
      <x:c r="F122" s="30" t="str">
        <x:v>基线：依实际装配启用</x:v>
      </x:c>
    </x:row>
    <x:row r="123" ht="40" customHeight="1">
      <x:c r="A123" s="30" t="str">
        <x:v>SC02</x:v>
      </x:c>
      <x:c r="B123" s="30" t="str">
        <x:v>台风/强风/龙卷风灾后街区</x:v>
      </x:c>
      <x:c r="C123" s="30" t="str">
        <x:v>T040</x:v>
      </x:c>
      <x:c r="D123" s="30" t="str">
        <x:v>地面物资送达与卸放</x:v>
      </x:c>
      <x:c r="E123" s="30" t="str">
        <x:v>可候选；Agent决定是否创建/执行</x:v>
      </x:c>
      <x:c r="F123" s="30" t="str">
        <x:v>基线：依实际装配启用</x:v>
      </x:c>
    </x:row>
    <x:row r="124" ht="40" customHeight="1">
      <x:c r="A124" s="30" t="str">
        <x:v>SC02</x:v>
      </x:c>
      <x:c r="B124" s="30" t="str">
        <x:v>台风/强风/龙卷风灾后街区</x:v>
      </x:c>
      <x:c r="C124" s="30" t="str">
        <x:v>T041</x:v>
      </x:c>
      <x:c r="D124" s="30" t="str">
        <x:v>交付复核与收货报告</x:v>
      </x:c>
      <x:c r="E124" s="30" t="str">
        <x:v>可候选；Agent决定是否创建/执行</x:v>
      </x:c>
      <x:c r="F124" s="30" t="str">
        <x:v>基线：依实际装配启用</x:v>
      </x:c>
    </x:row>
    <x:row r="125" ht="40" customHeight="1">
      <x:c r="A125" s="30" t="str">
        <x:v>SC02</x:v>
      </x:c>
      <x:c r="B125" s="30" t="str">
        <x:v>台风/强风/龙卷风灾后街区</x:v>
      </x:c>
      <x:c r="C125" s="30" t="str">
        <x:v>T042</x:v>
      </x:c>
      <x:c r="D125" s="30" t="str">
        <x:v>物资/器材补给</x:v>
      </x:c>
      <x:c r="E125" s="30" t="str">
        <x:v>可候选；Agent决定是否创建/执行</x:v>
      </x:c>
      <x:c r="F125" s="30" t="str">
        <x:v>基线：依实际装配启用</x:v>
      </x:c>
    </x:row>
    <x:row r="126" ht="40" customHeight="1">
      <x:c r="A126" s="30" t="str">
        <x:v>SC02</x:v>
      </x:c>
      <x:c r="B126" s="30" t="str">
        <x:v>台风/强风/龙卷风灾后街区</x:v>
      </x:c>
      <x:c r="C126" s="30" t="str">
        <x:v>T043</x:v>
      </x:c>
      <x:c r="D126" s="30" t="str">
        <x:v>平台充电</x:v>
      </x:c>
      <x:c r="E126" s="30" t="str">
        <x:v>可候选；Agent决定是否创建/执行</x:v>
      </x:c>
      <x:c r="F126" s="30" t="str">
        <x:v>基线：依实际装配启用</x:v>
      </x:c>
    </x:row>
    <x:row r="127" ht="40" customHeight="1">
      <x:c r="A127" s="30" t="str">
        <x:v>SC02</x:v>
      </x:c>
      <x:c r="B127" s="30" t="str">
        <x:v>台风/强风/龙卷风灾后街区</x:v>
      </x:c>
      <x:c r="C127" s="30" t="str">
        <x:v>T044</x:v>
      </x:c>
      <x:c r="D127" s="30" t="str">
        <x:v>平台换电</x:v>
      </x:c>
      <x:c r="E127" s="30" t="str">
        <x:v>可候选；Agent决定是否创建/执行</x:v>
      </x:c>
      <x:c r="F127" s="30" t="str">
        <x:v>基线：依实际装配启用</x:v>
      </x:c>
    </x:row>
    <x:row r="128" ht="40" customHeight="1">
      <x:c r="A128" s="30" t="str">
        <x:v>SC02</x:v>
      </x:c>
      <x:c r="B128" s="30" t="str">
        <x:v>台风/强风/龙卷风灾后街区</x:v>
      </x:c>
      <x:c r="C128" s="30" t="str">
        <x:v>T045</x:v>
      </x:c>
      <x:c r="D128" s="30" t="str">
        <x:v>返航/返站与安全撤离</x:v>
      </x:c>
      <x:c r="E128" s="30" t="str">
        <x:v>可候选；Agent决定是否创建/执行</x:v>
      </x:c>
      <x:c r="F128" s="30" t="str">
        <x:v>基线：依实际装配启用</x:v>
      </x:c>
    </x:row>
    <x:row r="129" ht="40" customHeight="1">
      <x:c r="A129" s="30" t="str">
        <x:v>SC02</x:v>
      </x:c>
      <x:c r="B129" s="30" t="str">
        <x:v>台风/强风/龙卷风灾后街区</x:v>
      </x:c>
      <x:c r="C129" s="30" t="str">
        <x:v>T046</x:v>
      </x:c>
      <x:c r="D129" s="30" t="str">
        <x:v>失效平台回收</x:v>
      </x:c>
      <x:c r="E129" s="30" t="str">
        <x:v>可候选；Agent决定是否创建/执行</x:v>
      </x:c>
      <x:c r="F129" s="30" t="str">
        <x:v>条件扩展：明确设备/专业服务后启用</x:v>
      </x:c>
    </x:row>
    <x:row r="130" ht="40" customHeight="1">
      <x:c r="A130" s="30" t="str">
        <x:v>SC02</x:v>
      </x:c>
      <x:c r="B130" s="30" t="str">
        <x:v>台风/强风/龙卷风灾后街区</x:v>
      </x:c>
      <x:c r="C130" s="30" t="str">
        <x:v>T047</x:v>
      </x:c>
      <x:c r="D130" s="30" t="str">
        <x:v>链路探测与质量估计</x:v>
      </x:c>
      <x:c r="E130" s="30" t="str">
        <x:v>可候选；Agent决定是否创建/执行</x:v>
      </x:c>
      <x:c r="F130" s="30" t="str">
        <x:v>基线：依实际装配启用</x:v>
      </x:c>
    </x:row>
    <x:row r="131" ht="40" customHeight="1">
      <x:c r="A131" s="30" t="str">
        <x:v>SC02</x:v>
      </x:c>
      <x:c r="B131" s="30" t="str">
        <x:v>台风/强风/龙卷风灾后街区</x:v>
      </x:c>
      <x:c r="C131" s="30" t="str">
        <x:v>T048</x:v>
      </x:c>
      <x:c r="D131" s="30" t="str">
        <x:v>通信会合与重定位</x:v>
      </x:c>
      <x:c r="E131" s="30" t="str">
        <x:v>可候选；Agent决定是否创建/执行</x:v>
      </x:c>
      <x:c r="F131" s="30" t="str">
        <x:v>基线：依实际装配启用</x:v>
      </x:c>
    </x:row>
    <x:row r="132" ht="40" customHeight="1">
      <x:c r="A132" s="30" t="str">
        <x:v>SC02</x:v>
      </x:c>
      <x:c r="B132" s="30" t="str">
        <x:v>台风/强风/龙卷风灾后街区</x:v>
      </x:c>
      <x:c r="C132" s="30" t="str">
        <x:v>T049</x:v>
      </x:c>
      <x:c r="D132" s="30" t="str">
        <x:v>空中中继保持</x:v>
      </x:c>
      <x:c r="E132" s="30" t="str">
        <x:v>可候选；Agent决定是否创建/执行</x:v>
      </x:c>
      <x:c r="F132" s="30" t="str">
        <x:v>基线：依实际装配启用</x:v>
      </x:c>
    </x:row>
    <x:row r="133" ht="40" customHeight="1">
      <x:c r="A133" s="30" t="str">
        <x:v>SC02</x:v>
      </x:c>
      <x:c r="B133" s="30" t="str">
        <x:v>台风/强风/龙卷风灾后街区</x:v>
      </x:c>
      <x:c r="C133" s="30" t="str">
        <x:v>T050</x:v>
      </x:c>
      <x:c r="D133" s="30" t="str">
        <x:v>通信节点布放</x:v>
      </x:c>
      <x:c r="E133" s="30" t="str">
        <x:v>可候选；Agent决定是否创建/执行</x:v>
      </x:c>
      <x:c r="F133" s="30" t="str">
        <x:v>条件扩展：明确设备/专业服务后启用</x:v>
      </x:c>
    </x:row>
    <x:row r="134" ht="40" customHeight="1">
      <x:c r="A134" s="30" t="str">
        <x:v>SC02</x:v>
      </x:c>
      <x:c r="B134" s="30" t="str">
        <x:v>台风/强风/龙卷风灾后街区</x:v>
      </x:c>
      <x:c r="C134" s="30" t="str">
        <x:v>T051</x:v>
      </x:c>
      <x:c r="D134" s="30" t="str">
        <x:v>多跳业务转发</x:v>
      </x:c>
      <x:c r="E134" s="30" t="str">
        <x:v>可候选；Agent决定是否创建/执行</x:v>
      </x:c>
      <x:c r="F134" s="30" t="str">
        <x:v>基线：依实际装配启用</x:v>
      </x:c>
    </x:row>
    <x:row r="135" ht="40" customHeight="1">
      <x:c r="A135" s="30" t="str">
        <x:v>SC02</x:v>
      </x:c>
      <x:c r="B135" s="30" t="str">
        <x:v>台风/强风/龙卷风灾后街区</x:v>
      </x:c>
      <x:c r="C135" s="30" t="str">
        <x:v>T052</x:v>
      </x:c>
      <x:c r="D135" s="30" t="str">
        <x:v>图像/证据数据上传</x:v>
      </x:c>
      <x:c r="E135" s="30" t="str">
        <x:v>可候选；Agent决定是否创建/执行</x:v>
      </x:c>
      <x:c r="F135" s="30" t="str">
        <x:v>基线：依实际装配启用</x:v>
      </x:c>
    </x:row>
    <x:row r="136" ht="40" customHeight="1">
      <x:c r="A136" s="30" t="str">
        <x:v>SC02</x:v>
      </x:c>
      <x:c r="B136" s="30" t="str">
        <x:v>台风/强风/龙卷风灾后街区</x:v>
      </x:c>
      <x:c r="C136" s="30" t="str">
        <x:v>T053</x:v>
      </x:c>
      <x:c r="D136" s="30" t="str">
        <x:v>可靠回执与超时重传</x:v>
      </x:c>
      <x:c r="E136" s="30" t="str">
        <x:v>可候选；Agent决定是否创建/执行</x:v>
      </x:c>
      <x:c r="F136" s="30" t="str">
        <x:v>基线：依实际装配启用</x:v>
      </x:c>
    </x:row>
    <x:row r="137" ht="40" customHeight="1">
      <x:c r="A137" s="30" t="str">
        <x:v>SC02</x:v>
      </x:c>
      <x:c r="B137" s="30" t="str">
        <x:v>台风/强风/龙卷风灾后街区</x:v>
      </x:c>
      <x:c r="C137" s="30" t="str">
        <x:v>T054</x:v>
      </x:c>
      <x:c r="D137" s="30" t="str">
        <x:v>断联存储-携带-转发</x:v>
      </x:c>
      <x:c r="E137" s="30" t="str">
        <x:v>可候选；Agent决定是否创建/执行</x:v>
      </x:c>
      <x:c r="F137" s="30" t="str">
        <x:v>基线：依实际装配启用</x:v>
      </x:c>
    </x:row>
    <x:row r="138" ht="40" customHeight="1">
      <x:c r="A138" s="30" t="str">
        <x:v>SC02</x:v>
      </x:c>
      <x:c r="B138" s="30" t="str">
        <x:v>台风/强风/龙卷风灾后街区</x:v>
      </x:c>
      <x:c r="C138" s="30" t="str">
        <x:v>T055</x:v>
      </x:c>
      <x:c r="D138" s="30" t="str">
        <x:v>信道/功率/传输优先级调整</x:v>
      </x:c>
      <x:c r="E138" s="30" t="str">
        <x:v>可候选；Agent决定是否创建/执行</x:v>
      </x:c>
      <x:c r="F138" s="30" t="str">
        <x:v>基线：依实际装配启用</x:v>
      </x:c>
    </x:row>
    <x:row r="139" ht="40" customHeight="1">
      <x:c r="A139" s="30" t="str">
        <x:v>SC02</x:v>
      </x:c>
      <x:c r="B139" s="30" t="str">
        <x:v>台风/强风/龙卷风灾后街区</x:v>
      </x:c>
      <x:c r="C139" s="30" t="str">
        <x:v>T056</x:v>
      </x:c>
      <x:c r="D139" s="30" t="str">
        <x:v>失联后的连接恢复</x:v>
      </x:c>
      <x:c r="E139" s="30" t="str">
        <x:v>可候选；Agent决定是否创建/执行</x:v>
      </x:c>
      <x:c r="F139" s="30" t="str">
        <x:v>基线：依实际装配启用</x:v>
      </x:c>
    </x:row>
    <x:row r="140" ht="40" customHeight="1">
      <x:c r="A140" s="30" t="str">
        <x:v>SC02</x:v>
      </x:c>
      <x:c r="B140" s="30" t="str">
        <x:v>台风/强风/龙卷风灾后街区</x:v>
      </x:c>
      <x:c r="C140" s="30" t="str">
        <x:v>T057</x:v>
      </x:c>
      <x:c r="D140" s="30" t="str">
        <x:v>计算与模型服务发现</x:v>
      </x:c>
      <x:c r="E140" s="30" t="str">
        <x:v>可候选；Agent决定是否创建/执行</x:v>
      </x:c>
      <x:c r="F140" s="30" t="str">
        <x:v>基线：依实际装配启用</x:v>
      </x:c>
    </x:row>
    <x:row r="141" ht="40" customHeight="1">
      <x:c r="A141" s="30" t="str">
        <x:v>SC02</x:v>
      </x:c>
      <x:c r="B141" s="30" t="str">
        <x:v>台风/强风/龙卷风灾后街区</x:v>
      </x:c>
      <x:c r="C141" s="30" t="str">
        <x:v>T058</x:v>
      </x:c>
      <x:c r="D141" s="30" t="str">
        <x:v>本地视觉检测</x:v>
      </x:c>
      <x:c r="E141" s="30" t="str">
        <x:v>可候选；Agent决定是否创建/执行</x:v>
      </x:c>
      <x:c r="F141" s="30" t="str">
        <x:v>基线：依实际装配启用</x:v>
      </x:c>
    </x:row>
    <x:row r="142" ht="40" customHeight="1">
      <x:c r="A142" s="30" t="str">
        <x:v>SC02</x:v>
      </x:c>
      <x:c r="B142" s="30" t="str">
        <x:v>台风/强风/龙卷风灾后街区</x:v>
      </x:c>
      <x:c r="C142" s="30" t="str">
        <x:v>T059</x:v>
      </x:c>
      <x:c r="D142" s="30" t="str">
        <x:v>本地语义/任务推理</x:v>
      </x:c>
      <x:c r="E142" s="30" t="str">
        <x:v>可候选；Agent决定是否创建/执行</x:v>
      </x:c>
      <x:c r="F142" s="30" t="str">
        <x:v>基线：依实际装配启用</x:v>
      </x:c>
    </x:row>
    <x:row r="143" ht="40" customHeight="1">
      <x:c r="A143" s="30" t="str">
        <x:v>SC02</x:v>
      </x:c>
      <x:c r="B143" s="30" t="str">
        <x:v>台风/强风/龙卷风灾后街区</x:v>
      </x:c>
      <x:c r="C143" s="30" t="str">
        <x:v>T060</x:v>
      </x:c>
      <x:c r="D143" s="30" t="str">
        <x:v>远程视觉复核/推理卸载</x:v>
      </x:c>
      <x:c r="E143" s="30" t="str">
        <x:v>可候选；Agent决定是否创建/执行</x:v>
      </x:c>
      <x:c r="F143" s="30" t="str">
        <x:v>基线：依实际装配启用</x:v>
      </x:c>
    </x:row>
    <x:row r="144" ht="40" customHeight="1">
      <x:c r="A144" s="30" t="str">
        <x:v>SC02</x:v>
      </x:c>
      <x:c r="B144" s="30" t="str">
        <x:v>台风/强风/龙卷风灾后街区</x:v>
      </x:c>
      <x:c r="C144" s="30" t="str">
        <x:v>T061</x:v>
      </x:c>
      <x:c r="D144" s="30" t="str">
        <x:v>执行节点与模型选择</x:v>
      </x:c>
      <x:c r="E144" s="30" t="str">
        <x:v>可候选；Agent决定是否创建/执行</x:v>
      </x:c>
      <x:c r="F144" s="30" t="str">
        <x:v>基线：依实际装配启用</x:v>
      </x:c>
    </x:row>
    <x:row r="145" ht="40" customHeight="1">
      <x:c r="A145" s="30" t="str">
        <x:v>SC02</x:v>
      </x:c>
      <x:c r="B145" s="30" t="str">
        <x:v>台风/强风/龙卷风灾后街区</x:v>
      </x:c>
      <x:c r="C145" s="30" t="str">
        <x:v>T062</x:v>
      </x:c>
      <x:c r="D145" s="30" t="str">
        <x:v>计算作业准入与排队</x:v>
      </x:c>
      <x:c r="E145" s="30" t="str">
        <x:v>可候选；Agent决定是否创建/执行</x:v>
      </x:c>
      <x:c r="F145" s="30" t="str">
        <x:v>基线：依实际装配启用</x:v>
      </x:c>
    </x:row>
    <x:row r="146" ht="40" customHeight="1">
      <x:c r="A146" s="30" t="str">
        <x:v>SC02</x:v>
      </x:c>
      <x:c r="B146" s="30" t="str">
        <x:v>台风/强风/龙卷风灾后街区</x:v>
      </x:c>
      <x:c r="C146" s="30" t="str">
        <x:v>T063</x:v>
      </x:c>
      <x:c r="D146" s="30" t="str">
        <x:v>模型服务加载/卸载</x:v>
      </x:c>
      <x:c r="E146" s="30" t="str">
        <x:v>可候选；Agent决定是否创建/执行</x:v>
      </x:c>
      <x:c r="F146" s="30" t="str">
        <x:v>基线：依实际装配启用</x:v>
      </x:c>
    </x:row>
    <x:row r="147" ht="40" customHeight="1">
      <x:c r="A147" s="30" t="str">
        <x:v>SC02</x:v>
      </x:c>
      <x:c r="B147" s="30" t="str">
        <x:v>台风/强风/龙卷风灾后街区</x:v>
      </x:c>
      <x:c r="C147" s="30" t="str">
        <x:v>T064</x:v>
      </x:c>
      <x:c r="D147" s="30" t="str">
        <x:v>上下文/表示缓存复用</x:v>
      </x:c>
      <x:c r="E147" s="30" t="str">
        <x:v>可候选；Agent决定是否创建/执行</x:v>
      </x:c>
      <x:c r="F147" s="30" t="str">
        <x:v>基线：依实际装配启用</x:v>
      </x:c>
    </x:row>
    <x:row r="148" ht="40" customHeight="1">
      <x:c r="A148" s="30" t="str">
        <x:v>SC02</x:v>
      </x:c>
      <x:c r="B148" s="30" t="str">
        <x:v>台风/强风/龙卷风灾后街区</x:v>
      </x:c>
      <x:c r="C148" s="30" t="str">
        <x:v>T065</x:v>
      </x:c>
      <x:c r="D148" s="30" t="str">
        <x:v>服务/作业迁移与恢复</x:v>
      </x:c>
      <x:c r="E148" s="30" t="str">
        <x:v>可候选；Agent决定是否创建/执行</x:v>
      </x:c>
      <x:c r="F148" s="30" t="str">
        <x:v>条件扩展：明确设备/专业服务后启用</x:v>
      </x:c>
    </x:row>
    <x:row r="149" ht="40" customHeight="1">
      <x:c r="A149" s="30" t="str">
        <x:v>SC02</x:v>
      </x:c>
      <x:c r="B149" s="30" t="str">
        <x:v>台风/强风/龙卷风灾后街区</x:v>
      </x:c>
      <x:c r="C149" s="30" t="str">
        <x:v>T066</x:v>
      </x:c>
      <x:c r="D149" s="30" t="str">
        <x:v>预算耗尽/失败作业取消重试</x:v>
      </x:c>
      <x:c r="E149" s="30" t="str">
        <x:v>可候选；Agent决定是否创建/执行</x:v>
      </x:c>
      <x:c r="F149" s="30" t="str">
        <x:v>基线：依实际装配启用</x:v>
      </x:c>
    </x:row>
    <x:row r="150" ht="40" customHeight="1">
      <x:c r="A150" s="30" t="str">
        <x:v>SC02</x:v>
      </x:c>
      <x:c r="B150" s="30" t="str">
        <x:v>台风/强风/龙卷风灾后街区</x:v>
      </x:c>
      <x:c r="C150" s="30" t="str">
        <x:v>T067</x:v>
      </x:c>
      <x:c r="D150" s="30" t="str">
        <x:v>批处理/多源联合推理</x:v>
      </x:c>
      <x:c r="E150" s="30" t="str">
        <x:v>可候选；Agent决定是否创建/执行</x:v>
      </x:c>
      <x:c r="F150" s="30" t="str">
        <x:v>基线：依实际装配启用</x:v>
      </x:c>
    </x:row>
    <x:row r="151" ht="40" customHeight="1">
      <x:c r="A151" s="30" t="str">
        <x:v>SC02</x:v>
      </x:c>
      <x:c r="B151" s="30" t="str">
        <x:v>台风/强风/龙卷风灾后街区</x:v>
      </x:c>
      <x:c r="C151" s="30" t="str">
        <x:v>T068</x:v>
      </x:c>
      <x:c r="D151" s="30" t="str">
        <x:v>计算资源释放与缓存清理</x:v>
      </x:c>
      <x:c r="E151" s="30" t="str">
        <x:v>可候选；Agent决定是否创建/执行</x:v>
      </x:c>
      <x:c r="F151" s="30" t="str">
        <x:v>基线：依实际装配启用</x:v>
      </x:c>
    </x:row>
    <x:row r="152" ht="40" customHeight="1">
      <x:c r="A152" s="30" t="str">
        <x:v>SC02</x:v>
      </x:c>
      <x:c r="B152" s="30" t="str">
        <x:v>台风/强风/龙卷风灾后街区</x:v>
      </x:c>
      <x:c r="C152" s="30" t="str">
        <x:v>T069</x:v>
      </x:c>
      <x:c r="D152" s="30" t="str">
        <x:v>跨源时间坐标对齐</x:v>
      </x:c>
      <x:c r="E152" s="30" t="str">
        <x:v>可候选；Agent决定是否创建/执行</x:v>
      </x:c>
      <x:c r="F152" s="30" t="str">
        <x:v>基线：依实际装配启用</x:v>
      </x:c>
    </x:row>
    <x:row r="153" ht="40" customHeight="1">
      <x:c r="A153" s="30" t="str">
        <x:v>SC02</x:v>
      </x:c>
      <x:c r="B153" s="30" t="str">
        <x:v>台风/强风/龙卷风灾后街区</x:v>
      </x:c>
      <x:c r="C153" s="30" t="str">
        <x:v>T070</x:v>
      </x:c>
      <x:c r="D153" s="30" t="str">
        <x:v>任务条件化本地历史检索</x:v>
      </x:c>
      <x:c r="E153" s="30" t="str">
        <x:v>可候选；Agent决定是否创建/执行</x:v>
      </x:c>
      <x:c r="F153" s="30" t="str">
        <x:v>基线：依实际装配启用</x:v>
      </x:c>
    </x:row>
    <x:row r="154" ht="40" customHeight="1">
      <x:c r="A154" s="30" t="str">
        <x:v>SC02</x:v>
      </x:c>
      <x:c r="B154" s="30" t="str">
        <x:v>台风/强风/龙卷风灾后街区</x:v>
      </x:c>
      <x:c r="C154" s="30" t="str">
        <x:v>T071</x:v>
      </x:c>
      <x:c r="D154" s="30" t="str">
        <x:v>图像裁剪/编码/证据打包</x:v>
      </x:c>
      <x:c r="E154" s="30" t="str">
        <x:v>可候选；Agent决定是否创建/执行</x:v>
      </x:c>
      <x:c r="F154" s="30" t="str">
        <x:v>基线：依实际装配启用</x:v>
      </x:c>
    </x:row>
    <x:row r="155" ht="40" customHeight="1">
      <x:c r="A155" s="30" t="str">
        <x:v>SC02</x:v>
      </x:c>
      <x:c r="B155" s="30" t="str">
        <x:v>台风/强风/龙卷风灾后街区</x:v>
      </x:c>
      <x:c r="C155" s="30" t="str">
        <x:v>T072</x:v>
      </x:c>
      <x:c r="D155" s="30" t="str">
        <x:v>置信度与证据充分性判断</x:v>
      </x:c>
      <x:c r="E155" s="30" t="str">
        <x:v>可候选；Agent决定是否创建/执行</x:v>
      </x:c>
      <x:c r="F155" s="30" t="str">
        <x:v>基线：依实际装配启用</x:v>
      </x:c>
    </x:row>
    <x:row r="156" ht="40" customHeight="1">
      <x:c r="A156" s="30" t="str">
        <x:v>SC02</x:v>
      </x:c>
      <x:c r="B156" s="30" t="str">
        <x:v>台风/强风/龙卷风灾后街区</x:v>
      </x:c>
      <x:c r="C156" s="30" t="str">
        <x:v>T073</x:v>
      </x:c>
      <x:c r="D156" s="30" t="str">
        <x:v>多源融合与冲突更正</x:v>
      </x:c>
      <x:c r="E156" s="30" t="str">
        <x:v>可候选；Agent决定是否创建/执行</x:v>
      </x:c>
      <x:c r="F156" s="30" t="str">
        <x:v>基线：依实际装配启用</x:v>
      </x:c>
    </x:row>
    <x:row r="157" ht="40" customHeight="1">
      <x:c r="A157" s="30" t="str">
        <x:v>SC02</x:v>
      </x:c>
      <x:c r="B157" s="30" t="str">
        <x:v>台风/强风/龙卷风灾后街区</x:v>
      </x:c>
      <x:c r="C157" s="30" t="str">
        <x:v>T074</x:v>
      </x:c>
      <x:c r="D157" s="30" t="str">
        <x:v>面向任务的信息选择与共享</x:v>
      </x:c>
      <x:c r="E157" s="30" t="str">
        <x:v>可候选；Agent决定是否创建/执行</x:v>
      </x:c>
      <x:c r="F157" s="30" t="str">
        <x:v>基线：依实际装配启用</x:v>
      </x:c>
    </x:row>
    <x:row r="158" ht="40" customHeight="1">
      <x:c r="A158" s="30" t="str">
        <x:v>SC02</x:v>
      </x:c>
      <x:c r="B158" s="30" t="str">
        <x:v>台风/强风/龙卷风灾后街区</x:v>
      </x:c>
      <x:c r="C158" s="30" t="str">
        <x:v>T075</x:v>
      </x:c>
      <x:c r="D158" s="30" t="str">
        <x:v>局部信念与过时信息维护</x:v>
      </x:c>
      <x:c r="E158" s="30" t="str">
        <x:v>可候选；Agent决定是否创建/执行</x:v>
      </x:c>
      <x:c r="F158" s="30" t="str">
        <x:v>基线：依实际装配启用</x:v>
      </x:c>
    </x:row>
    <x:row r="159" ht="40" customHeight="1">
      <x:c r="A159" s="30" t="str">
        <x:v>SC02</x:v>
      </x:c>
      <x:c r="B159" s="30" t="str">
        <x:v>台风/强风/龙卷风灾后街区</x:v>
      </x:c>
      <x:c r="C159" s="30" t="str">
        <x:v>T076</x:v>
      </x:c>
      <x:c r="D159" s="30" t="str">
        <x:v>轨迹/证据归档与回放</x:v>
      </x:c>
      <x:c r="E159" s="30" t="str">
        <x:v>可候选；Agent决定是否创建/执行</x:v>
      </x:c>
      <x:c r="F159" s="30" t="str">
        <x:v>基线：依实际装配启用</x:v>
      </x:c>
    </x:row>
    <x:row r="160" ht="40" customHeight="1">
      <x:c r="A160" s="30" t="str">
        <x:v>SC02</x:v>
      </x:c>
      <x:c r="B160" s="30" t="str">
        <x:v>台风/强风/龙卷风灾后街区</x:v>
      </x:c>
      <x:c r="C160" s="30" t="str">
        <x:v>T077</x:v>
      </x:c>
      <x:c r="D160" s="30" t="str">
        <x:v>接收并解释当前使命</x:v>
      </x:c>
      <x:c r="E160" s="30" t="str">
        <x:v>可候选；Agent决定是否创建/执行</x:v>
      </x:c>
      <x:c r="F160" s="30" t="str">
        <x:v>基线：依实际装配启用</x:v>
      </x:c>
    </x:row>
    <x:row r="161" ht="40" customHeight="1">
      <x:c r="A161" s="30" t="str">
        <x:v>SC02</x:v>
      </x:c>
      <x:c r="B161" s="30" t="str">
        <x:v>台风/强风/龙卷风灾后街区</x:v>
      </x:c>
      <x:c r="C161" s="30" t="str">
        <x:v>T078</x:v>
      </x:c>
      <x:c r="D161" s="30" t="str">
        <x:v>自主任务分解与候选生成</x:v>
      </x:c>
      <x:c r="E161" s="30" t="str">
        <x:v>可候选；Agent决定是否创建/执行</x:v>
      </x:c>
      <x:c r="F161" s="30" t="str">
        <x:v>基线：依实际装配启用</x:v>
      </x:c>
    </x:row>
    <x:row r="162" ht="40" customHeight="1">
      <x:c r="A162" s="30" t="str">
        <x:v>SC02</x:v>
      </x:c>
      <x:c r="B162" s="30" t="str">
        <x:v>台风/强风/龙卷风灾后街区</x:v>
      </x:c>
      <x:c r="C162" s="30" t="str">
        <x:v>T079</x:v>
      </x:c>
      <x:c r="D162" s="30" t="str">
        <x:v>本机参与筛选与出价</x:v>
      </x:c>
      <x:c r="E162" s="30" t="str">
        <x:v>可候选；Agent决定是否创建/执行</x:v>
      </x:c>
      <x:c r="F162" s="30" t="str">
        <x:v>基线：依实际装配启用</x:v>
      </x:c>
    </x:row>
    <x:row r="163" ht="40" customHeight="1">
      <x:c r="A163" s="30" t="str">
        <x:v>SC02</x:v>
      </x:c>
      <x:c r="B163" s="30" t="str">
        <x:v>台风/强风/龙卷风灾后街区</x:v>
      </x:c>
      <x:c r="C163" s="30" t="str">
        <x:v>T080</x:v>
      </x:c>
      <x:c r="D163" s="30" t="str">
        <x:v>多平台任务分配与协调</x:v>
      </x:c>
      <x:c r="E163" s="30" t="str">
        <x:v>可候选；Agent决定是否创建/执行</x:v>
      </x:c>
      <x:c r="F163" s="30" t="str">
        <x:v>基线：依实际装配启用</x:v>
      </x:c>
    </x:row>
    <x:row r="164" ht="40" customHeight="1">
      <x:c r="A164" s="30" t="str">
        <x:v>SC02</x:v>
      </x:c>
      <x:c r="B164" s="30" t="str">
        <x:v>台风/强风/龙卷风灾后街区</x:v>
      </x:c>
      <x:c r="C164" s="30" t="str">
        <x:v>T081</x:v>
      </x:c>
      <x:c r="D164" s="30" t="str">
        <x:v>任务接受/拒绝与承诺</x:v>
      </x:c>
      <x:c r="E164" s="30" t="str">
        <x:v>可候选；Agent决定是否创建/执行</x:v>
      </x:c>
      <x:c r="F164" s="30" t="str">
        <x:v>基线：依实际装配启用</x:v>
      </x:c>
    </x:row>
    <x:row r="165" ht="40" customHeight="1">
      <x:c r="A165" s="30" t="str">
        <x:v>SC02</x:v>
      </x:c>
      <x:c r="B165" s="30" t="str">
        <x:v>台风/强风/龙卷风灾后街区</x:v>
      </x:c>
      <x:c r="C165" s="30" t="str">
        <x:v>T082</x:v>
      </x:c>
      <x:c r="D165" s="30" t="str">
        <x:v>进度监控与完成确认</x:v>
      </x:c>
      <x:c r="E165" s="30" t="str">
        <x:v>可候选；Agent决定是否创建/执行</x:v>
      </x:c>
      <x:c r="F165" s="30" t="str">
        <x:v>基线：依实际装配启用</x:v>
      </x:c>
    </x:row>
    <x:row r="166" ht="40" customHeight="1">
      <x:c r="A166" s="30" t="str">
        <x:v>SC02</x:v>
      </x:c>
      <x:c r="B166" s="30" t="str">
        <x:v>台风/强风/龙卷风灾后街区</x:v>
      </x:c>
      <x:c r="C166" s="30" t="str">
        <x:v>T083</x:v>
      </x:c>
      <x:c r="D166" s="30" t="str">
        <x:v>任务取消/抢占</x:v>
      </x:c>
      <x:c r="E166" s="30" t="str">
        <x:v>可候选；Agent决定是否创建/执行</x:v>
      </x:c>
      <x:c r="F166" s="30" t="str">
        <x:v>基线：依实际装配启用</x:v>
      </x:c>
    </x:row>
    <x:row r="167" ht="40" customHeight="1">
      <x:c r="A167" s="30" t="str">
        <x:v>SC02</x:v>
      </x:c>
      <x:c r="B167" s="30" t="str">
        <x:v>台风/强风/龙卷风灾后街区</x:v>
      </x:c>
      <x:c r="C167" s="30" t="str">
        <x:v>T084</x:v>
      </x:c>
      <x:c r="D167" s="30" t="str">
        <x:v>恢复原任务</x:v>
      </x:c>
      <x:c r="E167" s="30" t="str">
        <x:v>可候选；Agent决定是否创建/执行</x:v>
      </x:c>
      <x:c r="F167" s="30" t="str">
        <x:v>基线：依实际装配启用</x:v>
      </x:c>
    </x:row>
    <x:row r="168" ht="40" customHeight="1">
      <x:c r="A168" s="30" t="str">
        <x:v>SC02</x:v>
      </x:c>
      <x:c r="B168" s="30" t="str">
        <x:v>台风/强风/龙卷风灾后街区</x:v>
      </x:c>
      <x:c r="C168" s="30" t="str">
        <x:v>T085</x:v>
      </x:c>
      <x:c r="D168" s="30" t="str">
        <x:v>跨Agent任务与证据交接</x:v>
      </x:c>
      <x:c r="E168" s="30" t="str">
        <x:v>可候选；Agent决定是否创建/执行</x:v>
      </x:c>
      <x:c r="F168" s="30" t="str">
        <x:v>基线：依实际装配启用</x:v>
      </x:c>
    </x:row>
    <x:row r="169" ht="40" customHeight="1">
      <x:c r="A169" s="30" t="str">
        <x:v>SC02</x:v>
      </x:c>
      <x:c r="B169" s="30" t="str">
        <x:v>台风/强风/龙卷风灾后街区</x:v>
      </x:c>
      <x:c r="C169" s="30" t="str">
        <x:v>T086</x:v>
      </x:c>
      <x:c r="D169" s="30" t="str">
        <x:v>失败重规划与重派</x:v>
      </x:c>
      <x:c r="E169" s="30" t="str">
        <x:v>可候选；Agent决定是否创建/执行</x:v>
      </x:c>
      <x:c r="F169" s="30" t="str">
        <x:v>基线：依实际装配启用</x:v>
      </x:c>
    </x:row>
    <x:row r="170" ht="40" customHeight="1">
      <x:c r="A170" s="30" t="str">
        <x:v>SC02</x:v>
      </x:c>
      <x:c r="B170" s="30" t="str">
        <x:v>台风/强风/龙卷风灾后街区</x:v>
      </x:c>
      <x:c r="C170" s="30" t="str">
        <x:v>T087</x:v>
      </x:c>
      <x:c r="D170" s="30" t="str">
        <x:v>请求专业救援/工程力量</x:v>
      </x:c>
      <x:c r="E170" s="30" t="str">
        <x:v>可候选；Agent决定是否创建/执行</x:v>
      </x:c>
      <x:c r="F170" s="30" t="str">
        <x:v>基线：依实际装配启用</x:v>
      </x:c>
    </x:row>
    <x:row r="171" ht="40" customHeight="1">
      <x:c r="A171" s="30" t="str">
        <x:v>SC02</x:v>
      </x:c>
      <x:c r="B171" s="30" t="str">
        <x:v>台风/强风/龙卷风灾后街区</x:v>
      </x:c>
      <x:c r="C171" s="30" t="str">
        <x:v>T088</x:v>
      </x:c>
      <x:c r="D171" s="30" t="str">
        <x:v>工作现场闭合与阶段移交</x:v>
      </x:c>
      <x:c r="E171" s="30" t="str">
        <x:v>可候选；Agent决定是否创建/执行</x:v>
      </x:c>
      <x:c r="F171" s="30" t="str">
        <x:v>基线：依实际装配启用</x:v>
      </x:c>
    </x:row>
    <x:row r="172" ht="40" customHeight="1">
      <x:c r="A172" s="30" t="str">
        <x:v>SC02</x:v>
      </x:c>
      <x:c r="B172" s="30" t="str">
        <x:v>台风/强风/龙卷风灾后街区</x:v>
      </x:c>
      <x:c r="C172" s="30" t="str">
        <x:v>T089</x:v>
      </x:c>
      <x:c r="D172" s="30" t="str">
        <x:v>次生危险动态监视</x:v>
      </x:c>
      <x:c r="E172" s="30" t="str">
        <x:v>可候选；Agent决定是否创建/执行</x:v>
      </x:c>
      <x:c r="F172" s="30" t="str">
        <x:v>基线：依实际装配启用</x:v>
      </x:c>
    </x:row>
    <x:row r="173" ht="40" customHeight="1">
      <x:c r="A173" s="30" t="str">
        <x:v>SC02</x:v>
      </x:c>
      <x:c r="B173" s="30" t="str">
        <x:v>台风/强风/龙卷风灾后街区</x:v>
      </x:c>
      <x:c r="C173" s="30" t="str">
        <x:v>T090</x:v>
      </x:c>
      <x:c r="D173" s="30" t="str">
        <x:v>平台/能源/服务健康监视</x:v>
      </x:c>
      <x:c r="E173" s="30" t="str">
        <x:v>可候选；Agent决定是否创建/执行</x:v>
      </x:c>
      <x:c r="F173" s="30" t="str">
        <x:v>基线：依实际装配启用</x:v>
      </x:c>
    </x:row>
    <x:row r="174" ht="40" customHeight="1">
      <x:c r="A174" s="30" t="str">
        <x:v>SC02</x:v>
      </x:c>
      <x:c r="B174" s="30" t="str">
        <x:v>台风/强风/龙卷风灾后街区</x:v>
      </x:c>
      <x:c r="C174" s="30" t="str">
        <x:v>T091</x:v>
      </x:c>
      <x:c r="D174" s="30" t="str">
        <x:v>安全等待与驻留观察</x:v>
      </x:c>
      <x:c r="E174" s="30" t="str">
        <x:v>可候选；Agent决定是否创建/执行</x:v>
      </x:c>
      <x:c r="F174" s="30" t="str">
        <x:v>基线：依实际装配启用</x:v>
      </x:c>
    </x:row>
    <x:row r="175" ht="40" customHeight="1">
      <x:c r="A175" s="30" t="str">
        <x:v>SC02</x:v>
      </x:c>
      <x:c r="B175" s="30" t="str">
        <x:v>台风/强风/龙卷风灾后街区</x:v>
      </x:c>
      <x:c r="C175" s="30" t="str">
        <x:v>T092</x:v>
      </x:c>
      <x:c r="D175" s="30" t="str">
        <x:v>设备/传感器/服务故障诊断</x:v>
      </x:c>
      <x:c r="E175" s="30" t="str">
        <x:v>可候选；Agent决定是否创建/执行</x:v>
      </x:c>
      <x:c r="F175" s="30" t="str">
        <x:v>基线：依实际装配启用</x:v>
      </x:c>
    </x:row>
    <x:row r="176" ht="40" customHeight="1">
      <x:c r="A176" s="30" t="str">
        <x:v>SC02</x:v>
      </x:c>
      <x:c r="B176" s="30" t="str">
        <x:v>台风/强风/龙卷风灾后街区</x:v>
      </x:c>
      <x:c r="C176" s="30" t="str">
        <x:v>T096</x:v>
      </x:c>
      <x:c r="D176" s="30" t="str">
        <x:v>跨模型特征/潜表示适配</x:v>
      </x:c>
      <x:c r="E176" s="30" t="str">
        <x:v>可候选；Agent决定是否创建/执行</x:v>
      </x:c>
      <x:c r="F176" s="30" t="str">
        <x:v>条件扩展：明确设备/专业服务后启用</x:v>
      </x:c>
    </x:row>
    <x:row r="177" ht="40" customHeight="1">
      <x:c r="A177" s="30" t="str">
        <x:v>SC03</x:v>
      </x:c>
      <x:c r="B177" s="30" t="str">
        <x:v>城市/河流洪涝</x:v>
      </x:c>
      <x:c r="C177" s="30" t="str">
        <x:v>T001</x:v>
      </x:c>
      <x:c r="D177" s="30" t="str">
        <x:v>区域快速普查</x:v>
      </x:c>
      <x:c r="E177" s="30" t="str">
        <x:v>可候选；Agent决定是否创建/执行</x:v>
      </x:c>
      <x:c r="F177" s="30" t="str">
        <x:v>基线：依实际装配启用</x:v>
      </x:c>
    </x:row>
    <x:row r="178" ht="40" customHeight="1">
      <x:c r="A178" s="30" t="str">
        <x:v>SC03</x:v>
      </x:c>
      <x:c r="B178" s="30" t="str">
        <x:v>城市/河流洪涝</x:v>
      </x:c>
      <x:c r="C178" s="30" t="str">
        <x:v>T002</x:v>
      </x:c>
      <x:c r="D178" s="30" t="str">
        <x:v>建筑外部损毁评估</x:v>
      </x:c>
      <x:c r="E178" s="30" t="str">
        <x:v>可候选；Agent决定是否创建/执行</x:v>
      </x:c>
      <x:c r="F178" s="30" t="str">
        <x:v>基线：依实际装配启用</x:v>
      </x:c>
    </x:row>
    <x:row r="179" ht="40" customHeight="1">
      <x:c r="A179" s="30" t="str">
        <x:v>SC03</x:v>
      </x:c>
      <x:c r="B179" s="30" t="str">
        <x:v>城市/河流洪涝</x:v>
      </x:c>
      <x:c r="C179" s="30" t="str">
        <x:v>T003</x:v>
      </x:c>
      <x:c r="D179" s="30" t="str">
        <x:v>道路与通路灾后评估</x:v>
      </x:c>
      <x:c r="E179" s="30" t="str">
        <x:v>可候选；Agent决定是否创建/执行</x:v>
      </x:c>
      <x:c r="F179" s="30" t="str">
        <x:v>基线：依实际装配启用</x:v>
      </x:c>
    </x:row>
    <x:row r="180" ht="40" customHeight="1">
      <x:c r="A180" s="30" t="str">
        <x:v>SC03</x:v>
      </x:c>
      <x:c r="B180" s="30" t="str">
        <x:v>城市/河流洪涝</x:v>
      </x:c>
      <x:c r="C180" s="30" t="str">
        <x:v>T004</x:v>
      </x:c>
      <x:c r="D180" s="30" t="str">
        <x:v>入口与屋顶交付区检查</x:v>
      </x:c>
      <x:c r="E180" s="30" t="str">
        <x:v>可候选；Agent决定是否创建/执行</x:v>
      </x:c>
      <x:c r="F180" s="30" t="str">
        <x:v>基线：依实际装配启用</x:v>
      </x:c>
    </x:row>
    <x:row r="181" ht="40" customHeight="1">
      <x:c r="A181" s="30" t="str">
        <x:v>SC03</x:v>
      </x:c>
      <x:c r="B181" s="30" t="str">
        <x:v>城市/河流洪涝</x:v>
      </x:c>
      <x:c r="C181" s="30" t="str">
        <x:v>T005</x:v>
      </x:c>
      <x:c r="D181" s="30" t="str">
        <x:v>水域边界与涉水条件评估</x:v>
      </x:c>
      <x:c r="E181" s="30" t="str">
        <x:v>可候选；Agent决定是否创建/执行</x:v>
      </x:c>
      <x:c r="F181" s="30" t="str">
        <x:v>基线：依实际装配启用</x:v>
      </x:c>
    </x:row>
    <x:row r="182" ht="40" customHeight="1">
      <x:c r="A182" s="30" t="str">
        <x:v>SC03</x:v>
      </x:c>
      <x:c r="B182" s="30" t="str">
        <x:v>城市/河流洪涝</x:v>
      </x:c>
      <x:c r="C182" s="30" t="str">
        <x:v>T007</x:v>
      </x:c>
      <x:c r="D182" s="30" t="str">
        <x:v>灾前灾后变化与地图更新</x:v>
      </x:c>
      <x:c r="E182" s="30" t="str">
        <x:v>可候选；Agent决定是否创建/执行</x:v>
      </x:c>
      <x:c r="F182" s="30" t="str">
        <x:v>基线：依实际装配启用</x:v>
      </x:c>
    </x:row>
    <x:row r="183" ht="40" customHeight="1">
      <x:c r="A183" s="30" t="str">
        <x:v>SC03</x:v>
      </x:c>
      <x:c r="B183" s="30" t="str">
        <x:v>城市/河流洪涝</x:v>
      </x:c>
      <x:c r="C183" s="30" t="str">
        <x:v>T008</x:v>
      </x:c>
      <x:c r="D183" s="30" t="str">
        <x:v>建筑/区域覆盖登记</x:v>
      </x:c>
      <x:c r="E183" s="30" t="str">
        <x:v>可候选；Agent决定是否创建/执行</x:v>
      </x:c>
      <x:c r="F183" s="30" t="str">
        <x:v>基线：依实际装配启用</x:v>
      </x:c>
    </x:row>
    <x:row r="184" ht="40" customHeight="1">
      <x:c r="A184" s="30" t="str">
        <x:v>SC03</x:v>
      </x:c>
      <x:c r="B184" s="30" t="str">
        <x:v>城市/河流洪涝</x:v>
      </x:c>
      <x:c r="C184" s="30" t="str">
        <x:v>T009</x:v>
      </x:c>
      <x:c r="D184" s="30" t="str">
        <x:v>系统空中人员搜索</x:v>
      </x:c>
      <x:c r="E184" s="30" t="str">
        <x:v>可候选；Agent决定是否创建/执行</x:v>
      </x:c>
      <x:c r="F184" s="30" t="str">
        <x:v>基线：依实际装配启用</x:v>
      </x:c>
    </x:row>
    <x:row r="185" ht="40" customHeight="1">
      <x:c r="A185" s="30" t="str">
        <x:v>SC03</x:v>
      </x:c>
      <x:c r="B185" s="30" t="str">
        <x:v>城市/河流洪涝</x:v>
      </x:c>
      <x:c r="C185" s="30" t="str">
        <x:v>T010</x:v>
      </x:c>
      <x:c r="D185" s="30" t="str">
        <x:v>线索发现与语义解读</x:v>
      </x:c>
      <x:c r="E185" s="30" t="str">
        <x:v>可候选；Agent决定是否创建/执行</x:v>
      </x:c>
      <x:c r="F185" s="30" t="str">
        <x:v>基线：依实际装配启用</x:v>
      </x:c>
    </x:row>
    <x:row r="186" ht="40" customHeight="1">
      <x:c r="A186" s="30" t="str">
        <x:v>SC03</x:v>
      </x:c>
      <x:c r="B186" s="30" t="str">
        <x:v>城市/河流洪涝</x:v>
      </x:c>
      <x:c r="C186" s="30" t="str">
        <x:v>T011</x:v>
      </x:c>
      <x:c r="D186" s="30" t="str">
        <x:v>疑似目标多视角复核</x:v>
      </x:c>
      <x:c r="E186" s="30" t="str">
        <x:v>可候选；Agent决定是否创建/执行</x:v>
      </x:c>
      <x:c r="F186" s="30" t="str">
        <x:v>基线：依实际装配启用</x:v>
      </x:c>
    </x:row>
    <x:row r="187" ht="40" customHeight="1">
      <x:c r="A187" s="30" t="str">
        <x:v>SC03</x:v>
      </x:c>
      <x:c r="B187" s="30" t="str">
        <x:v>城市/河流洪涝</x:v>
      </x:c>
      <x:c r="C187" s="30" t="str">
        <x:v>T012</x:v>
      </x:c>
      <x:c r="D187" s="30" t="str">
        <x:v>目标定位跟踪与跨视角关联</x:v>
      </x:c>
      <x:c r="E187" s="30" t="str">
        <x:v>可候选；Agent决定是否创建/执行</x:v>
      </x:c>
      <x:c r="F187" s="30" t="str">
        <x:v>基线：依实际装配启用</x:v>
      </x:c>
    </x:row>
    <x:row r="188" ht="40" customHeight="1">
      <x:c r="A188" s="30" t="str">
        <x:v>SC03</x:v>
      </x:c>
      <x:c r="B188" s="30" t="str">
        <x:v>城市/河流洪涝</x:v>
      </x:c>
      <x:c r="C188" s="30" t="str">
        <x:v>T013</x:v>
      </x:c>
      <x:c r="D188" s="30" t="str">
        <x:v>近地外部与狭窄区搜索</x:v>
      </x:c>
      <x:c r="E188" s="30" t="str">
        <x:v>可候选；Agent决定是否创建/执行</x:v>
      </x:c>
      <x:c r="F188" s="30" t="str">
        <x:v>基线：依实际装配启用</x:v>
      </x:c>
    </x:row>
    <x:row r="189" ht="40" customHeight="1">
      <x:c r="A189" s="30" t="str">
        <x:v>SC03</x:v>
      </x:c>
      <x:c r="B189" s="30" t="str">
        <x:v>城市/河流洪涝</x:v>
      </x:c>
      <x:c r="C189" s="30" t="str">
        <x:v>T014</x:v>
      </x:c>
      <x:c r="D189" s="30" t="str">
        <x:v>建筑内部初次抽象搜索</x:v>
      </x:c>
      <x:c r="E189" s="30" t="str">
        <x:v>可候选；Agent决定是否创建/执行</x:v>
      </x:c>
      <x:c r="F189" s="30" t="str">
        <x:v>基线：依实际装配启用</x:v>
      </x:c>
    </x:row>
    <x:row r="190" ht="40" customHeight="1">
      <x:c r="A190" s="30" t="str">
        <x:v>SC03</x:v>
      </x:c>
      <x:c r="B190" s="30" t="str">
        <x:v>城市/河流洪涝</x:v>
      </x:c>
      <x:c r="C190" s="30" t="str">
        <x:v>T015</x:v>
      </x:c>
      <x:c r="D190" s="30" t="str">
        <x:v>建筑内部复搜/完整搜索</x:v>
      </x:c>
      <x:c r="E190" s="30" t="str">
        <x:v>可候选；Agent决定是否创建/执行</x:v>
      </x:c>
      <x:c r="F190" s="30" t="str">
        <x:v>基线：依实际装配启用</x:v>
      </x:c>
    </x:row>
    <x:row r="191" ht="40" customHeight="1">
      <x:c r="A191" s="30" t="str">
        <x:v>SC03</x:v>
      </x:c>
      <x:c r="B191" s="30" t="str">
        <x:v>城市/河流洪涝</x:v>
      </x:c>
      <x:c r="C191" s="30" t="str">
        <x:v>T019</x:v>
      </x:c>
      <x:c r="D191" s="30" t="str">
        <x:v>空中转场与观察点到达</x:v>
      </x:c>
      <x:c r="E191" s="30" t="str">
        <x:v>可候选；Agent决定是否创建/执行</x:v>
      </x:c>
      <x:c r="F191" s="30" t="str">
        <x:v>基线：依实际装配启用</x:v>
      </x:c>
    </x:row>
    <x:row r="192" ht="40" customHeight="1">
      <x:c r="A192" s="30" t="str">
        <x:v>SC03</x:v>
      </x:c>
      <x:c r="B192" s="30" t="str">
        <x:v>城市/河流洪涝</x:v>
      </x:c>
      <x:c r="C192" s="30" t="str">
        <x:v>T020</x:v>
      </x:c>
      <x:c r="D192" s="30" t="str">
        <x:v>地面转场与绕行</x:v>
      </x:c>
      <x:c r="E192" s="30" t="str">
        <x:v>可候选；Agent决定是否创建/执行</x:v>
      </x:c>
      <x:c r="F192" s="30" t="str">
        <x:v>基线：依实际装配启用</x:v>
      </x:c>
    </x:row>
    <x:row r="193" ht="40" customHeight="1">
      <x:c r="A193" s="30" t="str">
        <x:v>SC03</x:v>
      </x:c>
      <x:c r="B193" s="30" t="str">
        <x:v>城市/河流洪涝</x:v>
      </x:c>
      <x:c r="C193" s="30" t="str">
        <x:v>T021</x:v>
      </x:c>
      <x:c r="D193" s="30" t="str">
        <x:v>障碍接近探测与路径验证</x:v>
      </x:c>
      <x:c r="E193" s="30" t="str">
        <x:v>可候选；Agent决定是否创建/执行</x:v>
      </x:c>
      <x:c r="F193" s="30" t="str">
        <x:v>基线：依实际装配启用</x:v>
      </x:c>
    </x:row>
    <x:row r="194" ht="40" customHeight="1">
      <x:c r="A194" s="30" t="str">
        <x:v>SC03</x:v>
      </x:c>
      <x:c r="B194" s="30" t="str">
        <x:v>城市/河流洪涝</x:v>
      </x:c>
      <x:c r="C194" s="30" t="str">
        <x:v>T022</x:v>
      </x:c>
      <x:c r="D194" s="30" t="str">
        <x:v>轻型残骸移除</x:v>
      </x:c>
      <x:c r="E194" s="30" t="str">
        <x:v>可候选；Agent决定是否创建/执行</x:v>
      </x:c>
      <x:c r="F194" s="30" t="str">
        <x:v>条件扩展：明确设备/专业服务后启用</x:v>
      </x:c>
    </x:row>
    <x:row r="195" ht="40" customHeight="1">
      <x:c r="A195" s="30" t="str">
        <x:v>SC03</x:v>
      </x:c>
      <x:c r="B195" s="30" t="str">
        <x:v>城市/河流洪涝</x:v>
      </x:c>
      <x:c r="C195" s="30" t="str">
        <x:v>T023</x:v>
      </x:c>
      <x:c r="D195" s="30" t="str">
        <x:v>重型道路清障</x:v>
      </x:c>
      <x:c r="E195" s="30" t="str">
        <x:v>可候选；Agent决定是否创建/执行</x:v>
      </x:c>
      <x:c r="F195" s="30" t="str">
        <x:v>条件扩展：明确设备/专业服务后启用</x:v>
      </x:c>
    </x:row>
    <x:row r="196" ht="40" customHeight="1">
      <x:c r="A196" s="30" t="str">
        <x:v>SC03</x:v>
      </x:c>
      <x:c r="B196" s="30" t="str">
        <x:v>城市/河流洪涝</x:v>
      </x:c>
      <x:c r="C196" s="30" t="str">
        <x:v>T027</x:v>
      </x:c>
      <x:c r="D196" s="30" t="str">
        <x:v>建立联系并确认需求</x:v>
      </x:c>
      <x:c r="E196" s="30" t="str">
        <x:v>可候选；Agent决定是否创建/执行</x:v>
      </x:c>
      <x:c r="F196" s="30" t="str">
        <x:v>基线：依实际装配启用</x:v>
      </x:c>
    </x:row>
    <x:row r="197" ht="40" customHeight="1">
      <x:c r="A197" s="30" t="str">
        <x:v>SC03</x:v>
      </x:c>
      <x:c r="B197" s="30" t="str">
        <x:v>城市/河流洪涝</x:v>
      </x:c>
      <x:c r="C197" s="30" t="str">
        <x:v>T028</x:v>
      </x:c>
      <x:c r="D197" s="30" t="str">
        <x:v>安全警示与避险引导</x:v>
      </x:c>
      <x:c r="E197" s="30" t="str">
        <x:v>可候选；Agent决定是否创建/执行</x:v>
      </x:c>
      <x:c r="F197" s="30" t="str">
        <x:v>基线：依实际装配启用</x:v>
      </x:c>
    </x:row>
    <x:row r="198" ht="40" customHeight="1">
      <x:c r="A198" s="30" t="str">
        <x:v>SC03</x:v>
      </x:c>
      <x:c r="B198" s="30" t="str">
        <x:v>城市/河流洪涝</x:v>
      </x:c>
      <x:c r="C198" s="30" t="str">
        <x:v>T029</x:v>
      </x:c>
      <x:c r="D198" s="30" t="str">
        <x:v>专业伤员评估与分级</x:v>
      </x:c>
      <x:c r="E198" s="30" t="str">
        <x:v>可候选；Agent决定是否创建/执行</x:v>
      </x:c>
      <x:c r="F198" s="30" t="str">
        <x:v>条件扩展：明确设备/专业服务后启用</x:v>
      </x:c>
    </x:row>
    <x:row r="199" ht="40" customHeight="1">
      <x:c r="A199" s="30" t="str">
        <x:v>SC03</x:v>
      </x:c>
      <x:c r="B199" s="30" t="str">
        <x:v>城市/河流洪涝</x:v>
      </x:c>
      <x:c r="C199" s="30" t="str">
        <x:v>T030</x:v>
      </x:c>
      <x:c r="D199" s="30" t="str">
        <x:v>人员基础物资支援</x:v>
      </x:c>
      <x:c r="E199" s="30" t="str">
        <x:v>可候选；Agent决定是否创建/执行</x:v>
      </x:c>
      <x:c r="F199" s="30" t="str">
        <x:v>基线：依实际装配启用</x:v>
      </x:c>
    </x:row>
    <x:row r="200" ht="40" customHeight="1">
      <x:c r="A200" s="30" t="str">
        <x:v>SC03</x:v>
      </x:c>
      <x:c r="B200" s="30" t="str">
        <x:v>城市/河流洪涝</x:v>
      </x:c>
      <x:c r="C200" s="30" t="str">
        <x:v>T031</x:v>
      </x:c>
      <x:c r="D200" s="30" t="str">
        <x:v>专业初步救护</x:v>
      </x:c>
      <x:c r="E200" s="30" t="str">
        <x:v>可候选；Agent决定是否创建/执行</x:v>
      </x:c>
      <x:c r="F200" s="30" t="str">
        <x:v>条件扩展：明确设备/专业服务后启用</x:v>
      </x:c>
    </x:row>
    <x:row r="201" ht="40" customHeight="1">
      <x:c r="A201" s="30" t="str">
        <x:v>SC03</x:v>
      </x:c>
      <x:c r="B201" s="30" t="str">
        <x:v>城市/河流洪涝</x:v>
      </x:c>
      <x:c r="C201" s="30" t="str">
        <x:v>T032</x:v>
      </x:c>
      <x:c r="D201" s="30" t="str">
        <x:v>受困解除/解困</x:v>
      </x:c>
      <x:c r="E201" s="30" t="str">
        <x:v>可候选；Agent决定是否创建/执行</x:v>
      </x:c>
      <x:c r="F201" s="30" t="str">
        <x:v>条件扩展：明确设备/专业服务后启用</x:v>
      </x:c>
    </x:row>
    <x:row r="202" ht="40" customHeight="1">
      <x:c r="A202" s="30" t="str">
        <x:v>SC03</x:v>
      </x:c>
      <x:c r="B202" s="30" t="str">
        <x:v>城市/河流洪涝</x:v>
      </x:c>
      <x:c r="C202" s="30" t="str">
        <x:v>T033</x:v>
      </x:c>
      <x:c r="D202" s="30" t="str">
        <x:v>人员装载</x:v>
      </x:c>
      <x:c r="E202" s="30" t="str">
        <x:v>可候选；Agent决定是否创建/执行</x:v>
      </x:c>
      <x:c r="F202" s="30" t="str">
        <x:v>条件扩展：明确设备/专业服务后启用</x:v>
      </x:c>
    </x:row>
    <x:row r="203" ht="40" customHeight="1">
      <x:c r="A203" s="30" t="str">
        <x:v>SC03</x:v>
      </x:c>
      <x:c r="B203" s="30" t="str">
        <x:v>城市/河流洪涝</x:v>
      </x:c>
      <x:c r="C203" s="30" t="str">
        <x:v>T034</x:v>
      </x:c>
      <x:c r="D203" s="30" t="str">
        <x:v>人员转运</x:v>
      </x:c>
      <x:c r="E203" s="30" t="str">
        <x:v>可候选；Agent决定是否创建/执行</x:v>
      </x:c>
      <x:c r="F203" s="30" t="str">
        <x:v>条件扩展：明确设备/专业服务后启用</x:v>
      </x:c>
    </x:row>
    <x:row r="204" ht="40" customHeight="1">
      <x:c r="A204" s="30" t="str">
        <x:v>SC03</x:v>
      </x:c>
      <x:c r="B204" s="30" t="str">
        <x:v>城市/河流洪涝</x:v>
      </x:c>
      <x:c r="C204" s="30" t="str">
        <x:v>T035</x:v>
      </x:c>
      <x:c r="D204" s="30" t="str">
        <x:v>救援/医疗最终移交</x:v>
      </x:c>
      <x:c r="E204" s="30" t="str">
        <x:v>可候选；Agent决定是否创建/执行</x:v>
      </x:c>
      <x:c r="F204" s="30" t="str">
        <x:v>条件扩展：明确设备/专业服务后启用</x:v>
      </x:c>
    </x:row>
    <x:row r="205" ht="40" customHeight="1">
      <x:c r="A205" s="30" t="str">
        <x:v>SC03</x:v>
      </x:c>
      <x:c r="B205" s="30" t="str">
        <x:v>城市/河流洪涝</x:v>
      </x:c>
      <x:c r="C205" s="30" t="str">
        <x:v>T036</x:v>
      </x:c>
      <x:c r="D205" s="30" t="str">
        <x:v>水中人员救助回收</x:v>
      </x:c>
      <x:c r="E205" s="30" t="str">
        <x:v>可候选；Agent决定是否创建/执行</x:v>
      </x:c>
      <x:c r="F205" s="30" t="str">
        <x:v>条件扩展：明确设备/专业服务后启用</x:v>
      </x:c>
    </x:row>
    <x:row r="206" ht="40" customHeight="1">
      <x:c r="A206" s="30" t="str">
        <x:v>SC03</x:v>
      </x:c>
      <x:c r="B206" s="30" t="str">
        <x:v>城市/河流洪涝</x:v>
      </x:c>
      <x:c r="C206" s="30" t="str">
        <x:v>T038</x:v>
      </x:c>
      <x:c r="D206" s="30" t="str">
        <x:v>货物取用与挂载</x:v>
      </x:c>
      <x:c r="E206" s="30" t="str">
        <x:v>可候选；Agent决定是否创建/执行</x:v>
      </x:c>
      <x:c r="F206" s="30" t="str">
        <x:v>基线：依实际装配启用</x:v>
      </x:c>
    </x:row>
    <x:row r="207" ht="40" customHeight="1">
      <x:c r="A207" s="30" t="str">
        <x:v>SC03</x:v>
      </x:c>
      <x:c r="B207" s="30" t="str">
        <x:v>城市/河流洪涝</x:v>
      </x:c>
      <x:c r="C207" s="30" t="str">
        <x:v>T039</x:v>
      </x:c>
      <x:c r="D207" s="30" t="str">
        <x:v>无人机精确物资投送</x:v>
      </x:c>
      <x:c r="E207" s="30" t="str">
        <x:v>可候选；Agent决定是否创建/执行</x:v>
      </x:c>
      <x:c r="F207" s="30" t="str">
        <x:v>基线：依实际装配启用</x:v>
      </x:c>
    </x:row>
    <x:row r="208" ht="40" customHeight="1">
      <x:c r="A208" s="30" t="str">
        <x:v>SC03</x:v>
      </x:c>
      <x:c r="B208" s="30" t="str">
        <x:v>城市/河流洪涝</x:v>
      </x:c>
      <x:c r="C208" s="30" t="str">
        <x:v>T040</x:v>
      </x:c>
      <x:c r="D208" s="30" t="str">
        <x:v>地面物资送达与卸放</x:v>
      </x:c>
      <x:c r="E208" s="30" t="str">
        <x:v>可候选；Agent决定是否创建/执行</x:v>
      </x:c>
      <x:c r="F208" s="30" t="str">
        <x:v>基线：依实际装配启用</x:v>
      </x:c>
    </x:row>
    <x:row r="209" ht="40" customHeight="1">
      <x:c r="A209" s="30" t="str">
        <x:v>SC03</x:v>
      </x:c>
      <x:c r="B209" s="30" t="str">
        <x:v>城市/河流洪涝</x:v>
      </x:c>
      <x:c r="C209" s="30" t="str">
        <x:v>T041</x:v>
      </x:c>
      <x:c r="D209" s="30" t="str">
        <x:v>交付复核与收货报告</x:v>
      </x:c>
      <x:c r="E209" s="30" t="str">
        <x:v>可候选；Agent决定是否创建/执行</x:v>
      </x:c>
      <x:c r="F209" s="30" t="str">
        <x:v>基线：依实际装配启用</x:v>
      </x:c>
    </x:row>
    <x:row r="210" ht="40" customHeight="1">
      <x:c r="A210" s="30" t="str">
        <x:v>SC03</x:v>
      </x:c>
      <x:c r="B210" s="30" t="str">
        <x:v>城市/河流洪涝</x:v>
      </x:c>
      <x:c r="C210" s="30" t="str">
        <x:v>T042</x:v>
      </x:c>
      <x:c r="D210" s="30" t="str">
        <x:v>物资/器材补给</x:v>
      </x:c>
      <x:c r="E210" s="30" t="str">
        <x:v>可候选；Agent决定是否创建/执行</x:v>
      </x:c>
      <x:c r="F210" s="30" t="str">
        <x:v>基线：依实际装配启用</x:v>
      </x:c>
    </x:row>
    <x:row r="211" ht="40" customHeight="1">
      <x:c r="A211" s="30" t="str">
        <x:v>SC03</x:v>
      </x:c>
      <x:c r="B211" s="30" t="str">
        <x:v>城市/河流洪涝</x:v>
      </x:c>
      <x:c r="C211" s="30" t="str">
        <x:v>T043</x:v>
      </x:c>
      <x:c r="D211" s="30" t="str">
        <x:v>平台充电</x:v>
      </x:c>
      <x:c r="E211" s="30" t="str">
        <x:v>可候选；Agent决定是否创建/执行</x:v>
      </x:c>
      <x:c r="F211" s="30" t="str">
        <x:v>基线：依实际装配启用</x:v>
      </x:c>
    </x:row>
    <x:row r="212" ht="40" customHeight="1">
      <x:c r="A212" s="30" t="str">
        <x:v>SC03</x:v>
      </x:c>
      <x:c r="B212" s="30" t="str">
        <x:v>城市/河流洪涝</x:v>
      </x:c>
      <x:c r="C212" s="30" t="str">
        <x:v>T044</x:v>
      </x:c>
      <x:c r="D212" s="30" t="str">
        <x:v>平台换电</x:v>
      </x:c>
      <x:c r="E212" s="30" t="str">
        <x:v>可候选；Agent决定是否创建/执行</x:v>
      </x:c>
      <x:c r="F212" s="30" t="str">
        <x:v>基线：依实际装配启用</x:v>
      </x:c>
    </x:row>
    <x:row r="213" ht="40" customHeight="1">
      <x:c r="A213" s="30" t="str">
        <x:v>SC03</x:v>
      </x:c>
      <x:c r="B213" s="30" t="str">
        <x:v>城市/河流洪涝</x:v>
      </x:c>
      <x:c r="C213" s="30" t="str">
        <x:v>T045</x:v>
      </x:c>
      <x:c r="D213" s="30" t="str">
        <x:v>返航/返站与安全撤离</x:v>
      </x:c>
      <x:c r="E213" s="30" t="str">
        <x:v>可候选；Agent决定是否创建/执行</x:v>
      </x:c>
      <x:c r="F213" s="30" t="str">
        <x:v>基线：依实际装配启用</x:v>
      </x:c>
    </x:row>
    <x:row r="214" ht="40" customHeight="1">
      <x:c r="A214" s="30" t="str">
        <x:v>SC03</x:v>
      </x:c>
      <x:c r="B214" s="30" t="str">
        <x:v>城市/河流洪涝</x:v>
      </x:c>
      <x:c r="C214" s="30" t="str">
        <x:v>T046</x:v>
      </x:c>
      <x:c r="D214" s="30" t="str">
        <x:v>失效平台回收</x:v>
      </x:c>
      <x:c r="E214" s="30" t="str">
        <x:v>可候选；Agent决定是否创建/执行</x:v>
      </x:c>
      <x:c r="F214" s="30" t="str">
        <x:v>条件扩展：明确设备/专业服务后启用</x:v>
      </x:c>
    </x:row>
    <x:row r="215" ht="40" customHeight="1">
      <x:c r="A215" s="30" t="str">
        <x:v>SC03</x:v>
      </x:c>
      <x:c r="B215" s="30" t="str">
        <x:v>城市/河流洪涝</x:v>
      </x:c>
      <x:c r="C215" s="30" t="str">
        <x:v>T047</x:v>
      </x:c>
      <x:c r="D215" s="30" t="str">
        <x:v>链路探测与质量估计</x:v>
      </x:c>
      <x:c r="E215" s="30" t="str">
        <x:v>可候选；Agent决定是否创建/执行</x:v>
      </x:c>
      <x:c r="F215" s="30" t="str">
        <x:v>基线：依实际装配启用</x:v>
      </x:c>
    </x:row>
    <x:row r="216" ht="40" customHeight="1">
      <x:c r="A216" s="30" t="str">
        <x:v>SC03</x:v>
      </x:c>
      <x:c r="B216" s="30" t="str">
        <x:v>城市/河流洪涝</x:v>
      </x:c>
      <x:c r="C216" s="30" t="str">
        <x:v>T048</x:v>
      </x:c>
      <x:c r="D216" s="30" t="str">
        <x:v>通信会合与重定位</x:v>
      </x:c>
      <x:c r="E216" s="30" t="str">
        <x:v>可候选；Agent决定是否创建/执行</x:v>
      </x:c>
      <x:c r="F216" s="30" t="str">
        <x:v>基线：依实际装配启用</x:v>
      </x:c>
    </x:row>
    <x:row r="217" ht="40" customHeight="1">
      <x:c r="A217" s="30" t="str">
        <x:v>SC03</x:v>
      </x:c>
      <x:c r="B217" s="30" t="str">
        <x:v>城市/河流洪涝</x:v>
      </x:c>
      <x:c r="C217" s="30" t="str">
        <x:v>T049</x:v>
      </x:c>
      <x:c r="D217" s="30" t="str">
        <x:v>空中中继保持</x:v>
      </x:c>
      <x:c r="E217" s="30" t="str">
        <x:v>可候选；Agent决定是否创建/执行</x:v>
      </x:c>
      <x:c r="F217" s="30" t="str">
        <x:v>基线：依实际装配启用</x:v>
      </x:c>
    </x:row>
    <x:row r="218" ht="40" customHeight="1">
      <x:c r="A218" s="30" t="str">
        <x:v>SC03</x:v>
      </x:c>
      <x:c r="B218" s="30" t="str">
        <x:v>城市/河流洪涝</x:v>
      </x:c>
      <x:c r="C218" s="30" t="str">
        <x:v>T050</x:v>
      </x:c>
      <x:c r="D218" s="30" t="str">
        <x:v>通信节点布放</x:v>
      </x:c>
      <x:c r="E218" s="30" t="str">
        <x:v>可候选；Agent决定是否创建/执行</x:v>
      </x:c>
      <x:c r="F218" s="30" t="str">
        <x:v>条件扩展：明确设备/专业服务后启用</x:v>
      </x:c>
    </x:row>
    <x:row r="219" ht="40" customHeight="1">
      <x:c r="A219" s="30" t="str">
        <x:v>SC03</x:v>
      </x:c>
      <x:c r="B219" s="30" t="str">
        <x:v>城市/河流洪涝</x:v>
      </x:c>
      <x:c r="C219" s="30" t="str">
        <x:v>T051</x:v>
      </x:c>
      <x:c r="D219" s="30" t="str">
        <x:v>多跳业务转发</x:v>
      </x:c>
      <x:c r="E219" s="30" t="str">
        <x:v>可候选；Agent决定是否创建/执行</x:v>
      </x:c>
      <x:c r="F219" s="30" t="str">
        <x:v>基线：依实际装配启用</x:v>
      </x:c>
    </x:row>
    <x:row r="220" ht="40" customHeight="1">
      <x:c r="A220" s="30" t="str">
        <x:v>SC03</x:v>
      </x:c>
      <x:c r="B220" s="30" t="str">
        <x:v>城市/河流洪涝</x:v>
      </x:c>
      <x:c r="C220" s="30" t="str">
        <x:v>T052</x:v>
      </x:c>
      <x:c r="D220" s="30" t="str">
        <x:v>图像/证据数据上传</x:v>
      </x:c>
      <x:c r="E220" s="30" t="str">
        <x:v>可候选；Agent决定是否创建/执行</x:v>
      </x:c>
      <x:c r="F220" s="30" t="str">
        <x:v>基线：依实际装配启用</x:v>
      </x:c>
    </x:row>
    <x:row r="221" ht="40" customHeight="1">
      <x:c r="A221" s="30" t="str">
        <x:v>SC03</x:v>
      </x:c>
      <x:c r="B221" s="30" t="str">
        <x:v>城市/河流洪涝</x:v>
      </x:c>
      <x:c r="C221" s="30" t="str">
        <x:v>T053</x:v>
      </x:c>
      <x:c r="D221" s="30" t="str">
        <x:v>可靠回执与超时重传</x:v>
      </x:c>
      <x:c r="E221" s="30" t="str">
        <x:v>可候选；Agent决定是否创建/执行</x:v>
      </x:c>
      <x:c r="F221" s="30" t="str">
        <x:v>基线：依实际装配启用</x:v>
      </x:c>
    </x:row>
    <x:row r="222" ht="40" customHeight="1">
      <x:c r="A222" s="30" t="str">
        <x:v>SC03</x:v>
      </x:c>
      <x:c r="B222" s="30" t="str">
        <x:v>城市/河流洪涝</x:v>
      </x:c>
      <x:c r="C222" s="30" t="str">
        <x:v>T054</x:v>
      </x:c>
      <x:c r="D222" s="30" t="str">
        <x:v>断联存储-携带-转发</x:v>
      </x:c>
      <x:c r="E222" s="30" t="str">
        <x:v>可候选；Agent决定是否创建/执行</x:v>
      </x:c>
      <x:c r="F222" s="30" t="str">
        <x:v>基线：依实际装配启用</x:v>
      </x:c>
    </x:row>
    <x:row r="223" ht="40" customHeight="1">
      <x:c r="A223" s="30" t="str">
        <x:v>SC03</x:v>
      </x:c>
      <x:c r="B223" s="30" t="str">
        <x:v>城市/河流洪涝</x:v>
      </x:c>
      <x:c r="C223" s="30" t="str">
        <x:v>T055</x:v>
      </x:c>
      <x:c r="D223" s="30" t="str">
        <x:v>信道/功率/传输优先级调整</x:v>
      </x:c>
      <x:c r="E223" s="30" t="str">
        <x:v>可候选；Agent决定是否创建/执行</x:v>
      </x:c>
      <x:c r="F223" s="30" t="str">
        <x:v>基线：依实际装配启用</x:v>
      </x:c>
    </x:row>
    <x:row r="224" ht="40" customHeight="1">
      <x:c r="A224" s="30" t="str">
        <x:v>SC03</x:v>
      </x:c>
      <x:c r="B224" s="30" t="str">
        <x:v>城市/河流洪涝</x:v>
      </x:c>
      <x:c r="C224" s="30" t="str">
        <x:v>T056</x:v>
      </x:c>
      <x:c r="D224" s="30" t="str">
        <x:v>失联后的连接恢复</x:v>
      </x:c>
      <x:c r="E224" s="30" t="str">
        <x:v>可候选；Agent决定是否创建/执行</x:v>
      </x:c>
      <x:c r="F224" s="30" t="str">
        <x:v>基线：依实际装配启用</x:v>
      </x:c>
    </x:row>
    <x:row r="225" ht="40" customHeight="1">
      <x:c r="A225" s="30" t="str">
        <x:v>SC03</x:v>
      </x:c>
      <x:c r="B225" s="30" t="str">
        <x:v>城市/河流洪涝</x:v>
      </x:c>
      <x:c r="C225" s="30" t="str">
        <x:v>T057</x:v>
      </x:c>
      <x:c r="D225" s="30" t="str">
        <x:v>计算与模型服务发现</x:v>
      </x:c>
      <x:c r="E225" s="30" t="str">
        <x:v>可候选；Agent决定是否创建/执行</x:v>
      </x:c>
      <x:c r="F225" s="30" t="str">
        <x:v>基线：依实际装配启用</x:v>
      </x:c>
    </x:row>
    <x:row r="226" ht="40" customHeight="1">
      <x:c r="A226" s="30" t="str">
        <x:v>SC03</x:v>
      </x:c>
      <x:c r="B226" s="30" t="str">
        <x:v>城市/河流洪涝</x:v>
      </x:c>
      <x:c r="C226" s="30" t="str">
        <x:v>T058</x:v>
      </x:c>
      <x:c r="D226" s="30" t="str">
        <x:v>本地视觉检测</x:v>
      </x:c>
      <x:c r="E226" s="30" t="str">
        <x:v>可候选；Agent决定是否创建/执行</x:v>
      </x:c>
      <x:c r="F226" s="30" t="str">
        <x:v>基线：依实际装配启用</x:v>
      </x:c>
    </x:row>
    <x:row r="227" ht="40" customHeight="1">
      <x:c r="A227" s="30" t="str">
        <x:v>SC03</x:v>
      </x:c>
      <x:c r="B227" s="30" t="str">
        <x:v>城市/河流洪涝</x:v>
      </x:c>
      <x:c r="C227" s="30" t="str">
        <x:v>T059</x:v>
      </x:c>
      <x:c r="D227" s="30" t="str">
        <x:v>本地语义/任务推理</x:v>
      </x:c>
      <x:c r="E227" s="30" t="str">
        <x:v>可候选；Agent决定是否创建/执行</x:v>
      </x:c>
      <x:c r="F227" s="30" t="str">
        <x:v>基线：依实际装配启用</x:v>
      </x:c>
    </x:row>
    <x:row r="228" ht="40" customHeight="1">
      <x:c r="A228" s="30" t="str">
        <x:v>SC03</x:v>
      </x:c>
      <x:c r="B228" s="30" t="str">
        <x:v>城市/河流洪涝</x:v>
      </x:c>
      <x:c r="C228" s="30" t="str">
        <x:v>T060</x:v>
      </x:c>
      <x:c r="D228" s="30" t="str">
        <x:v>远程视觉复核/推理卸载</x:v>
      </x:c>
      <x:c r="E228" s="30" t="str">
        <x:v>可候选；Agent决定是否创建/执行</x:v>
      </x:c>
      <x:c r="F228" s="30" t="str">
        <x:v>基线：依实际装配启用</x:v>
      </x:c>
    </x:row>
    <x:row r="229" ht="40" customHeight="1">
      <x:c r="A229" s="30" t="str">
        <x:v>SC03</x:v>
      </x:c>
      <x:c r="B229" s="30" t="str">
        <x:v>城市/河流洪涝</x:v>
      </x:c>
      <x:c r="C229" s="30" t="str">
        <x:v>T061</x:v>
      </x:c>
      <x:c r="D229" s="30" t="str">
        <x:v>执行节点与模型选择</x:v>
      </x:c>
      <x:c r="E229" s="30" t="str">
        <x:v>可候选；Agent决定是否创建/执行</x:v>
      </x:c>
      <x:c r="F229" s="30" t="str">
        <x:v>基线：依实际装配启用</x:v>
      </x:c>
    </x:row>
    <x:row r="230" ht="40" customHeight="1">
      <x:c r="A230" s="30" t="str">
        <x:v>SC03</x:v>
      </x:c>
      <x:c r="B230" s="30" t="str">
        <x:v>城市/河流洪涝</x:v>
      </x:c>
      <x:c r="C230" s="30" t="str">
        <x:v>T062</x:v>
      </x:c>
      <x:c r="D230" s="30" t="str">
        <x:v>计算作业准入与排队</x:v>
      </x:c>
      <x:c r="E230" s="30" t="str">
        <x:v>可候选；Agent决定是否创建/执行</x:v>
      </x:c>
      <x:c r="F230" s="30" t="str">
        <x:v>基线：依实际装配启用</x:v>
      </x:c>
    </x:row>
    <x:row r="231" ht="40" customHeight="1">
      <x:c r="A231" s="30" t="str">
        <x:v>SC03</x:v>
      </x:c>
      <x:c r="B231" s="30" t="str">
        <x:v>城市/河流洪涝</x:v>
      </x:c>
      <x:c r="C231" s="30" t="str">
        <x:v>T063</x:v>
      </x:c>
      <x:c r="D231" s="30" t="str">
        <x:v>模型服务加载/卸载</x:v>
      </x:c>
      <x:c r="E231" s="30" t="str">
        <x:v>可候选；Agent决定是否创建/执行</x:v>
      </x:c>
      <x:c r="F231" s="30" t="str">
        <x:v>基线：依实际装配启用</x:v>
      </x:c>
    </x:row>
    <x:row r="232" ht="40" customHeight="1">
      <x:c r="A232" s="30" t="str">
        <x:v>SC03</x:v>
      </x:c>
      <x:c r="B232" s="30" t="str">
        <x:v>城市/河流洪涝</x:v>
      </x:c>
      <x:c r="C232" s="30" t="str">
        <x:v>T064</x:v>
      </x:c>
      <x:c r="D232" s="30" t="str">
        <x:v>上下文/表示缓存复用</x:v>
      </x:c>
      <x:c r="E232" s="30" t="str">
        <x:v>可候选；Agent决定是否创建/执行</x:v>
      </x:c>
      <x:c r="F232" s="30" t="str">
        <x:v>基线：依实际装配启用</x:v>
      </x:c>
    </x:row>
    <x:row r="233" ht="40" customHeight="1">
      <x:c r="A233" s="30" t="str">
        <x:v>SC03</x:v>
      </x:c>
      <x:c r="B233" s="30" t="str">
        <x:v>城市/河流洪涝</x:v>
      </x:c>
      <x:c r="C233" s="30" t="str">
        <x:v>T065</x:v>
      </x:c>
      <x:c r="D233" s="30" t="str">
        <x:v>服务/作业迁移与恢复</x:v>
      </x:c>
      <x:c r="E233" s="30" t="str">
        <x:v>可候选；Agent决定是否创建/执行</x:v>
      </x:c>
      <x:c r="F233" s="30" t="str">
        <x:v>条件扩展：明确设备/专业服务后启用</x:v>
      </x:c>
    </x:row>
    <x:row r="234" ht="40" customHeight="1">
      <x:c r="A234" s="30" t="str">
        <x:v>SC03</x:v>
      </x:c>
      <x:c r="B234" s="30" t="str">
        <x:v>城市/河流洪涝</x:v>
      </x:c>
      <x:c r="C234" s="30" t="str">
        <x:v>T066</x:v>
      </x:c>
      <x:c r="D234" s="30" t="str">
        <x:v>预算耗尽/失败作业取消重试</x:v>
      </x:c>
      <x:c r="E234" s="30" t="str">
        <x:v>可候选；Agent决定是否创建/执行</x:v>
      </x:c>
      <x:c r="F234" s="30" t="str">
        <x:v>基线：依实际装配启用</x:v>
      </x:c>
    </x:row>
    <x:row r="235" ht="40" customHeight="1">
      <x:c r="A235" s="30" t="str">
        <x:v>SC03</x:v>
      </x:c>
      <x:c r="B235" s="30" t="str">
        <x:v>城市/河流洪涝</x:v>
      </x:c>
      <x:c r="C235" s="30" t="str">
        <x:v>T067</x:v>
      </x:c>
      <x:c r="D235" s="30" t="str">
        <x:v>批处理/多源联合推理</x:v>
      </x:c>
      <x:c r="E235" s="30" t="str">
        <x:v>可候选；Agent决定是否创建/执行</x:v>
      </x:c>
      <x:c r="F235" s="30" t="str">
        <x:v>基线：依实际装配启用</x:v>
      </x:c>
    </x:row>
    <x:row r="236" ht="40" customHeight="1">
      <x:c r="A236" s="30" t="str">
        <x:v>SC03</x:v>
      </x:c>
      <x:c r="B236" s="30" t="str">
        <x:v>城市/河流洪涝</x:v>
      </x:c>
      <x:c r="C236" s="30" t="str">
        <x:v>T068</x:v>
      </x:c>
      <x:c r="D236" s="30" t="str">
        <x:v>计算资源释放与缓存清理</x:v>
      </x:c>
      <x:c r="E236" s="30" t="str">
        <x:v>可候选；Agent决定是否创建/执行</x:v>
      </x:c>
      <x:c r="F236" s="30" t="str">
        <x:v>基线：依实际装配启用</x:v>
      </x:c>
    </x:row>
    <x:row r="237" ht="40" customHeight="1">
      <x:c r="A237" s="30" t="str">
        <x:v>SC03</x:v>
      </x:c>
      <x:c r="B237" s="30" t="str">
        <x:v>城市/河流洪涝</x:v>
      </x:c>
      <x:c r="C237" s="30" t="str">
        <x:v>T069</x:v>
      </x:c>
      <x:c r="D237" s="30" t="str">
        <x:v>跨源时间坐标对齐</x:v>
      </x:c>
      <x:c r="E237" s="30" t="str">
        <x:v>可候选；Agent决定是否创建/执行</x:v>
      </x:c>
      <x:c r="F237" s="30" t="str">
        <x:v>基线：依实际装配启用</x:v>
      </x:c>
    </x:row>
    <x:row r="238" ht="40" customHeight="1">
      <x:c r="A238" s="30" t="str">
        <x:v>SC03</x:v>
      </x:c>
      <x:c r="B238" s="30" t="str">
        <x:v>城市/河流洪涝</x:v>
      </x:c>
      <x:c r="C238" s="30" t="str">
        <x:v>T070</x:v>
      </x:c>
      <x:c r="D238" s="30" t="str">
        <x:v>任务条件化本地历史检索</x:v>
      </x:c>
      <x:c r="E238" s="30" t="str">
        <x:v>可候选；Agent决定是否创建/执行</x:v>
      </x:c>
      <x:c r="F238" s="30" t="str">
        <x:v>基线：依实际装配启用</x:v>
      </x:c>
    </x:row>
    <x:row r="239" ht="40" customHeight="1">
      <x:c r="A239" s="30" t="str">
        <x:v>SC03</x:v>
      </x:c>
      <x:c r="B239" s="30" t="str">
        <x:v>城市/河流洪涝</x:v>
      </x:c>
      <x:c r="C239" s="30" t="str">
        <x:v>T071</x:v>
      </x:c>
      <x:c r="D239" s="30" t="str">
        <x:v>图像裁剪/编码/证据打包</x:v>
      </x:c>
      <x:c r="E239" s="30" t="str">
        <x:v>可候选；Agent决定是否创建/执行</x:v>
      </x:c>
      <x:c r="F239" s="30" t="str">
        <x:v>基线：依实际装配启用</x:v>
      </x:c>
    </x:row>
    <x:row r="240" ht="40" customHeight="1">
      <x:c r="A240" s="30" t="str">
        <x:v>SC03</x:v>
      </x:c>
      <x:c r="B240" s="30" t="str">
        <x:v>城市/河流洪涝</x:v>
      </x:c>
      <x:c r="C240" s="30" t="str">
        <x:v>T072</x:v>
      </x:c>
      <x:c r="D240" s="30" t="str">
        <x:v>置信度与证据充分性判断</x:v>
      </x:c>
      <x:c r="E240" s="30" t="str">
        <x:v>可候选；Agent决定是否创建/执行</x:v>
      </x:c>
      <x:c r="F240" s="30" t="str">
        <x:v>基线：依实际装配启用</x:v>
      </x:c>
    </x:row>
    <x:row r="241" ht="40" customHeight="1">
      <x:c r="A241" s="30" t="str">
        <x:v>SC03</x:v>
      </x:c>
      <x:c r="B241" s="30" t="str">
        <x:v>城市/河流洪涝</x:v>
      </x:c>
      <x:c r="C241" s="30" t="str">
        <x:v>T073</x:v>
      </x:c>
      <x:c r="D241" s="30" t="str">
        <x:v>多源融合与冲突更正</x:v>
      </x:c>
      <x:c r="E241" s="30" t="str">
        <x:v>可候选；Agent决定是否创建/执行</x:v>
      </x:c>
      <x:c r="F241" s="30" t="str">
        <x:v>基线：依实际装配启用</x:v>
      </x:c>
    </x:row>
    <x:row r="242" ht="40" customHeight="1">
      <x:c r="A242" s="30" t="str">
        <x:v>SC03</x:v>
      </x:c>
      <x:c r="B242" s="30" t="str">
        <x:v>城市/河流洪涝</x:v>
      </x:c>
      <x:c r="C242" s="30" t="str">
        <x:v>T074</x:v>
      </x:c>
      <x:c r="D242" s="30" t="str">
        <x:v>面向任务的信息选择与共享</x:v>
      </x:c>
      <x:c r="E242" s="30" t="str">
        <x:v>可候选；Agent决定是否创建/执行</x:v>
      </x:c>
      <x:c r="F242" s="30" t="str">
        <x:v>基线：依实际装配启用</x:v>
      </x:c>
    </x:row>
    <x:row r="243" ht="40" customHeight="1">
      <x:c r="A243" s="30" t="str">
        <x:v>SC03</x:v>
      </x:c>
      <x:c r="B243" s="30" t="str">
        <x:v>城市/河流洪涝</x:v>
      </x:c>
      <x:c r="C243" s="30" t="str">
        <x:v>T075</x:v>
      </x:c>
      <x:c r="D243" s="30" t="str">
        <x:v>局部信念与过时信息维护</x:v>
      </x:c>
      <x:c r="E243" s="30" t="str">
        <x:v>可候选；Agent决定是否创建/执行</x:v>
      </x:c>
      <x:c r="F243" s="30" t="str">
        <x:v>基线：依实际装配启用</x:v>
      </x:c>
    </x:row>
    <x:row r="244" ht="40" customHeight="1">
      <x:c r="A244" s="30" t="str">
        <x:v>SC03</x:v>
      </x:c>
      <x:c r="B244" s="30" t="str">
        <x:v>城市/河流洪涝</x:v>
      </x:c>
      <x:c r="C244" s="30" t="str">
        <x:v>T076</x:v>
      </x:c>
      <x:c r="D244" s="30" t="str">
        <x:v>轨迹/证据归档与回放</x:v>
      </x:c>
      <x:c r="E244" s="30" t="str">
        <x:v>可候选；Agent决定是否创建/执行</x:v>
      </x:c>
      <x:c r="F244" s="30" t="str">
        <x:v>基线：依实际装配启用</x:v>
      </x:c>
    </x:row>
    <x:row r="245" ht="40" customHeight="1">
      <x:c r="A245" s="30" t="str">
        <x:v>SC03</x:v>
      </x:c>
      <x:c r="B245" s="30" t="str">
        <x:v>城市/河流洪涝</x:v>
      </x:c>
      <x:c r="C245" s="30" t="str">
        <x:v>T077</x:v>
      </x:c>
      <x:c r="D245" s="30" t="str">
        <x:v>接收并解释当前使命</x:v>
      </x:c>
      <x:c r="E245" s="30" t="str">
        <x:v>可候选；Agent决定是否创建/执行</x:v>
      </x:c>
      <x:c r="F245" s="30" t="str">
        <x:v>基线：依实际装配启用</x:v>
      </x:c>
    </x:row>
    <x:row r="246" ht="40" customHeight="1">
      <x:c r="A246" s="30" t="str">
        <x:v>SC03</x:v>
      </x:c>
      <x:c r="B246" s="30" t="str">
        <x:v>城市/河流洪涝</x:v>
      </x:c>
      <x:c r="C246" s="30" t="str">
        <x:v>T078</x:v>
      </x:c>
      <x:c r="D246" s="30" t="str">
        <x:v>自主任务分解与候选生成</x:v>
      </x:c>
      <x:c r="E246" s="30" t="str">
        <x:v>可候选；Agent决定是否创建/执行</x:v>
      </x:c>
      <x:c r="F246" s="30" t="str">
        <x:v>基线：依实际装配启用</x:v>
      </x:c>
    </x:row>
    <x:row r="247" ht="40" customHeight="1">
      <x:c r="A247" s="30" t="str">
        <x:v>SC03</x:v>
      </x:c>
      <x:c r="B247" s="30" t="str">
        <x:v>城市/河流洪涝</x:v>
      </x:c>
      <x:c r="C247" s="30" t="str">
        <x:v>T079</x:v>
      </x:c>
      <x:c r="D247" s="30" t="str">
        <x:v>本机参与筛选与出价</x:v>
      </x:c>
      <x:c r="E247" s="30" t="str">
        <x:v>可候选；Agent决定是否创建/执行</x:v>
      </x:c>
      <x:c r="F247" s="30" t="str">
        <x:v>基线：依实际装配启用</x:v>
      </x:c>
    </x:row>
    <x:row r="248" ht="40" customHeight="1">
      <x:c r="A248" s="30" t="str">
        <x:v>SC03</x:v>
      </x:c>
      <x:c r="B248" s="30" t="str">
        <x:v>城市/河流洪涝</x:v>
      </x:c>
      <x:c r="C248" s="30" t="str">
        <x:v>T080</x:v>
      </x:c>
      <x:c r="D248" s="30" t="str">
        <x:v>多平台任务分配与协调</x:v>
      </x:c>
      <x:c r="E248" s="30" t="str">
        <x:v>可候选；Agent决定是否创建/执行</x:v>
      </x:c>
      <x:c r="F248" s="30" t="str">
        <x:v>基线：依实际装配启用</x:v>
      </x:c>
    </x:row>
    <x:row r="249" ht="40" customHeight="1">
      <x:c r="A249" s="30" t="str">
        <x:v>SC03</x:v>
      </x:c>
      <x:c r="B249" s="30" t="str">
        <x:v>城市/河流洪涝</x:v>
      </x:c>
      <x:c r="C249" s="30" t="str">
        <x:v>T081</x:v>
      </x:c>
      <x:c r="D249" s="30" t="str">
        <x:v>任务接受/拒绝与承诺</x:v>
      </x:c>
      <x:c r="E249" s="30" t="str">
        <x:v>可候选；Agent决定是否创建/执行</x:v>
      </x:c>
      <x:c r="F249" s="30" t="str">
        <x:v>基线：依实际装配启用</x:v>
      </x:c>
    </x:row>
    <x:row r="250" ht="40" customHeight="1">
      <x:c r="A250" s="30" t="str">
        <x:v>SC03</x:v>
      </x:c>
      <x:c r="B250" s="30" t="str">
        <x:v>城市/河流洪涝</x:v>
      </x:c>
      <x:c r="C250" s="30" t="str">
        <x:v>T082</x:v>
      </x:c>
      <x:c r="D250" s="30" t="str">
        <x:v>进度监控与完成确认</x:v>
      </x:c>
      <x:c r="E250" s="30" t="str">
        <x:v>可候选；Agent决定是否创建/执行</x:v>
      </x:c>
      <x:c r="F250" s="30" t="str">
        <x:v>基线：依实际装配启用</x:v>
      </x:c>
    </x:row>
    <x:row r="251" ht="40" customHeight="1">
      <x:c r="A251" s="30" t="str">
        <x:v>SC03</x:v>
      </x:c>
      <x:c r="B251" s="30" t="str">
        <x:v>城市/河流洪涝</x:v>
      </x:c>
      <x:c r="C251" s="30" t="str">
        <x:v>T083</x:v>
      </x:c>
      <x:c r="D251" s="30" t="str">
        <x:v>任务取消/抢占</x:v>
      </x:c>
      <x:c r="E251" s="30" t="str">
        <x:v>可候选；Agent决定是否创建/执行</x:v>
      </x:c>
      <x:c r="F251" s="30" t="str">
        <x:v>基线：依实际装配启用</x:v>
      </x:c>
    </x:row>
    <x:row r="252" ht="40" customHeight="1">
      <x:c r="A252" s="30" t="str">
        <x:v>SC03</x:v>
      </x:c>
      <x:c r="B252" s="30" t="str">
        <x:v>城市/河流洪涝</x:v>
      </x:c>
      <x:c r="C252" s="30" t="str">
        <x:v>T084</x:v>
      </x:c>
      <x:c r="D252" s="30" t="str">
        <x:v>恢复原任务</x:v>
      </x:c>
      <x:c r="E252" s="30" t="str">
        <x:v>可候选；Agent决定是否创建/执行</x:v>
      </x:c>
      <x:c r="F252" s="30" t="str">
        <x:v>基线：依实际装配启用</x:v>
      </x:c>
    </x:row>
    <x:row r="253" ht="40" customHeight="1">
      <x:c r="A253" s="30" t="str">
        <x:v>SC03</x:v>
      </x:c>
      <x:c r="B253" s="30" t="str">
        <x:v>城市/河流洪涝</x:v>
      </x:c>
      <x:c r="C253" s="30" t="str">
        <x:v>T085</x:v>
      </x:c>
      <x:c r="D253" s="30" t="str">
        <x:v>跨Agent任务与证据交接</x:v>
      </x:c>
      <x:c r="E253" s="30" t="str">
        <x:v>可候选；Agent决定是否创建/执行</x:v>
      </x:c>
      <x:c r="F253" s="30" t="str">
        <x:v>基线：依实际装配启用</x:v>
      </x:c>
    </x:row>
    <x:row r="254" ht="40" customHeight="1">
      <x:c r="A254" s="30" t="str">
        <x:v>SC03</x:v>
      </x:c>
      <x:c r="B254" s="30" t="str">
        <x:v>城市/河流洪涝</x:v>
      </x:c>
      <x:c r="C254" s="30" t="str">
        <x:v>T086</x:v>
      </x:c>
      <x:c r="D254" s="30" t="str">
        <x:v>失败重规划与重派</x:v>
      </x:c>
      <x:c r="E254" s="30" t="str">
        <x:v>可候选；Agent决定是否创建/执行</x:v>
      </x:c>
      <x:c r="F254" s="30" t="str">
        <x:v>基线：依实际装配启用</x:v>
      </x:c>
    </x:row>
    <x:row r="255" ht="40" customHeight="1">
      <x:c r="A255" s="30" t="str">
        <x:v>SC03</x:v>
      </x:c>
      <x:c r="B255" s="30" t="str">
        <x:v>城市/河流洪涝</x:v>
      </x:c>
      <x:c r="C255" s="30" t="str">
        <x:v>T087</x:v>
      </x:c>
      <x:c r="D255" s="30" t="str">
        <x:v>请求专业救援/工程力量</x:v>
      </x:c>
      <x:c r="E255" s="30" t="str">
        <x:v>可候选；Agent决定是否创建/执行</x:v>
      </x:c>
      <x:c r="F255" s="30" t="str">
        <x:v>基线：依实际装配启用</x:v>
      </x:c>
    </x:row>
    <x:row r="256" ht="40" customHeight="1">
      <x:c r="A256" s="30" t="str">
        <x:v>SC03</x:v>
      </x:c>
      <x:c r="B256" s="30" t="str">
        <x:v>城市/河流洪涝</x:v>
      </x:c>
      <x:c r="C256" s="30" t="str">
        <x:v>T088</x:v>
      </x:c>
      <x:c r="D256" s="30" t="str">
        <x:v>工作现场闭合与阶段移交</x:v>
      </x:c>
      <x:c r="E256" s="30" t="str">
        <x:v>可候选；Agent决定是否创建/执行</x:v>
      </x:c>
      <x:c r="F256" s="30" t="str">
        <x:v>基线：依实际装配启用</x:v>
      </x:c>
    </x:row>
    <x:row r="257" ht="40" customHeight="1">
      <x:c r="A257" s="30" t="str">
        <x:v>SC03</x:v>
      </x:c>
      <x:c r="B257" s="30" t="str">
        <x:v>城市/河流洪涝</x:v>
      </x:c>
      <x:c r="C257" s="30" t="str">
        <x:v>T089</x:v>
      </x:c>
      <x:c r="D257" s="30" t="str">
        <x:v>次生危险动态监视</x:v>
      </x:c>
      <x:c r="E257" s="30" t="str">
        <x:v>可候选；Agent决定是否创建/执行</x:v>
      </x:c>
      <x:c r="F257" s="30" t="str">
        <x:v>基线：依实际装配启用</x:v>
      </x:c>
    </x:row>
    <x:row r="258" ht="40" customHeight="1">
      <x:c r="A258" s="30" t="str">
        <x:v>SC03</x:v>
      </x:c>
      <x:c r="B258" s="30" t="str">
        <x:v>城市/河流洪涝</x:v>
      </x:c>
      <x:c r="C258" s="30" t="str">
        <x:v>T090</x:v>
      </x:c>
      <x:c r="D258" s="30" t="str">
        <x:v>平台/能源/服务健康监视</x:v>
      </x:c>
      <x:c r="E258" s="30" t="str">
        <x:v>可候选；Agent决定是否创建/执行</x:v>
      </x:c>
      <x:c r="F258" s="30" t="str">
        <x:v>基线：依实际装配启用</x:v>
      </x:c>
    </x:row>
    <x:row r="259" ht="40" customHeight="1">
      <x:c r="A259" s="30" t="str">
        <x:v>SC03</x:v>
      </x:c>
      <x:c r="B259" s="30" t="str">
        <x:v>城市/河流洪涝</x:v>
      </x:c>
      <x:c r="C259" s="30" t="str">
        <x:v>T091</x:v>
      </x:c>
      <x:c r="D259" s="30" t="str">
        <x:v>安全等待与驻留观察</x:v>
      </x:c>
      <x:c r="E259" s="30" t="str">
        <x:v>可候选；Agent决定是否创建/执行</x:v>
      </x:c>
      <x:c r="F259" s="30" t="str">
        <x:v>基线：依实际装配启用</x:v>
      </x:c>
    </x:row>
    <x:row r="260" ht="40" customHeight="1">
      <x:c r="A260" s="30" t="str">
        <x:v>SC03</x:v>
      </x:c>
      <x:c r="B260" s="30" t="str">
        <x:v>城市/河流洪涝</x:v>
      </x:c>
      <x:c r="C260" s="30" t="str">
        <x:v>T092</x:v>
      </x:c>
      <x:c r="D260" s="30" t="str">
        <x:v>设备/传感器/服务故障诊断</x:v>
      </x:c>
      <x:c r="E260" s="30" t="str">
        <x:v>可候选；Agent决定是否创建/执行</x:v>
      </x:c>
      <x:c r="F260" s="30" t="str">
        <x:v>基线：依实际装配启用</x:v>
      </x:c>
    </x:row>
    <x:row r="261" ht="40" customHeight="1">
      <x:c r="A261" s="30" t="str">
        <x:v>SC03</x:v>
      </x:c>
      <x:c r="B261" s="30" t="str">
        <x:v>城市/河流洪涝</x:v>
      </x:c>
      <x:c r="C261" s="30" t="str">
        <x:v>T096</x:v>
      </x:c>
      <x:c r="D261" s="30" t="str">
        <x:v>跨模型特征/潜表示适配</x:v>
      </x:c>
      <x:c r="E261" s="30" t="str">
        <x:v>可候选；Agent决定是否创建/执行</x:v>
      </x:c>
      <x:c r="F261" s="30" t="str">
        <x:v>条件扩展：明确设备/专业服务后启用</x:v>
      </x:c>
    </x:row>
    <x:row r="262" ht="40" customHeight="1">
      <x:c r="A262" s="30" t="str">
        <x:v>SC04</x:v>
      </x:c>
      <x:c r="B262" s="30" t="str">
        <x:v>海啸/风暴潮沿海淹没</x:v>
      </x:c>
      <x:c r="C262" s="30" t="str">
        <x:v>T001</x:v>
      </x:c>
      <x:c r="D262" s="30" t="str">
        <x:v>区域快速普查</x:v>
      </x:c>
      <x:c r="E262" s="30" t="str">
        <x:v>可候选；Agent决定是否创建/执行</x:v>
      </x:c>
      <x:c r="F262" s="30" t="str">
        <x:v>基线：依实际装配启用</x:v>
      </x:c>
    </x:row>
    <x:row r="263" ht="40" customHeight="1">
      <x:c r="A263" s="30" t="str">
        <x:v>SC04</x:v>
      </x:c>
      <x:c r="B263" s="30" t="str">
        <x:v>海啸/风暴潮沿海淹没</x:v>
      </x:c>
      <x:c r="C263" s="30" t="str">
        <x:v>T002</x:v>
      </x:c>
      <x:c r="D263" s="30" t="str">
        <x:v>建筑外部损毁评估</x:v>
      </x:c>
      <x:c r="E263" s="30" t="str">
        <x:v>可候选；Agent决定是否创建/执行</x:v>
      </x:c>
      <x:c r="F263" s="30" t="str">
        <x:v>基线：依实际装配启用</x:v>
      </x:c>
    </x:row>
    <x:row r="264" ht="40" customHeight="1">
      <x:c r="A264" s="30" t="str">
        <x:v>SC04</x:v>
      </x:c>
      <x:c r="B264" s="30" t="str">
        <x:v>海啸/风暴潮沿海淹没</x:v>
      </x:c>
      <x:c r="C264" s="30" t="str">
        <x:v>T003</x:v>
      </x:c>
      <x:c r="D264" s="30" t="str">
        <x:v>道路与通路灾后评估</x:v>
      </x:c>
      <x:c r="E264" s="30" t="str">
        <x:v>可候选；Agent决定是否创建/执行</x:v>
      </x:c>
      <x:c r="F264" s="30" t="str">
        <x:v>基线：依实际装配启用</x:v>
      </x:c>
    </x:row>
    <x:row r="265" ht="40" customHeight="1">
      <x:c r="A265" s="30" t="str">
        <x:v>SC04</x:v>
      </x:c>
      <x:c r="B265" s="30" t="str">
        <x:v>海啸/风暴潮沿海淹没</x:v>
      </x:c>
      <x:c r="C265" s="30" t="str">
        <x:v>T004</x:v>
      </x:c>
      <x:c r="D265" s="30" t="str">
        <x:v>入口与屋顶交付区检查</x:v>
      </x:c>
      <x:c r="E265" s="30" t="str">
        <x:v>可候选；Agent决定是否创建/执行</x:v>
      </x:c>
      <x:c r="F265" s="30" t="str">
        <x:v>基线：依实际装配启用</x:v>
      </x:c>
    </x:row>
    <x:row r="266" ht="40" customHeight="1">
      <x:c r="A266" s="30" t="str">
        <x:v>SC04</x:v>
      </x:c>
      <x:c r="B266" s="30" t="str">
        <x:v>海啸/风暴潮沿海淹没</x:v>
      </x:c>
      <x:c r="C266" s="30" t="str">
        <x:v>T005</x:v>
      </x:c>
      <x:c r="D266" s="30" t="str">
        <x:v>水域边界与涉水条件评估</x:v>
      </x:c>
      <x:c r="E266" s="30" t="str">
        <x:v>可候选；Agent决定是否创建/执行</x:v>
      </x:c>
      <x:c r="F266" s="30" t="str">
        <x:v>基线：依实际装配启用</x:v>
      </x:c>
    </x:row>
    <x:row r="267" ht="40" customHeight="1">
      <x:c r="A267" s="30" t="str">
        <x:v>SC04</x:v>
      </x:c>
      <x:c r="B267" s="30" t="str">
        <x:v>海啸/风暴潮沿海淹没</x:v>
      </x:c>
      <x:c r="C267" s="30" t="str">
        <x:v>T007</x:v>
      </x:c>
      <x:c r="D267" s="30" t="str">
        <x:v>灾前灾后变化与地图更新</x:v>
      </x:c>
      <x:c r="E267" s="30" t="str">
        <x:v>可候选；Agent决定是否创建/执行</x:v>
      </x:c>
      <x:c r="F267" s="30" t="str">
        <x:v>基线：依实际装配启用</x:v>
      </x:c>
    </x:row>
    <x:row r="268" ht="40" customHeight="1">
      <x:c r="A268" s="30" t="str">
        <x:v>SC04</x:v>
      </x:c>
      <x:c r="B268" s="30" t="str">
        <x:v>海啸/风暴潮沿海淹没</x:v>
      </x:c>
      <x:c r="C268" s="30" t="str">
        <x:v>T008</x:v>
      </x:c>
      <x:c r="D268" s="30" t="str">
        <x:v>建筑/区域覆盖登记</x:v>
      </x:c>
      <x:c r="E268" s="30" t="str">
        <x:v>可候选；Agent决定是否创建/执行</x:v>
      </x:c>
      <x:c r="F268" s="30" t="str">
        <x:v>基线：依实际装配启用</x:v>
      </x:c>
    </x:row>
    <x:row r="269" ht="40" customHeight="1">
      <x:c r="A269" s="30" t="str">
        <x:v>SC04</x:v>
      </x:c>
      <x:c r="B269" s="30" t="str">
        <x:v>海啸/风暴潮沿海淹没</x:v>
      </x:c>
      <x:c r="C269" s="30" t="str">
        <x:v>T009</x:v>
      </x:c>
      <x:c r="D269" s="30" t="str">
        <x:v>系统空中人员搜索</x:v>
      </x:c>
      <x:c r="E269" s="30" t="str">
        <x:v>可候选；Agent决定是否创建/执行</x:v>
      </x:c>
      <x:c r="F269" s="30" t="str">
        <x:v>基线：依实际装配启用</x:v>
      </x:c>
    </x:row>
    <x:row r="270" ht="40" customHeight="1">
      <x:c r="A270" s="30" t="str">
        <x:v>SC04</x:v>
      </x:c>
      <x:c r="B270" s="30" t="str">
        <x:v>海啸/风暴潮沿海淹没</x:v>
      </x:c>
      <x:c r="C270" s="30" t="str">
        <x:v>T010</x:v>
      </x:c>
      <x:c r="D270" s="30" t="str">
        <x:v>线索发现与语义解读</x:v>
      </x:c>
      <x:c r="E270" s="30" t="str">
        <x:v>可候选；Agent决定是否创建/执行</x:v>
      </x:c>
      <x:c r="F270" s="30" t="str">
        <x:v>基线：依实际装配启用</x:v>
      </x:c>
    </x:row>
    <x:row r="271" ht="40" customHeight="1">
      <x:c r="A271" s="30" t="str">
        <x:v>SC04</x:v>
      </x:c>
      <x:c r="B271" s="30" t="str">
        <x:v>海啸/风暴潮沿海淹没</x:v>
      </x:c>
      <x:c r="C271" s="30" t="str">
        <x:v>T011</x:v>
      </x:c>
      <x:c r="D271" s="30" t="str">
        <x:v>疑似目标多视角复核</x:v>
      </x:c>
      <x:c r="E271" s="30" t="str">
        <x:v>可候选；Agent决定是否创建/执行</x:v>
      </x:c>
      <x:c r="F271" s="30" t="str">
        <x:v>基线：依实际装配启用</x:v>
      </x:c>
    </x:row>
    <x:row r="272" ht="40" customHeight="1">
      <x:c r="A272" s="30" t="str">
        <x:v>SC04</x:v>
      </x:c>
      <x:c r="B272" s="30" t="str">
        <x:v>海啸/风暴潮沿海淹没</x:v>
      </x:c>
      <x:c r="C272" s="30" t="str">
        <x:v>T012</x:v>
      </x:c>
      <x:c r="D272" s="30" t="str">
        <x:v>目标定位跟踪与跨视角关联</x:v>
      </x:c>
      <x:c r="E272" s="30" t="str">
        <x:v>可候选；Agent决定是否创建/执行</x:v>
      </x:c>
      <x:c r="F272" s="30" t="str">
        <x:v>基线：依实际装配启用</x:v>
      </x:c>
    </x:row>
    <x:row r="273" ht="40" customHeight="1">
      <x:c r="A273" s="30" t="str">
        <x:v>SC04</x:v>
      </x:c>
      <x:c r="B273" s="30" t="str">
        <x:v>海啸/风暴潮沿海淹没</x:v>
      </x:c>
      <x:c r="C273" s="30" t="str">
        <x:v>T013</x:v>
      </x:c>
      <x:c r="D273" s="30" t="str">
        <x:v>近地外部与狭窄区搜索</x:v>
      </x:c>
      <x:c r="E273" s="30" t="str">
        <x:v>可候选；Agent决定是否创建/执行</x:v>
      </x:c>
      <x:c r="F273" s="30" t="str">
        <x:v>基线：依实际装配启用</x:v>
      </x:c>
    </x:row>
    <x:row r="274" ht="40" customHeight="1">
      <x:c r="A274" s="30" t="str">
        <x:v>SC04</x:v>
      </x:c>
      <x:c r="B274" s="30" t="str">
        <x:v>海啸/风暴潮沿海淹没</x:v>
      </x:c>
      <x:c r="C274" s="30" t="str">
        <x:v>T014</x:v>
      </x:c>
      <x:c r="D274" s="30" t="str">
        <x:v>建筑内部初次抽象搜索</x:v>
      </x:c>
      <x:c r="E274" s="30" t="str">
        <x:v>可候选；Agent决定是否创建/执行</x:v>
      </x:c>
      <x:c r="F274" s="30" t="str">
        <x:v>基线：依实际装配启用</x:v>
      </x:c>
    </x:row>
    <x:row r="275" ht="40" customHeight="1">
      <x:c r="A275" s="30" t="str">
        <x:v>SC04</x:v>
      </x:c>
      <x:c r="B275" s="30" t="str">
        <x:v>海啸/风暴潮沿海淹没</x:v>
      </x:c>
      <x:c r="C275" s="30" t="str">
        <x:v>T015</x:v>
      </x:c>
      <x:c r="D275" s="30" t="str">
        <x:v>建筑内部复搜/完整搜索</x:v>
      </x:c>
      <x:c r="E275" s="30" t="str">
        <x:v>可候选；Agent决定是否创建/执行</x:v>
      </x:c>
      <x:c r="F275" s="30" t="str">
        <x:v>基线：依实际装配启用</x:v>
      </x:c>
    </x:row>
    <x:row r="276" ht="40" customHeight="1">
      <x:c r="A276" s="30" t="str">
        <x:v>SC04</x:v>
      </x:c>
      <x:c r="B276" s="30" t="str">
        <x:v>海啸/风暴潮沿海淹没</x:v>
      </x:c>
      <x:c r="C276" s="30" t="str">
        <x:v>T019</x:v>
      </x:c>
      <x:c r="D276" s="30" t="str">
        <x:v>空中转场与观察点到达</x:v>
      </x:c>
      <x:c r="E276" s="30" t="str">
        <x:v>可候选；Agent决定是否创建/执行</x:v>
      </x:c>
      <x:c r="F276" s="30" t="str">
        <x:v>基线：依实际装配启用</x:v>
      </x:c>
    </x:row>
    <x:row r="277" ht="40" customHeight="1">
      <x:c r="A277" s="30" t="str">
        <x:v>SC04</x:v>
      </x:c>
      <x:c r="B277" s="30" t="str">
        <x:v>海啸/风暴潮沿海淹没</x:v>
      </x:c>
      <x:c r="C277" s="30" t="str">
        <x:v>T020</x:v>
      </x:c>
      <x:c r="D277" s="30" t="str">
        <x:v>地面转场与绕行</x:v>
      </x:c>
      <x:c r="E277" s="30" t="str">
        <x:v>可候选；Agent决定是否创建/执行</x:v>
      </x:c>
      <x:c r="F277" s="30" t="str">
        <x:v>基线：依实际装配启用</x:v>
      </x:c>
    </x:row>
    <x:row r="278" ht="40" customHeight="1">
      <x:c r="A278" s="30" t="str">
        <x:v>SC04</x:v>
      </x:c>
      <x:c r="B278" s="30" t="str">
        <x:v>海啸/风暴潮沿海淹没</x:v>
      </x:c>
      <x:c r="C278" s="30" t="str">
        <x:v>T021</x:v>
      </x:c>
      <x:c r="D278" s="30" t="str">
        <x:v>障碍接近探测与路径验证</x:v>
      </x:c>
      <x:c r="E278" s="30" t="str">
        <x:v>可候选；Agent决定是否创建/执行</x:v>
      </x:c>
      <x:c r="F278" s="30" t="str">
        <x:v>基线：依实际装配启用</x:v>
      </x:c>
    </x:row>
    <x:row r="279" ht="40" customHeight="1">
      <x:c r="A279" s="30" t="str">
        <x:v>SC04</x:v>
      </x:c>
      <x:c r="B279" s="30" t="str">
        <x:v>海啸/风暴潮沿海淹没</x:v>
      </x:c>
      <x:c r="C279" s="30" t="str">
        <x:v>T022</x:v>
      </x:c>
      <x:c r="D279" s="30" t="str">
        <x:v>轻型残骸移除</x:v>
      </x:c>
      <x:c r="E279" s="30" t="str">
        <x:v>可候选；Agent决定是否创建/执行</x:v>
      </x:c>
      <x:c r="F279" s="30" t="str">
        <x:v>条件扩展：明确设备/专业服务后启用</x:v>
      </x:c>
    </x:row>
    <x:row r="280" ht="40" customHeight="1">
      <x:c r="A280" s="30" t="str">
        <x:v>SC04</x:v>
      </x:c>
      <x:c r="B280" s="30" t="str">
        <x:v>海啸/风暴潮沿海淹没</x:v>
      </x:c>
      <x:c r="C280" s="30" t="str">
        <x:v>T023</x:v>
      </x:c>
      <x:c r="D280" s="30" t="str">
        <x:v>重型道路清障</x:v>
      </x:c>
      <x:c r="E280" s="30" t="str">
        <x:v>可候选；Agent决定是否创建/执行</x:v>
      </x:c>
      <x:c r="F280" s="30" t="str">
        <x:v>条件扩展：明确设备/专业服务后启用</x:v>
      </x:c>
    </x:row>
    <x:row r="281" ht="40" customHeight="1">
      <x:c r="A281" s="30" t="str">
        <x:v>SC04</x:v>
      </x:c>
      <x:c r="B281" s="30" t="str">
        <x:v>海啸/风暴潮沿海淹没</x:v>
      </x:c>
      <x:c r="C281" s="30" t="str">
        <x:v>T027</x:v>
      </x:c>
      <x:c r="D281" s="30" t="str">
        <x:v>建立联系并确认需求</x:v>
      </x:c>
      <x:c r="E281" s="30" t="str">
        <x:v>可候选；Agent决定是否创建/执行</x:v>
      </x:c>
      <x:c r="F281" s="30" t="str">
        <x:v>基线：依实际装配启用</x:v>
      </x:c>
    </x:row>
    <x:row r="282" ht="40" customHeight="1">
      <x:c r="A282" s="30" t="str">
        <x:v>SC04</x:v>
      </x:c>
      <x:c r="B282" s="30" t="str">
        <x:v>海啸/风暴潮沿海淹没</x:v>
      </x:c>
      <x:c r="C282" s="30" t="str">
        <x:v>T028</x:v>
      </x:c>
      <x:c r="D282" s="30" t="str">
        <x:v>安全警示与避险引导</x:v>
      </x:c>
      <x:c r="E282" s="30" t="str">
        <x:v>可候选；Agent决定是否创建/执行</x:v>
      </x:c>
      <x:c r="F282" s="30" t="str">
        <x:v>基线：依实际装配启用</x:v>
      </x:c>
    </x:row>
    <x:row r="283" ht="40" customHeight="1">
      <x:c r="A283" s="30" t="str">
        <x:v>SC04</x:v>
      </x:c>
      <x:c r="B283" s="30" t="str">
        <x:v>海啸/风暴潮沿海淹没</x:v>
      </x:c>
      <x:c r="C283" s="30" t="str">
        <x:v>T029</x:v>
      </x:c>
      <x:c r="D283" s="30" t="str">
        <x:v>专业伤员评估与分级</x:v>
      </x:c>
      <x:c r="E283" s="30" t="str">
        <x:v>可候选；Agent决定是否创建/执行</x:v>
      </x:c>
      <x:c r="F283" s="30" t="str">
        <x:v>条件扩展：明确设备/专业服务后启用</x:v>
      </x:c>
    </x:row>
    <x:row r="284" ht="40" customHeight="1">
      <x:c r="A284" s="30" t="str">
        <x:v>SC04</x:v>
      </x:c>
      <x:c r="B284" s="30" t="str">
        <x:v>海啸/风暴潮沿海淹没</x:v>
      </x:c>
      <x:c r="C284" s="30" t="str">
        <x:v>T030</x:v>
      </x:c>
      <x:c r="D284" s="30" t="str">
        <x:v>人员基础物资支援</x:v>
      </x:c>
      <x:c r="E284" s="30" t="str">
        <x:v>可候选；Agent决定是否创建/执行</x:v>
      </x:c>
      <x:c r="F284" s="30" t="str">
        <x:v>基线：依实际装配启用</x:v>
      </x:c>
    </x:row>
    <x:row r="285" ht="40" customHeight="1">
      <x:c r="A285" s="30" t="str">
        <x:v>SC04</x:v>
      </x:c>
      <x:c r="B285" s="30" t="str">
        <x:v>海啸/风暴潮沿海淹没</x:v>
      </x:c>
      <x:c r="C285" s="30" t="str">
        <x:v>T031</x:v>
      </x:c>
      <x:c r="D285" s="30" t="str">
        <x:v>专业初步救护</x:v>
      </x:c>
      <x:c r="E285" s="30" t="str">
        <x:v>可候选；Agent决定是否创建/执行</x:v>
      </x:c>
      <x:c r="F285" s="30" t="str">
        <x:v>条件扩展：明确设备/专业服务后启用</x:v>
      </x:c>
    </x:row>
    <x:row r="286" ht="40" customHeight="1">
      <x:c r="A286" s="30" t="str">
        <x:v>SC04</x:v>
      </x:c>
      <x:c r="B286" s="30" t="str">
        <x:v>海啸/风暴潮沿海淹没</x:v>
      </x:c>
      <x:c r="C286" s="30" t="str">
        <x:v>T032</x:v>
      </x:c>
      <x:c r="D286" s="30" t="str">
        <x:v>受困解除/解困</x:v>
      </x:c>
      <x:c r="E286" s="30" t="str">
        <x:v>可候选；Agent决定是否创建/执行</x:v>
      </x:c>
      <x:c r="F286" s="30" t="str">
        <x:v>条件扩展：明确设备/专业服务后启用</x:v>
      </x:c>
    </x:row>
    <x:row r="287" ht="40" customHeight="1">
      <x:c r="A287" s="30" t="str">
        <x:v>SC04</x:v>
      </x:c>
      <x:c r="B287" s="30" t="str">
        <x:v>海啸/风暴潮沿海淹没</x:v>
      </x:c>
      <x:c r="C287" s="30" t="str">
        <x:v>T033</x:v>
      </x:c>
      <x:c r="D287" s="30" t="str">
        <x:v>人员装载</x:v>
      </x:c>
      <x:c r="E287" s="30" t="str">
        <x:v>可候选；Agent决定是否创建/执行</x:v>
      </x:c>
      <x:c r="F287" s="30" t="str">
        <x:v>条件扩展：明确设备/专业服务后启用</x:v>
      </x:c>
    </x:row>
    <x:row r="288" ht="40" customHeight="1">
      <x:c r="A288" s="30" t="str">
        <x:v>SC04</x:v>
      </x:c>
      <x:c r="B288" s="30" t="str">
        <x:v>海啸/风暴潮沿海淹没</x:v>
      </x:c>
      <x:c r="C288" s="30" t="str">
        <x:v>T034</x:v>
      </x:c>
      <x:c r="D288" s="30" t="str">
        <x:v>人员转运</x:v>
      </x:c>
      <x:c r="E288" s="30" t="str">
        <x:v>可候选；Agent决定是否创建/执行</x:v>
      </x:c>
      <x:c r="F288" s="30" t="str">
        <x:v>条件扩展：明确设备/专业服务后启用</x:v>
      </x:c>
    </x:row>
    <x:row r="289" ht="40" customHeight="1">
      <x:c r="A289" s="30" t="str">
        <x:v>SC04</x:v>
      </x:c>
      <x:c r="B289" s="30" t="str">
        <x:v>海啸/风暴潮沿海淹没</x:v>
      </x:c>
      <x:c r="C289" s="30" t="str">
        <x:v>T035</x:v>
      </x:c>
      <x:c r="D289" s="30" t="str">
        <x:v>救援/医疗最终移交</x:v>
      </x:c>
      <x:c r="E289" s="30" t="str">
        <x:v>可候选；Agent决定是否创建/执行</x:v>
      </x:c>
      <x:c r="F289" s="30" t="str">
        <x:v>条件扩展：明确设备/专业服务后启用</x:v>
      </x:c>
    </x:row>
    <x:row r="290" ht="40" customHeight="1">
      <x:c r="A290" s="30" t="str">
        <x:v>SC04</x:v>
      </x:c>
      <x:c r="B290" s="30" t="str">
        <x:v>海啸/风暴潮沿海淹没</x:v>
      </x:c>
      <x:c r="C290" s="30" t="str">
        <x:v>T036</x:v>
      </x:c>
      <x:c r="D290" s="30" t="str">
        <x:v>水中人员救助回收</x:v>
      </x:c>
      <x:c r="E290" s="30" t="str">
        <x:v>可候选；Agent决定是否创建/执行</x:v>
      </x:c>
      <x:c r="F290" s="30" t="str">
        <x:v>条件扩展：明确设备/专业服务后启用</x:v>
      </x:c>
    </x:row>
    <x:row r="291" ht="40" customHeight="1">
      <x:c r="A291" s="30" t="str">
        <x:v>SC04</x:v>
      </x:c>
      <x:c r="B291" s="30" t="str">
        <x:v>海啸/风暴潮沿海淹没</x:v>
      </x:c>
      <x:c r="C291" s="30" t="str">
        <x:v>T038</x:v>
      </x:c>
      <x:c r="D291" s="30" t="str">
        <x:v>货物取用与挂载</x:v>
      </x:c>
      <x:c r="E291" s="30" t="str">
        <x:v>可候选；Agent决定是否创建/执行</x:v>
      </x:c>
      <x:c r="F291" s="30" t="str">
        <x:v>基线：依实际装配启用</x:v>
      </x:c>
    </x:row>
    <x:row r="292" ht="40" customHeight="1">
      <x:c r="A292" s="30" t="str">
        <x:v>SC04</x:v>
      </x:c>
      <x:c r="B292" s="30" t="str">
        <x:v>海啸/风暴潮沿海淹没</x:v>
      </x:c>
      <x:c r="C292" s="30" t="str">
        <x:v>T039</x:v>
      </x:c>
      <x:c r="D292" s="30" t="str">
        <x:v>无人机精确物资投送</x:v>
      </x:c>
      <x:c r="E292" s="30" t="str">
        <x:v>可候选；Agent决定是否创建/执行</x:v>
      </x:c>
      <x:c r="F292" s="30" t="str">
        <x:v>基线：依实际装配启用</x:v>
      </x:c>
    </x:row>
    <x:row r="293" ht="40" customHeight="1">
      <x:c r="A293" s="30" t="str">
        <x:v>SC04</x:v>
      </x:c>
      <x:c r="B293" s="30" t="str">
        <x:v>海啸/风暴潮沿海淹没</x:v>
      </x:c>
      <x:c r="C293" s="30" t="str">
        <x:v>T040</x:v>
      </x:c>
      <x:c r="D293" s="30" t="str">
        <x:v>地面物资送达与卸放</x:v>
      </x:c>
      <x:c r="E293" s="30" t="str">
        <x:v>可候选；Agent决定是否创建/执行</x:v>
      </x:c>
      <x:c r="F293" s="30" t="str">
        <x:v>基线：依实际装配启用</x:v>
      </x:c>
    </x:row>
    <x:row r="294" ht="40" customHeight="1">
      <x:c r="A294" s="30" t="str">
        <x:v>SC04</x:v>
      </x:c>
      <x:c r="B294" s="30" t="str">
        <x:v>海啸/风暴潮沿海淹没</x:v>
      </x:c>
      <x:c r="C294" s="30" t="str">
        <x:v>T041</x:v>
      </x:c>
      <x:c r="D294" s="30" t="str">
        <x:v>交付复核与收货报告</x:v>
      </x:c>
      <x:c r="E294" s="30" t="str">
        <x:v>可候选；Agent决定是否创建/执行</x:v>
      </x:c>
      <x:c r="F294" s="30" t="str">
        <x:v>基线：依实际装配启用</x:v>
      </x:c>
    </x:row>
    <x:row r="295" ht="40" customHeight="1">
      <x:c r="A295" s="30" t="str">
        <x:v>SC04</x:v>
      </x:c>
      <x:c r="B295" s="30" t="str">
        <x:v>海啸/风暴潮沿海淹没</x:v>
      </x:c>
      <x:c r="C295" s="30" t="str">
        <x:v>T042</x:v>
      </x:c>
      <x:c r="D295" s="30" t="str">
        <x:v>物资/器材补给</x:v>
      </x:c>
      <x:c r="E295" s="30" t="str">
        <x:v>可候选；Agent决定是否创建/执行</x:v>
      </x:c>
      <x:c r="F295" s="30" t="str">
        <x:v>基线：依实际装配启用</x:v>
      </x:c>
    </x:row>
    <x:row r="296" ht="40" customHeight="1">
      <x:c r="A296" s="30" t="str">
        <x:v>SC04</x:v>
      </x:c>
      <x:c r="B296" s="30" t="str">
        <x:v>海啸/风暴潮沿海淹没</x:v>
      </x:c>
      <x:c r="C296" s="30" t="str">
        <x:v>T043</x:v>
      </x:c>
      <x:c r="D296" s="30" t="str">
        <x:v>平台充电</x:v>
      </x:c>
      <x:c r="E296" s="30" t="str">
        <x:v>可候选；Agent决定是否创建/执行</x:v>
      </x:c>
      <x:c r="F296" s="30" t="str">
        <x:v>基线：依实际装配启用</x:v>
      </x:c>
    </x:row>
    <x:row r="297" ht="40" customHeight="1">
      <x:c r="A297" s="30" t="str">
        <x:v>SC04</x:v>
      </x:c>
      <x:c r="B297" s="30" t="str">
        <x:v>海啸/风暴潮沿海淹没</x:v>
      </x:c>
      <x:c r="C297" s="30" t="str">
        <x:v>T044</x:v>
      </x:c>
      <x:c r="D297" s="30" t="str">
        <x:v>平台换电</x:v>
      </x:c>
      <x:c r="E297" s="30" t="str">
        <x:v>可候选；Agent决定是否创建/执行</x:v>
      </x:c>
      <x:c r="F297" s="30" t="str">
        <x:v>基线：依实际装配启用</x:v>
      </x:c>
    </x:row>
    <x:row r="298" ht="40" customHeight="1">
      <x:c r="A298" s="30" t="str">
        <x:v>SC04</x:v>
      </x:c>
      <x:c r="B298" s="30" t="str">
        <x:v>海啸/风暴潮沿海淹没</x:v>
      </x:c>
      <x:c r="C298" s="30" t="str">
        <x:v>T045</x:v>
      </x:c>
      <x:c r="D298" s="30" t="str">
        <x:v>返航/返站与安全撤离</x:v>
      </x:c>
      <x:c r="E298" s="30" t="str">
        <x:v>可候选；Agent决定是否创建/执行</x:v>
      </x:c>
      <x:c r="F298" s="30" t="str">
        <x:v>基线：依实际装配启用</x:v>
      </x:c>
    </x:row>
    <x:row r="299" ht="40" customHeight="1">
      <x:c r="A299" s="30" t="str">
        <x:v>SC04</x:v>
      </x:c>
      <x:c r="B299" s="30" t="str">
        <x:v>海啸/风暴潮沿海淹没</x:v>
      </x:c>
      <x:c r="C299" s="30" t="str">
        <x:v>T046</x:v>
      </x:c>
      <x:c r="D299" s="30" t="str">
        <x:v>失效平台回收</x:v>
      </x:c>
      <x:c r="E299" s="30" t="str">
        <x:v>可候选；Agent决定是否创建/执行</x:v>
      </x:c>
      <x:c r="F299" s="30" t="str">
        <x:v>条件扩展：明确设备/专业服务后启用</x:v>
      </x:c>
    </x:row>
    <x:row r="300" ht="40" customHeight="1">
      <x:c r="A300" s="30" t="str">
        <x:v>SC04</x:v>
      </x:c>
      <x:c r="B300" s="30" t="str">
        <x:v>海啸/风暴潮沿海淹没</x:v>
      </x:c>
      <x:c r="C300" s="30" t="str">
        <x:v>T047</x:v>
      </x:c>
      <x:c r="D300" s="30" t="str">
        <x:v>链路探测与质量估计</x:v>
      </x:c>
      <x:c r="E300" s="30" t="str">
        <x:v>可候选；Agent决定是否创建/执行</x:v>
      </x:c>
      <x:c r="F300" s="30" t="str">
        <x:v>基线：依实际装配启用</x:v>
      </x:c>
    </x:row>
    <x:row r="301" ht="40" customHeight="1">
      <x:c r="A301" s="30" t="str">
        <x:v>SC04</x:v>
      </x:c>
      <x:c r="B301" s="30" t="str">
        <x:v>海啸/风暴潮沿海淹没</x:v>
      </x:c>
      <x:c r="C301" s="30" t="str">
        <x:v>T048</x:v>
      </x:c>
      <x:c r="D301" s="30" t="str">
        <x:v>通信会合与重定位</x:v>
      </x:c>
      <x:c r="E301" s="30" t="str">
        <x:v>可候选；Agent决定是否创建/执行</x:v>
      </x:c>
      <x:c r="F301" s="30" t="str">
        <x:v>基线：依实际装配启用</x:v>
      </x:c>
    </x:row>
    <x:row r="302" ht="40" customHeight="1">
      <x:c r="A302" s="30" t="str">
        <x:v>SC04</x:v>
      </x:c>
      <x:c r="B302" s="30" t="str">
        <x:v>海啸/风暴潮沿海淹没</x:v>
      </x:c>
      <x:c r="C302" s="30" t="str">
        <x:v>T049</x:v>
      </x:c>
      <x:c r="D302" s="30" t="str">
        <x:v>空中中继保持</x:v>
      </x:c>
      <x:c r="E302" s="30" t="str">
        <x:v>可候选；Agent决定是否创建/执行</x:v>
      </x:c>
      <x:c r="F302" s="30" t="str">
        <x:v>基线：依实际装配启用</x:v>
      </x:c>
    </x:row>
    <x:row r="303" ht="40" customHeight="1">
      <x:c r="A303" s="30" t="str">
        <x:v>SC04</x:v>
      </x:c>
      <x:c r="B303" s="30" t="str">
        <x:v>海啸/风暴潮沿海淹没</x:v>
      </x:c>
      <x:c r="C303" s="30" t="str">
        <x:v>T050</x:v>
      </x:c>
      <x:c r="D303" s="30" t="str">
        <x:v>通信节点布放</x:v>
      </x:c>
      <x:c r="E303" s="30" t="str">
        <x:v>可候选；Agent决定是否创建/执行</x:v>
      </x:c>
      <x:c r="F303" s="30" t="str">
        <x:v>条件扩展：明确设备/专业服务后启用</x:v>
      </x:c>
    </x:row>
    <x:row r="304" ht="40" customHeight="1">
      <x:c r="A304" s="30" t="str">
        <x:v>SC04</x:v>
      </x:c>
      <x:c r="B304" s="30" t="str">
        <x:v>海啸/风暴潮沿海淹没</x:v>
      </x:c>
      <x:c r="C304" s="30" t="str">
        <x:v>T051</x:v>
      </x:c>
      <x:c r="D304" s="30" t="str">
        <x:v>多跳业务转发</x:v>
      </x:c>
      <x:c r="E304" s="30" t="str">
        <x:v>可候选；Agent决定是否创建/执行</x:v>
      </x:c>
      <x:c r="F304" s="30" t="str">
        <x:v>基线：依实际装配启用</x:v>
      </x:c>
    </x:row>
    <x:row r="305" ht="40" customHeight="1">
      <x:c r="A305" s="30" t="str">
        <x:v>SC04</x:v>
      </x:c>
      <x:c r="B305" s="30" t="str">
        <x:v>海啸/风暴潮沿海淹没</x:v>
      </x:c>
      <x:c r="C305" s="30" t="str">
        <x:v>T052</x:v>
      </x:c>
      <x:c r="D305" s="30" t="str">
        <x:v>图像/证据数据上传</x:v>
      </x:c>
      <x:c r="E305" s="30" t="str">
        <x:v>可候选；Agent决定是否创建/执行</x:v>
      </x:c>
      <x:c r="F305" s="30" t="str">
        <x:v>基线：依实际装配启用</x:v>
      </x:c>
    </x:row>
    <x:row r="306" ht="40" customHeight="1">
      <x:c r="A306" s="30" t="str">
        <x:v>SC04</x:v>
      </x:c>
      <x:c r="B306" s="30" t="str">
        <x:v>海啸/风暴潮沿海淹没</x:v>
      </x:c>
      <x:c r="C306" s="30" t="str">
        <x:v>T053</x:v>
      </x:c>
      <x:c r="D306" s="30" t="str">
        <x:v>可靠回执与超时重传</x:v>
      </x:c>
      <x:c r="E306" s="30" t="str">
        <x:v>可候选；Agent决定是否创建/执行</x:v>
      </x:c>
      <x:c r="F306" s="30" t="str">
        <x:v>基线：依实际装配启用</x:v>
      </x:c>
    </x:row>
    <x:row r="307" ht="40" customHeight="1">
      <x:c r="A307" s="30" t="str">
        <x:v>SC04</x:v>
      </x:c>
      <x:c r="B307" s="30" t="str">
        <x:v>海啸/风暴潮沿海淹没</x:v>
      </x:c>
      <x:c r="C307" s="30" t="str">
        <x:v>T054</x:v>
      </x:c>
      <x:c r="D307" s="30" t="str">
        <x:v>断联存储-携带-转发</x:v>
      </x:c>
      <x:c r="E307" s="30" t="str">
        <x:v>可候选；Agent决定是否创建/执行</x:v>
      </x:c>
      <x:c r="F307" s="30" t="str">
        <x:v>基线：依实际装配启用</x:v>
      </x:c>
    </x:row>
    <x:row r="308" ht="40" customHeight="1">
      <x:c r="A308" s="30" t="str">
        <x:v>SC04</x:v>
      </x:c>
      <x:c r="B308" s="30" t="str">
        <x:v>海啸/风暴潮沿海淹没</x:v>
      </x:c>
      <x:c r="C308" s="30" t="str">
        <x:v>T055</x:v>
      </x:c>
      <x:c r="D308" s="30" t="str">
        <x:v>信道/功率/传输优先级调整</x:v>
      </x:c>
      <x:c r="E308" s="30" t="str">
        <x:v>可候选；Agent决定是否创建/执行</x:v>
      </x:c>
      <x:c r="F308" s="30" t="str">
        <x:v>基线：依实际装配启用</x:v>
      </x:c>
    </x:row>
    <x:row r="309" ht="40" customHeight="1">
      <x:c r="A309" s="30" t="str">
        <x:v>SC04</x:v>
      </x:c>
      <x:c r="B309" s="30" t="str">
        <x:v>海啸/风暴潮沿海淹没</x:v>
      </x:c>
      <x:c r="C309" s="30" t="str">
        <x:v>T056</x:v>
      </x:c>
      <x:c r="D309" s="30" t="str">
        <x:v>失联后的连接恢复</x:v>
      </x:c>
      <x:c r="E309" s="30" t="str">
        <x:v>可候选；Agent决定是否创建/执行</x:v>
      </x:c>
      <x:c r="F309" s="30" t="str">
        <x:v>基线：依实际装配启用</x:v>
      </x:c>
    </x:row>
    <x:row r="310" ht="40" customHeight="1">
      <x:c r="A310" s="30" t="str">
        <x:v>SC04</x:v>
      </x:c>
      <x:c r="B310" s="30" t="str">
        <x:v>海啸/风暴潮沿海淹没</x:v>
      </x:c>
      <x:c r="C310" s="30" t="str">
        <x:v>T057</x:v>
      </x:c>
      <x:c r="D310" s="30" t="str">
        <x:v>计算与模型服务发现</x:v>
      </x:c>
      <x:c r="E310" s="30" t="str">
        <x:v>可候选；Agent决定是否创建/执行</x:v>
      </x:c>
      <x:c r="F310" s="30" t="str">
        <x:v>基线：依实际装配启用</x:v>
      </x:c>
    </x:row>
    <x:row r="311" ht="40" customHeight="1">
      <x:c r="A311" s="30" t="str">
        <x:v>SC04</x:v>
      </x:c>
      <x:c r="B311" s="30" t="str">
        <x:v>海啸/风暴潮沿海淹没</x:v>
      </x:c>
      <x:c r="C311" s="30" t="str">
        <x:v>T058</x:v>
      </x:c>
      <x:c r="D311" s="30" t="str">
        <x:v>本地视觉检测</x:v>
      </x:c>
      <x:c r="E311" s="30" t="str">
        <x:v>可候选；Agent决定是否创建/执行</x:v>
      </x:c>
      <x:c r="F311" s="30" t="str">
        <x:v>基线：依实际装配启用</x:v>
      </x:c>
    </x:row>
    <x:row r="312" ht="40" customHeight="1">
      <x:c r="A312" s="30" t="str">
        <x:v>SC04</x:v>
      </x:c>
      <x:c r="B312" s="30" t="str">
        <x:v>海啸/风暴潮沿海淹没</x:v>
      </x:c>
      <x:c r="C312" s="30" t="str">
        <x:v>T059</x:v>
      </x:c>
      <x:c r="D312" s="30" t="str">
        <x:v>本地语义/任务推理</x:v>
      </x:c>
      <x:c r="E312" s="30" t="str">
        <x:v>可候选；Agent决定是否创建/执行</x:v>
      </x:c>
      <x:c r="F312" s="30" t="str">
        <x:v>基线：依实际装配启用</x:v>
      </x:c>
    </x:row>
    <x:row r="313" ht="40" customHeight="1">
      <x:c r="A313" s="30" t="str">
        <x:v>SC04</x:v>
      </x:c>
      <x:c r="B313" s="30" t="str">
        <x:v>海啸/风暴潮沿海淹没</x:v>
      </x:c>
      <x:c r="C313" s="30" t="str">
        <x:v>T060</x:v>
      </x:c>
      <x:c r="D313" s="30" t="str">
        <x:v>远程视觉复核/推理卸载</x:v>
      </x:c>
      <x:c r="E313" s="30" t="str">
        <x:v>可候选；Agent决定是否创建/执行</x:v>
      </x:c>
      <x:c r="F313" s="30" t="str">
        <x:v>基线：依实际装配启用</x:v>
      </x:c>
    </x:row>
    <x:row r="314" ht="40" customHeight="1">
      <x:c r="A314" s="30" t="str">
        <x:v>SC04</x:v>
      </x:c>
      <x:c r="B314" s="30" t="str">
        <x:v>海啸/风暴潮沿海淹没</x:v>
      </x:c>
      <x:c r="C314" s="30" t="str">
        <x:v>T061</x:v>
      </x:c>
      <x:c r="D314" s="30" t="str">
        <x:v>执行节点与模型选择</x:v>
      </x:c>
      <x:c r="E314" s="30" t="str">
        <x:v>可候选；Agent决定是否创建/执行</x:v>
      </x:c>
      <x:c r="F314" s="30" t="str">
        <x:v>基线：依实际装配启用</x:v>
      </x:c>
    </x:row>
    <x:row r="315" ht="40" customHeight="1">
      <x:c r="A315" s="30" t="str">
        <x:v>SC04</x:v>
      </x:c>
      <x:c r="B315" s="30" t="str">
        <x:v>海啸/风暴潮沿海淹没</x:v>
      </x:c>
      <x:c r="C315" s="30" t="str">
        <x:v>T062</x:v>
      </x:c>
      <x:c r="D315" s="30" t="str">
        <x:v>计算作业准入与排队</x:v>
      </x:c>
      <x:c r="E315" s="30" t="str">
        <x:v>可候选；Agent决定是否创建/执行</x:v>
      </x:c>
      <x:c r="F315" s="30" t="str">
        <x:v>基线：依实际装配启用</x:v>
      </x:c>
    </x:row>
    <x:row r="316" ht="40" customHeight="1">
      <x:c r="A316" s="30" t="str">
        <x:v>SC04</x:v>
      </x:c>
      <x:c r="B316" s="30" t="str">
        <x:v>海啸/风暴潮沿海淹没</x:v>
      </x:c>
      <x:c r="C316" s="30" t="str">
        <x:v>T063</x:v>
      </x:c>
      <x:c r="D316" s="30" t="str">
        <x:v>模型服务加载/卸载</x:v>
      </x:c>
      <x:c r="E316" s="30" t="str">
        <x:v>可候选；Agent决定是否创建/执行</x:v>
      </x:c>
      <x:c r="F316" s="30" t="str">
        <x:v>基线：依实际装配启用</x:v>
      </x:c>
    </x:row>
    <x:row r="317" ht="40" customHeight="1">
      <x:c r="A317" s="30" t="str">
        <x:v>SC04</x:v>
      </x:c>
      <x:c r="B317" s="30" t="str">
        <x:v>海啸/风暴潮沿海淹没</x:v>
      </x:c>
      <x:c r="C317" s="30" t="str">
        <x:v>T064</x:v>
      </x:c>
      <x:c r="D317" s="30" t="str">
        <x:v>上下文/表示缓存复用</x:v>
      </x:c>
      <x:c r="E317" s="30" t="str">
        <x:v>可候选；Agent决定是否创建/执行</x:v>
      </x:c>
      <x:c r="F317" s="30" t="str">
        <x:v>基线：依实际装配启用</x:v>
      </x:c>
    </x:row>
    <x:row r="318" ht="40" customHeight="1">
      <x:c r="A318" s="30" t="str">
        <x:v>SC04</x:v>
      </x:c>
      <x:c r="B318" s="30" t="str">
        <x:v>海啸/风暴潮沿海淹没</x:v>
      </x:c>
      <x:c r="C318" s="30" t="str">
        <x:v>T065</x:v>
      </x:c>
      <x:c r="D318" s="30" t="str">
        <x:v>服务/作业迁移与恢复</x:v>
      </x:c>
      <x:c r="E318" s="30" t="str">
        <x:v>可候选；Agent决定是否创建/执行</x:v>
      </x:c>
      <x:c r="F318" s="30" t="str">
        <x:v>条件扩展：明确设备/专业服务后启用</x:v>
      </x:c>
    </x:row>
    <x:row r="319" ht="40" customHeight="1">
      <x:c r="A319" s="30" t="str">
        <x:v>SC04</x:v>
      </x:c>
      <x:c r="B319" s="30" t="str">
        <x:v>海啸/风暴潮沿海淹没</x:v>
      </x:c>
      <x:c r="C319" s="30" t="str">
        <x:v>T066</x:v>
      </x:c>
      <x:c r="D319" s="30" t="str">
        <x:v>预算耗尽/失败作业取消重试</x:v>
      </x:c>
      <x:c r="E319" s="30" t="str">
        <x:v>可候选；Agent决定是否创建/执行</x:v>
      </x:c>
      <x:c r="F319" s="30" t="str">
        <x:v>基线：依实际装配启用</x:v>
      </x:c>
    </x:row>
    <x:row r="320" ht="40" customHeight="1">
      <x:c r="A320" s="30" t="str">
        <x:v>SC04</x:v>
      </x:c>
      <x:c r="B320" s="30" t="str">
        <x:v>海啸/风暴潮沿海淹没</x:v>
      </x:c>
      <x:c r="C320" s="30" t="str">
        <x:v>T067</x:v>
      </x:c>
      <x:c r="D320" s="30" t="str">
        <x:v>批处理/多源联合推理</x:v>
      </x:c>
      <x:c r="E320" s="30" t="str">
        <x:v>可候选；Agent决定是否创建/执行</x:v>
      </x:c>
      <x:c r="F320" s="30" t="str">
        <x:v>基线：依实际装配启用</x:v>
      </x:c>
    </x:row>
    <x:row r="321" ht="40" customHeight="1">
      <x:c r="A321" s="30" t="str">
        <x:v>SC04</x:v>
      </x:c>
      <x:c r="B321" s="30" t="str">
        <x:v>海啸/风暴潮沿海淹没</x:v>
      </x:c>
      <x:c r="C321" s="30" t="str">
        <x:v>T068</x:v>
      </x:c>
      <x:c r="D321" s="30" t="str">
        <x:v>计算资源释放与缓存清理</x:v>
      </x:c>
      <x:c r="E321" s="30" t="str">
        <x:v>可候选；Agent决定是否创建/执行</x:v>
      </x:c>
      <x:c r="F321" s="30" t="str">
        <x:v>基线：依实际装配启用</x:v>
      </x:c>
    </x:row>
    <x:row r="322" ht="40" customHeight="1">
      <x:c r="A322" s="30" t="str">
        <x:v>SC04</x:v>
      </x:c>
      <x:c r="B322" s="30" t="str">
        <x:v>海啸/风暴潮沿海淹没</x:v>
      </x:c>
      <x:c r="C322" s="30" t="str">
        <x:v>T069</x:v>
      </x:c>
      <x:c r="D322" s="30" t="str">
        <x:v>跨源时间坐标对齐</x:v>
      </x:c>
      <x:c r="E322" s="30" t="str">
        <x:v>可候选；Agent决定是否创建/执行</x:v>
      </x:c>
      <x:c r="F322" s="30" t="str">
        <x:v>基线：依实际装配启用</x:v>
      </x:c>
    </x:row>
    <x:row r="323" ht="40" customHeight="1">
      <x:c r="A323" s="30" t="str">
        <x:v>SC04</x:v>
      </x:c>
      <x:c r="B323" s="30" t="str">
        <x:v>海啸/风暴潮沿海淹没</x:v>
      </x:c>
      <x:c r="C323" s="30" t="str">
        <x:v>T070</x:v>
      </x:c>
      <x:c r="D323" s="30" t="str">
        <x:v>任务条件化本地历史检索</x:v>
      </x:c>
      <x:c r="E323" s="30" t="str">
        <x:v>可候选；Agent决定是否创建/执行</x:v>
      </x:c>
      <x:c r="F323" s="30" t="str">
        <x:v>基线：依实际装配启用</x:v>
      </x:c>
    </x:row>
    <x:row r="324" ht="40" customHeight="1">
      <x:c r="A324" s="30" t="str">
        <x:v>SC04</x:v>
      </x:c>
      <x:c r="B324" s="30" t="str">
        <x:v>海啸/风暴潮沿海淹没</x:v>
      </x:c>
      <x:c r="C324" s="30" t="str">
        <x:v>T071</x:v>
      </x:c>
      <x:c r="D324" s="30" t="str">
        <x:v>图像裁剪/编码/证据打包</x:v>
      </x:c>
      <x:c r="E324" s="30" t="str">
        <x:v>可候选；Agent决定是否创建/执行</x:v>
      </x:c>
      <x:c r="F324" s="30" t="str">
        <x:v>基线：依实际装配启用</x:v>
      </x:c>
    </x:row>
    <x:row r="325" ht="40" customHeight="1">
      <x:c r="A325" s="30" t="str">
        <x:v>SC04</x:v>
      </x:c>
      <x:c r="B325" s="30" t="str">
        <x:v>海啸/风暴潮沿海淹没</x:v>
      </x:c>
      <x:c r="C325" s="30" t="str">
        <x:v>T072</x:v>
      </x:c>
      <x:c r="D325" s="30" t="str">
        <x:v>置信度与证据充分性判断</x:v>
      </x:c>
      <x:c r="E325" s="30" t="str">
        <x:v>可候选；Agent决定是否创建/执行</x:v>
      </x:c>
      <x:c r="F325" s="30" t="str">
        <x:v>基线：依实际装配启用</x:v>
      </x:c>
    </x:row>
    <x:row r="326" ht="40" customHeight="1">
      <x:c r="A326" s="30" t="str">
        <x:v>SC04</x:v>
      </x:c>
      <x:c r="B326" s="30" t="str">
        <x:v>海啸/风暴潮沿海淹没</x:v>
      </x:c>
      <x:c r="C326" s="30" t="str">
        <x:v>T073</x:v>
      </x:c>
      <x:c r="D326" s="30" t="str">
        <x:v>多源融合与冲突更正</x:v>
      </x:c>
      <x:c r="E326" s="30" t="str">
        <x:v>可候选；Agent决定是否创建/执行</x:v>
      </x:c>
      <x:c r="F326" s="30" t="str">
        <x:v>基线：依实际装配启用</x:v>
      </x:c>
    </x:row>
    <x:row r="327" ht="40" customHeight="1">
      <x:c r="A327" s="30" t="str">
        <x:v>SC04</x:v>
      </x:c>
      <x:c r="B327" s="30" t="str">
        <x:v>海啸/风暴潮沿海淹没</x:v>
      </x:c>
      <x:c r="C327" s="30" t="str">
        <x:v>T074</x:v>
      </x:c>
      <x:c r="D327" s="30" t="str">
        <x:v>面向任务的信息选择与共享</x:v>
      </x:c>
      <x:c r="E327" s="30" t="str">
        <x:v>可候选；Agent决定是否创建/执行</x:v>
      </x:c>
      <x:c r="F327" s="30" t="str">
        <x:v>基线：依实际装配启用</x:v>
      </x:c>
    </x:row>
    <x:row r="328" ht="40" customHeight="1">
      <x:c r="A328" s="30" t="str">
        <x:v>SC04</x:v>
      </x:c>
      <x:c r="B328" s="30" t="str">
        <x:v>海啸/风暴潮沿海淹没</x:v>
      </x:c>
      <x:c r="C328" s="30" t="str">
        <x:v>T075</x:v>
      </x:c>
      <x:c r="D328" s="30" t="str">
        <x:v>局部信念与过时信息维护</x:v>
      </x:c>
      <x:c r="E328" s="30" t="str">
        <x:v>可候选；Agent决定是否创建/执行</x:v>
      </x:c>
      <x:c r="F328" s="30" t="str">
        <x:v>基线：依实际装配启用</x:v>
      </x:c>
    </x:row>
    <x:row r="329" ht="40" customHeight="1">
      <x:c r="A329" s="30" t="str">
        <x:v>SC04</x:v>
      </x:c>
      <x:c r="B329" s="30" t="str">
        <x:v>海啸/风暴潮沿海淹没</x:v>
      </x:c>
      <x:c r="C329" s="30" t="str">
        <x:v>T076</x:v>
      </x:c>
      <x:c r="D329" s="30" t="str">
        <x:v>轨迹/证据归档与回放</x:v>
      </x:c>
      <x:c r="E329" s="30" t="str">
        <x:v>可候选；Agent决定是否创建/执行</x:v>
      </x:c>
      <x:c r="F329" s="30" t="str">
        <x:v>基线：依实际装配启用</x:v>
      </x:c>
    </x:row>
    <x:row r="330" ht="40" customHeight="1">
      <x:c r="A330" s="30" t="str">
        <x:v>SC04</x:v>
      </x:c>
      <x:c r="B330" s="30" t="str">
        <x:v>海啸/风暴潮沿海淹没</x:v>
      </x:c>
      <x:c r="C330" s="30" t="str">
        <x:v>T077</x:v>
      </x:c>
      <x:c r="D330" s="30" t="str">
        <x:v>接收并解释当前使命</x:v>
      </x:c>
      <x:c r="E330" s="30" t="str">
        <x:v>可候选；Agent决定是否创建/执行</x:v>
      </x:c>
      <x:c r="F330" s="30" t="str">
        <x:v>基线：依实际装配启用</x:v>
      </x:c>
    </x:row>
    <x:row r="331" ht="40" customHeight="1">
      <x:c r="A331" s="30" t="str">
        <x:v>SC04</x:v>
      </x:c>
      <x:c r="B331" s="30" t="str">
        <x:v>海啸/风暴潮沿海淹没</x:v>
      </x:c>
      <x:c r="C331" s="30" t="str">
        <x:v>T078</x:v>
      </x:c>
      <x:c r="D331" s="30" t="str">
        <x:v>自主任务分解与候选生成</x:v>
      </x:c>
      <x:c r="E331" s="30" t="str">
        <x:v>可候选；Agent决定是否创建/执行</x:v>
      </x:c>
      <x:c r="F331" s="30" t="str">
        <x:v>基线：依实际装配启用</x:v>
      </x:c>
    </x:row>
    <x:row r="332" ht="40" customHeight="1">
      <x:c r="A332" s="30" t="str">
        <x:v>SC04</x:v>
      </x:c>
      <x:c r="B332" s="30" t="str">
        <x:v>海啸/风暴潮沿海淹没</x:v>
      </x:c>
      <x:c r="C332" s="30" t="str">
        <x:v>T079</x:v>
      </x:c>
      <x:c r="D332" s="30" t="str">
        <x:v>本机参与筛选与出价</x:v>
      </x:c>
      <x:c r="E332" s="30" t="str">
        <x:v>可候选；Agent决定是否创建/执行</x:v>
      </x:c>
      <x:c r="F332" s="30" t="str">
        <x:v>基线：依实际装配启用</x:v>
      </x:c>
    </x:row>
    <x:row r="333" ht="40" customHeight="1">
      <x:c r="A333" s="30" t="str">
        <x:v>SC04</x:v>
      </x:c>
      <x:c r="B333" s="30" t="str">
        <x:v>海啸/风暴潮沿海淹没</x:v>
      </x:c>
      <x:c r="C333" s="30" t="str">
        <x:v>T080</x:v>
      </x:c>
      <x:c r="D333" s="30" t="str">
        <x:v>多平台任务分配与协调</x:v>
      </x:c>
      <x:c r="E333" s="30" t="str">
        <x:v>可候选；Agent决定是否创建/执行</x:v>
      </x:c>
      <x:c r="F333" s="30" t="str">
        <x:v>基线：依实际装配启用</x:v>
      </x:c>
    </x:row>
    <x:row r="334" ht="40" customHeight="1">
      <x:c r="A334" s="30" t="str">
        <x:v>SC04</x:v>
      </x:c>
      <x:c r="B334" s="30" t="str">
        <x:v>海啸/风暴潮沿海淹没</x:v>
      </x:c>
      <x:c r="C334" s="30" t="str">
        <x:v>T081</x:v>
      </x:c>
      <x:c r="D334" s="30" t="str">
        <x:v>任务接受/拒绝与承诺</x:v>
      </x:c>
      <x:c r="E334" s="30" t="str">
        <x:v>可候选；Agent决定是否创建/执行</x:v>
      </x:c>
      <x:c r="F334" s="30" t="str">
        <x:v>基线：依实际装配启用</x:v>
      </x:c>
    </x:row>
    <x:row r="335" ht="40" customHeight="1">
      <x:c r="A335" s="30" t="str">
        <x:v>SC04</x:v>
      </x:c>
      <x:c r="B335" s="30" t="str">
        <x:v>海啸/风暴潮沿海淹没</x:v>
      </x:c>
      <x:c r="C335" s="30" t="str">
        <x:v>T082</x:v>
      </x:c>
      <x:c r="D335" s="30" t="str">
        <x:v>进度监控与完成确认</x:v>
      </x:c>
      <x:c r="E335" s="30" t="str">
        <x:v>可候选；Agent决定是否创建/执行</x:v>
      </x:c>
      <x:c r="F335" s="30" t="str">
        <x:v>基线：依实际装配启用</x:v>
      </x:c>
    </x:row>
    <x:row r="336" ht="40" customHeight="1">
      <x:c r="A336" s="30" t="str">
        <x:v>SC04</x:v>
      </x:c>
      <x:c r="B336" s="30" t="str">
        <x:v>海啸/风暴潮沿海淹没</x:v>
      </x:c>
      <x:c r="C336" s="30" t="str">
        <x:v>T083</x:v>
      </x:c>
      <x:c r="D336" s="30" t="str">
        <x:v>任务取消/抢占</x:v>
      </x:c>
      <x:c r="E336" s="30" t="str">
        <x:v>可候选；Agent决定是否创建/执行</x:v>
      </x:c>
      <x:c r="F336" s="30" t="str">
        <x:v>基线：依实际装配启用</x:v>
      </x:c>
    </x:row>
    <x:row r="337" ht="40" customHeight="1">
      <x:c r="A337" s="30" t="str">
        <x:v>SC04</x:v>
      </x:c>
      <x:c r="B337" s="30" t="str">
        <x:v>海啸/风暴潮沿海淹没</x:v>
      </x:c>
      <x:c r="C337" s="30" t="str">
        <x:v>T084</x:v>
      </x:c>
      <x:c r="D337" s="30" t="str">
        <x:v>恢复原任务</x:v>
      </x:c>
      <x:c r="E337" s="30" t="str">
        <x:v>可候选；Agent决定是否创建/执行</x:v>
      </x:c>
      <x:c r="F337" s="30" t="str">
        <x:v>基线：依实际装配启用</x:v>
      </x:c>
    </x:row>
    <x:row r="338" ht="40" customHeight="1">
      <x:c r="A338" s="30" t="str">
        <x:v>SC04</x:v>
      </x:c>
      <x:c r="B338" s="30" t="str">
        <x:v>海啸/风暴潮沿海淹没</x:v>
      </x:c>
      <x:c r="C338" s="30" t="str">
        <x:v>T085</x:v>
      </x:c>
      <x:c r="D338" s="30" t="str">
        <x:v>跨Agent任务与证据交接</x:v>
      </x:c>
      <x:c r="E338" s="30" t="str">
        <x:v>可候选；Agent决定是否创建/执行</x:v>
      </x:c>
      <x:c r="F338" s="30" t="str">
        <x:v>基线：依实际装配启用</x:v>
      </x:c>
    </x:row>
    <x:row r="339" ht="40" customHeight="1">
      <x:c r="A339" s="30" t="str">
        <x:v>SC04</x:v>
      </x:c>
      <x:c r="B339" s="30" t="str">
        <x:v>海啸/风暴潮沿海淹没</x:v>
      </x:c>
      <x:c r="C339" s="30" t="str">
        <x:v>T086</x:v>
      </x:c>
      <x:c r="D339" s="30" t="str">
        <x:v>失败重规划与重派</x:v>
      </x:c>
      <x:c r="E339" s="30" t="str">
        <x:v>可候选；Agent决定是否创建/执行</x:v>
      </x:c>
      <x:c r="F339" s="30" t="str">
        <x:v>基线：依实际装配启用</x:v>
      </x:c>
    </x:row>
    <x:row r="340" ht="40" customHeight="1">
      <x:c r="A340" s="30" t="str">
        <x:v>SC04</x:v>
      </x:c>
      <x:c r="B340" s="30" t="str">
        <x:v>海啸/风暴潮沿海淹没</x:v>
      </x:c>
      <x:c r="C340" s="30" t="str">
        <x:v>T087</x:v>
      </x:c>
      <x:c r="D340" s="30" t="str">
        <x:v>请求专业救援/工程力量</x:v>
      </x:c>
      <x:c r="E340" s="30" t="str">
        <x:v>可候选；Agent决定是否创建/执行</x:v>
      </x:c>
      <x:c r="F340" s="30" t="str">
        <x:v>基线：依实际装配启用</x:v>
      </x:c>
    </x:row>
    <x:row r="341" ht="40" customHeight="1">
      <x:c r="A341" s="30" t="str">
        <x:v>SC04</x:v>
      </x:c>
      <x:c r="B341" s="30" t="str">
        <x:v>海啸/风暴潮沿海淹没</x:v>
      </x:c>
      <x:c r="C341" s="30" t="str">
        <x:v>T088</x:v>
      </x:c>
      <x:c r="D341" s="30" t="str">
        <x:v>工作现场闭合与阶段移交</x:v>
      </x:c>
      <x:c r="E341" s="30" t="str">
        <x:v>可候选；Agent决定是否创建/执行</x:v>
      </x:c>
      <x:c r="F341" s="30" t="str">
        <x:v>基线：依实际装配启用</x:v>
      </x:c>
    </x:row>
    <x:row r="342" ht="40" customHeight="1">
      <x:c r="A342" s="30" t="str">
        <x:v>SC04</x:v>
      </x:c>
      <x:c r="B342" s="30" t="str">
        <x:v>海啸/风暴潮沿海淹没</x:v>
      </x:c>
      <x:c r="C342" s="30" t="str">
        <x:v>T089</x:v>
      </x:c>
      <x:c r="D342" s="30" t="str">
        <x:v>次生危险动态监视</x:v>
      </x:c>
      <x:c r="E342" s="30" t="str">
        <x:v>可候选；Agent决定是否创建/执行</x:v>
      </x:c>
      <x:c r="F342" s="30" t="str">
        <x:v>基线：依实际装配启用</x:v>
      </x:c>
    </x:row>
    <x:row r="343" ht="40" customHeight="1">
      <x:c r="A343" s="30" t="str">
        <x:v>SC04</x:v>
      </x:c>
      <x:c r="B343" s="30" t="str">
        <x:v>海啸/风暴潮沿海淹没</x:v>
      </x:c>
      <x:c r="C343" s="30" t="str">
        <x:v>T090</x:v>
      </x:c>
      <x:c r="D343" s="30" t="str">
        <x:v>平台/能源/服务健康监视</x:v>
      </x:c>
      <x:c r="E343" s="30" t="str">
        <x:v>可候选；Agent决定是否创建/执行</x:v>
      </x:c>
      <x:c r="F343" s="30" t="str">
        <x:v>基线：依实际装配启用</x:v>
      </x:c>
    </x:row>
    <x:row r="344" ht="40" customHeight="1">
      <x:c r="A344" s="30" t="str">
        <x:v>SC04</x:v>
      </x:c>
      <x:c r="B344" s="30" t="str">
        <x:v>海啸/风暴潮沿海淹没</x:v>
      </x:c>
      <x:c r="C344" s="30" t="str">
        <x:v>T091</x:v>
      </x:c>
      <x:c r="D344" s="30" t="str">
        <x:v>安全等待与驻留观察</x:v>
      </x:c>
      <x:c r="E344" s="30" t="str">
        <x:v>可候选；Agent决定是否创建/执行</x:v>
      </x:c>
      <x:c r="F344" s="30" t="str">
        <x:v>基线：依实际装配启用</x:v>
      </x:c>
    </x:row>
    <x:row r="345" ht="40" customHeight="1">
      <x:c r="A345" s="30" t="str">
        <x:v>SC04</x:v>
      </x:c>
      <x:c r="B345" s="30" t="str">
        <x:v>海啸/风暴潮沿海淹没</x:v>
      </x:c>
      <x:c r="C345" s="30" t="str">
        <x:v>T092</x:v>
      </x:c>
      <x:c r="D345" s="30" t="str">
        <x:v>设备/传感器/服务故障诊断</x:v>
      </x:c>
      <x:c r="E345" s="30" t="str">
        <x:v>可候选；Agent决定是否创建/执行</x:v>
      </x:c>
      <x:c r="F345" s="30" t="str">
        <x:v>基线：依实际装配启用</x:v>
      </x:c>
    </x:row>
    <x:row r="346" ht="40" customHeight="1">
      <x:c r="A346" s="30" t="str">
        <x:v>SC04</x:v>
      </x:c>
      <x:c r="B346" s="30" t="str">
        <x:v>海啸/风暴潮沿海淹没</x:v>
      </x:c>
      <x:c r="C346" s="30" t="str">
        <x:v>T096</x:v>
      </x:c>
      <x:c r="D346" s="30" t="str">
        <x:v>跨模型特征/潜表示适配</x:v>
      </x:c>
      <x:c r="E346" s="30" t="str">
        <x:v>可候选；Agent决定是否创建/执行</x:v>
      </x:c>
      <x:c r="F346" s="30" t="str">
        <x:v>条件扩展：明确设备/专业服务后启用</x:v>
      </x:c>
    </x:row>
    <x:row r="347" ht="40" customHeight="1">
      <x:c r="A347" s="30" t="str">
        <x:v>SC05</x:v>
      </x:c>
      <x:c r="B347" s="30" t="str">
        <x:v>海上/开放水域落水人员</x:v>
      </x:c>
      <x:c r="C347" s="30" t="str">
        <x:v>T001</x:v>
      </x:c>
      <x:c r="D347" s="30" t="str">
        <x:v>区域快速普查</x:v>
      </x:c>
      <x:c r="E347" s="30" t="str">
        <x:v>可候选；Agent决定是否创建/执行</x:v>
      </x:c>
      <x:c r="F347" s="30" t="str">
        <x:v>基线：依实际装配启用</x:v>
      </x:c>
    </x:row>
    <x:row r="348" ht="40" customHeight="1">
      <x:c r="A348" s="30" t="str">
        <x:v>SC05</x:v>
      </x:c>
      <x:c r="B348" s="30" t="str">
        <x:v>海上/开放水域落水人员</x:v>
      </x:c>
      <x:c r="C348" s="30" t="str">
        <x:v>T005</x:v>
      </x:c>
      <x:c r="D348" s="30" t="str">
        <x:v>水域边界与涉水条件评估</x:v>
      </x:c>
      <x:c r="E348" s="30" t="str">
        <x:v>可候选；Agent决定是否创建/执行</x:v>
      </x:c>
      <x:c r="F348" s="30" t="str">
        <x:v>基线：依实际装配启用</x:v>
      </x:c>
    </x:row>
    <x:row r="349" ht="40" customHeight="1">
      <x:c r="A349" s="30" t="str">
        <x:v>SC05</x:v>
      </x:c>
      <x:c r="B349" s="30" t="str">
        <x:v>海上/开放水域落水人员</x:v>
      </x:c>
      <x:c r="C349" s="30" t="str">
        <x:v>T009</x:v>
      </x:c>
      <x:c r="D349" s="30" t="str">
        <x:v>系统空中人员搜索</x:v>
      </x:c>
      <x:c r="E349" s="30" t="str">
        <x:v>可候选；Agent决定是否创建/执行</x:v>
      </x:c>
      <x:c r="F349" s="30" t="str">
        <x:v>基线：依实际装配启用</x:v>
      </x:c>
    </x:row>
    <x:row r="350" ht="40" customHeight="1">
      <x:c r="A350" s="30" t="str">
        <x:v>SC05</x:v>
      </x:c>
      <x:c r="B350" s="30" t="str">
        <x:v>海上/开放水域落水人员</x:v>
      </x:c>
      <x:c r="C350" s="30" t="str">
        <x:v>T010</x:v>
      </x:c>
      <x:c r="D350" s="30" t="str">
        <x:v>线索发现与语义解读</x:v>
      </x:c>
      <x:c r="E350" s="30" t="str">
        <x:v>可候选；Agent决定是否创建/执行</x:v>
      </x:c>
      <x:c r="F350" s="30" t="str">
        <x:v>基线：依实际装配启用</x:v>
      </x:c>
    </x:row>
    <x:row r="351" ht="40" customHeight="1">
      <x:c r="A351" s="30" t="str">
        <x:v>SC05</x:v>
      </x:c>
      <x:c r="B351" s="30" t="str">
        <x:v>海上/开放水域落水人员</x:v>
      </x:c>
      <x:c r="C351" s="30" t="str">
        <x:v>T011</x:v>
      </x:c>
      <x:c r="D351" s="30" t="str">
        <x:v>疑似目标多视角复核</x:v>
      </x:c>
      <x:c r="E351" s="30" t="str">
        <x:v>可候选；Agent决定是否创建/执行</x:v>
      </x:c>
      <x:c r="F351" s="30" t="str">
        <x:v>基线：依实际装配启用</x:v>
      </x:c>
    </x:row>
    <x:row r="352" ht="40" customHeight="1">
      <x:c r="A352" s="30" t="str">
        <x:v>SC05</x:v>
      </x:c>
      <x:c r="B352" s="30" t="str">
        <x:v>海上/开放水域落水人员</x:v>
      </x:c>
      <x:c r="C352" s="30" t="str">
        <x:v>T012</x:v>
      </x:c>
      <x:c r="D352" s="30" t="str">
        <x:v>目标定位跟踪与跨视角关联</x:v>
      </x:c>
      <x:c r="E352" s="30" t="str">
        <x:v>可候选；Agent决定是否创建/执行</x:v>
      </x:c>
      <x:c r="F352" s="30" t="str">
        <x:v>基线：依实际装配启用</x:v>
      </x:c>
    </x:row>
    <x:row r="353" ht="40" customHeight="1">
      <x:c r="A353" s="30" t="str">
        <x:v>SC05</x:v>
      </x:c>
      <x:c r="B353" s="30" t="str">
        <x:v>海上/开放水域落水人员</x:v>
      </x:c>
      <x:c r="C353" s="30" t="str">
        <x:v>T016</x:v>
      </x:c>
      <x:c r="D353" s="30" t="str">
        <x:v>热成像补充搜索</x:v>
      </x:c>
      <x:c r="E353" s="30" t="str">
        <x:v>可候选；Agent决定是否创建/执行</x:v>
      </x:c>
      <x:c r="F353" s="30" t="str">
        <x:v>条件扩展：明确设备/专业服务后启用</x:v>
      </x:c>
    </x:row>
    <x:row r="354" ht="40" customHeight="1">
      <x:c r="A354" s="30" t="str">
        <x:v>SC05</x:v>
      </x:c>
      <x:c r="B354" s="30" t="str">
        <x:v>海上/开放水域落水人员</x:v>
      </x:c>
      <x:c r="C354" s="30" t="str">
        <x:v>T019</x:v>
      </x:c>
      <x:c r="D354" s="30" t="str">
        <x:v>空中转场与观察点到达</x:v>
      </x:c>
      <x:c r="E354" s="30" t="str">
        <x:v>可候选；Agent决定是否创建/执行</x:v>
      </x:c>
      <x:c r="F354" s="30" t="str">
        <x:v>基线：依实际装配启用</x:v>
      </x:c>
    </x:row>
    <x:row r="355" ht="40" customHeight="1">
      <x:c r="A355" s="30" t="str">
        <x:v>SC05</x:v>
      </x:c>
      <x:c r="B355" s="30" t="str">
        <x:v>海上/开放水域落水人员</x:v>
      </x:c>
      <x:c r="C355" s="30" t="str">
        <x:v>T020</x:v>
      </x:c>
      <x:c r="D355" s="30" t="str">
        <x:v>地面转场与绕行</x:v>
      </x:c>
      <x:c r="E355" s="30" t="str">
        <x:v>可候选；Agent决定是否创建/执行</x:v>
      </x:c>
      <x:c r="F355" s="30" t="str">
        <x:v>基线：依实际装配启用</x:v>
      </x:c>
    </x:row>
    <x:row r="356" ht="40" customHeight="1">
      <x:c r="A356" s="30" t="str">
        <x:v>SC05</x:v>
      </x:c>
      <x:c r="B356" s="30" t="str">
        <x:v>海上/开放水域落水人员</x:v>
      </x:c>
      <x:c r="C356" s="30" t="str">
        <x:v>T021</x:v>
      </x:c>
      <x:c r="D356" s="30" t="str">
        <x:v>障碍接近探测与路径验证</x:v>
      </x:c>
      <x:c r="E356" s="30" t="str">
        <x:v>可候选；Agent决定是否创建/执行</x:v>
      </x:c>
      <x:c r="F356" s="30" t="str">
        <x:v>基线：依实际装配启用</x:v>
      </x:c>
    </x:row>
    <x:row r="357" ht="40" customHeight="1">
      <x:c r="A357" s="30" t="str">
        <x:v>SC05</x:v>
      </x:c>
      <x:c r="B357" s="30" t="str">
        <x:v>海上/开放水域落水人员</x:v>
      </x:c>
      <x:c r="C357" s="30" t="str">
        <x:v>T027</x:v>
      </x:c>
      <x:c r="D357" s="30" t="str">
        <x:v>建立联系并确认需求</x:v>
      </x:c>
      <x:c r="E357" s="30" t="str">
        <x:v>可候选；Agent决定是否创建/执行</x:v>
      </x:c>
      <x:c r="F357" s="30" t="str">
        <x:v>基线：依实际装配启用</x:v>
      </x:c>
    </x:row>
    <x:row r="358" ht="40" customHeight="1">
      <x:c r="A358" s="30" t="str">
        <x:v>SC05</x:v>
      </x:c>
      <x:c r="B358" s="30" t="str">
        <x:v>海上/开放水域落水人员</x:v>
      </x:c>
      <x:c r="C358" s="30" t="str">
        <x:v>T028</x:v>
      </x:c>
      <x:c r="D358" s="30" t="str">
        <x:v>安全警示与避险引导</x:v>
      </x:c>
      <x:c r="E358" s="30" t="str">
        <x:v>可候选；Agent决定是否创建/执行</x:v>
      </x:c>
      <x:c r="F358" s="30" t="str">
        <x:v>基线：依实际装配启用</x:v>
      </x:c>
    </x:row>
    <x:row r="359" ht="40" customHeight="1">
      <x:c r="A359" s="30" t="str">
        <x:v>SC05</x:v>
      </x:c>
      <x:c r="B359" s="30" t="str">
        <x:v>海上/开放水域落水人员</x:v>
      </x:c>
      <x:c r="C359" s="30" t="str">
        <x:v>T029</x:v>
      </x:c>
      <x:c r="D359" s="30" t="str">
        <x:v>专业伤员评估与分级</x:v>
      </x:c>
      <x:c r="E359" s="30" t="str">
        <x:v>可候选；Agent决定是否创建/执行</x:v>
      </x:c>
      <x:c r="F359" s="30" t="str">
        <x:v>条件扩展：明确设备/专业服务后启用</x:v>
      </x:c>
    </x:row>
    <x:row r="360" ht="40" customHeight="1">
      <x:c r="A360" s="30" t="str">
        <x:v>SC05</x:v>
      </x:c>
      <x:c r="B360" s="30" t="str">
        <x:v>海上/开放水域落水人员</x:v>
      </x:c>
      <x:c r="C360" s="30" t="str">
        <x:v>T030</x:v>
      </x:c>
      <x:c r="D360" s="30" t="str">
        <x:v>人员基础物资支援</x:v>
      </x:c>
      <x:c r="E360" s="30" t="str">
        <x:v>可候选；Agent决定是否创建/执行</x:v>
      </x:c>
      <x:c r="F360" s="30" t="str">
        <x:v>基线：依实际装配启用</x:v>
      </x:c>
    </x:row>
    <x:row r="361" ht="40" customHeight="1">
      <x:c r="A361" s="30" t="str">
        <x:v>SC05</x:v>
      </x:c>
      <x:c r="B361" s="30" t="str">
        <x:v>海上/开放水域落水人员</x:v>
      </x:c>
      <x:c r="C361" s="30" t="str">
        <x:v>T033</x:v>
      </x:c>
      <x:c r="D361" s="30" t="str">
        <x:v>人员装载</x:v>
      </x:c>
      <x:c r="E361" s="30" t="str">
        <x:v>可候选；Agent决定是否创建/执行</x:v>
      </x:c>
      <x:c r="F361" s="30" t="str">
        <x:v>条件扩展：明确设备/专业服务后启用</x:v>
      </x:c>
    </x:row>
    <x:row r="362" ht="40" customHeight="1">
      <x:c r="A362" s="30" t="str">
        <x:v>SC05</x:v>
      </x:c>
      <x:c r="B362" s="30" t="str">
        <x:v>海上/开放水域落水人员</x:v>
      </x:c>
      <x:c r="C362" s="30" t="str">
        <x:v>T034</x:v>
      </x:c>
      <x:c r="D362" s="30" t="str">
        <x:v>人员转运</x:v>
      </x:c>
      <x:c r="E362" s="30" t="str">
        <x:v>可候选；Agent决定是否创建/执行</x:v>
      </x:c>
      <x:c r="F362" s="30" t="str">
        <x:v>条件扩展：明确设备/专业服务后启用</x:v>
      </x:c>
    </x:row>
    <x:row r="363" ht="40" customHeight="1">
      <x:c r="A363" s="30" t="str">
        <x:v>SC05</x:v>
      </x:c>
      <x:c r="B363" s="30" t="str">
        <x:v>海上/开放水域落水人员</x:v>
      </x:c>
      <x:c r="C363" s="30" t="str">
        <x:v>T035</x:v>
      </x:c>
      <x:c r="D363" s="30" t="str">
        <x:v>救援/医疗最终移交</x:v>
      </x:c>
      <x:c r="E363" s="30" t="str">
        <x:v>可候选；Agent决定是否创建/执行</x:v>
      </x:c>
      <x:c r="F363" s="30" t="str">
        <x:v>条件扩展：明确设备/专业服务后启用</x:v>
      </x:c>
    </x:row>
    <x:row r="364" ht="40" customHeight="1">
      <x:c r="A364" s="30" t="str">
        <x:v>SC05</x:v>
      </x:c>
      <x:c r="B364" s="30" t="str">
        <x:v>海上/开放水域落水人员</x:v>
      </x:c>
      <x:c r="C364" s="30" t="str">
        <x:v>T036</x:v>
      </x:c>
      <x:c r="D364" s="30" t="str">
        <x:v>水中人员救助回收</x:v>
      </x:c>
      <x:c r="E364" s="30" t="str">
        <x:v>可候选；Agent决定是否创建/执行</x:v>
      </x:c>
      <x:c r="F364" s="30" t="str">
        <x:v>条件扩展：明确设备/专业服务后启用</x:v>
      </x:c>
    </x:row>
    <x:row r="365" ht="40" customHeight="1">
      <x:c r="A365" s="30" t="str">
        <x:v>SC05</x:v>
      </x:c>
      <x:c r="B365" s="30" t="str">
        <x:v>海上/开放水域落水人员</x:v>
      </x:c>
      <x:c r="C365" s="30" t="str">
        <x:v>T038</x:v>
      </x:c>
      <x:c r="D365" s="30" t="str">
        <x:v>货物取用与挂载</x:v>
      </x:c>
      <x:c r="E365" s="30" t="str">
        <x:v>可候选；Agent决定是否创建/执行</x:v>
      </x:c>
      <x:c r="F365" s="30" t="str">
        <x:v>基线：依实际装配启用</x:v>
      </x:c>
    </x:row>
    <x:row r="366" ht="40" customHeight="1">
      <x:c r="A366" s="30" t="str">
        <x:v>SC05</x:v>
      </x:c>
      <x:c r="B366" s="30" t="str">
        <x:v>海上/开放水域落水人员</x:v>
      </x:c>
      <x:c r="C366" s="30" t="str">
        <x:v>T039</x:v>
      </x:c>
      <x:c r="D366" s="30" t="str">
        <x:v>无人机精确物资投送</x:v>
      </x:c>
      <x:c r="E366" s="30" t="str">
        <x:v>可候选；Agent决定是否创建/执行</x:v>
      </x:c>
      <x:c r="F366" s="30" t="str">
        <x:v>基线：依实际装配启用</x:v>
      </x:c>
    </x:row>
    <x:row r="367" ht="40" customHeight="1">
      <x:c r="A367" s="30" t="str">
        <x:v>SC05</x:v>
      </x:c>
      <x:c r="B367" s="30" t="str">
        <x:v>海上/开放水域落水人员</x:v>
      </x:c>
      <x:c r="C367" s="30" t="str">
        <x:v>T040</x:v>
      </x:c>
      <x:c r="D367" s="30" t="str">
        <x:v>地面物资送达与卸放</x:v>
      </x:c>
      <x:c r="E367" s="30" t="str">
        <x:v>可候选；Agent决定是否创建/执行</x:v>
      </x:c>
      <x:c r="F367" s="30" t="str">
        <x:v>基线：依实际装配启用</x:v>
      </x:c>
    </x:row>
    <x:row r="368" ht="40" customHeight="1">
      <x:c r="A368" s="30" t="str">
        <x:v>SC05</x:v>
      </x:c>
      <x:c r="B368" s="30" t="str">
        <x:v>海上/开放水域落水人员</x:v>
      </x:c>
      <x:c r="C368" s="30" t="str">
        <x:v>T041</x:v>
      </x:c>
      <x:c r="D368" s="30" t="str">
        <x:v>交付复核与收货报告</x:v>
      </x:c>
      <x:c r="E368" s="30" t="str">
        <x:v>可候选；Agent决定是否创建/执行</x:v>
      </x:c>
      <x:c r="F368" s="30" t="str">
        <x:v>基线：依实际装配启用</x:v>
      </x:c>
    </x:row>
    <x:row r="369" ht="40" customHeight="1">
      <x:c r="A369" s="30" t="str">
        <x:v>SC05</x:v>
      </x:c>
      <x:c r="B369" s="30" t="str">
        <x:v>海上/开放水域落水人员</x:v>
      </x:c>
      <x:c r="C369" s="30" t="str">
        <x:v>T042</x:v>
      </x:c>
      <x:c r="D369" s="30" t="str">
        <x:v>物资/器材补给</x:v>
      </x:c>
      <x:c r="E369" s="30" t="str">
        <x:v>可候选；Agent决定是否创建/执行</x:v>
      </x:c>
      <x:c r="F369" s="30" t="str">
        <x:v>基线：依实际装配启用</x:v>
      </x:c>
    </x:row>
    <x:row r="370" ht="40" customHeight="1">
      <x:c r="A370" s="30" t="str">
        <x:v>SC05</x:v>
      </x:c>
      <x:c r="B370" s="30" t="str">
        <x:v>海上/开放水域落水人员</x:v>
      </x:c>
      <x:c r="C370" s="30" t="str">
        <x:v>T043</x:v>
      </x:c>
      <x:c r="D370" s="30" t="str">
        <x:v>平台充电</x:v>
      </x:c>
      <x:c r="E370" s="30" t="str">
        <x:v>可候选；Agent决定是否创建/执行</x:v>
      </x:c>
      <x:c r="F370" s="30" t="str">
        <x:v>基线：依实际装配启用</x:v>
      </x:c>
    </x:row>
    <x:row r="371" ht="40" customHeight="1">
      <x:c r="A371" s="30" t="str">
        <x:v>SC05</x:v>
      </x:c>
      <x:c r="B371" s="30" t="str">
        <x:v>海上/开放水域落水人员</x:v>
      </x:c>
      <x:c r="C371" s="30" t="str">
        <x:v>T044</x:v>
      </x:c>
      <x:c r="D371" s="30" t="str">
        <x:v>平台换电</x:v>
      </x:c>
      <x:c r="E371" s="30" t="str">
        <x:v>可候选；Agent决定是否创建/执行</x:v>
      </x:c>
      <x:c r="F371" s="30" t="str">
        <x:v>基线：依实际装配启用</x:v>
      </x:c>
    </x:row>
    <x:row r="372" ht="40" customHeight="1">
      <x:c r="A372" s="30" t="str">
        <x:v>SC05</x:v>
      </x:c>
      <x:c r="B372" s="30" t="str">
        <x:v>海上/开放水域落水人员</x:v>
      </x:c>
      <x:c r="C372" s="30" t="str">
        <x:v>T045</x:v>
      </x:c>
      <x:c r="D372" s="30" t="str">
        <x:v>返航/返站与安全撤离</x:v>
      </x:c>
      <x:c r="E372" s="30" t="str">
        <x:v>可候选；Agent决定是否创建/执行</x:v>
      </x:c>
      <x:c r="F372" s="30" t="str">
        <x:v>基线：依实际装配启用</x:v>
      </x:c>
    </x:row>
    <x:row r="373" ht="40" customHeight="1">
      <x:c r="A373" s="30" t="str">
        <x:v>SC05</x:v>
      </x:c>
      <x:c r="B373" s="30" t="str">
        <x:v>海上/开放水域落水人员</x:v>
      </x:c>
      <x:c r="C373" s="30" t="str">
        <x:v>T046</x:v>
      </x:c>
      <x:c r="D373" s="30" t="str">
        <x:v>失效平台回收</x:v>
      </x:c>
      <x:c r="E373" s="30" t="str">
        <x:v>可候选；Agent决定是否创建/执行</x:v>
      </x:c>
      <x:c r="F373" s="30" t="str">
        <x:v>条件扩展：明确设备/专业服务后启用</x:v>
      </x:c>
    </x:row>
    <x:row r="374" ht="40" customHeight="1">
      <x:c r="A374" s="30" t="str">
        <x:v>SC05</x:v>
      </x:c>
      <x:c r="B374" s="30" t="str">
        <x:v>海上/开放水域落水人员</x:v>
      </x:c>
      <x:c r="C374" s="30" t="str">
        <x:v>T047</x:v>
      </x:c>
      <x:c r="D374" s="30" t="str">
        <x:v>链路探测与质量估计</x:v>
      </x:c>
      <x:c r="E374" s="30" t="str">
        <x:v>可候选；Agent决定是否创建/执行</x:v>
      </x:c>
      <x:c r="F374" s="30" t="str">
        <x:v>基线：依实际装配启用</x:v>
      </x:c>
    </x:row>
    <x:row r="375" ht="40" customHeight="1">
      <x:c r="A375" s="30" t="str">
        <x:v>SC05</x:v>
      </x:c>
      <x:c r="B375" s="30" t="str">
        <x:v>海上/开放水域落水人员</x:v>
      </x:c>
      <x:c r="C375" s="30" t="str">
        <x:v>T048</x:v>
      </x:c>
      <x:c r="D375" s="30" t="str">
        <x:v>通信会合与重定位</x:v>
      </x:c>
      <x:c r="E375" s="30" t="str">
        <x:v>可候选；Agent决定是否创建/执行</x:v>
      </x:c>
      <x:c r="F375" s="30" t="str">
        <x:v>基线：依实际装配启用</x:v>
      </x:c>
    </x:row>
    <x:row r="376" ht="40" customHeight="1">
      <x:c r="A376" s="30" t="str">
        <x:v>SC05</x:v>
      </x:c>
      <x:c r="B376" s="30" t="str">
        <x:v>海上/开放水域落水人员</x:v>
      </x:c>
      <x:c r="C376" s="30" t="str">
        <x:v>T049</x:v>
      </x:c>
      <x:c r="D376" s="30" t="str">
        <x:v>空中中继保持</x:v>
      </x:c>
      <x:c r="E376" s="30" t="str">
        <x:v>可候选；Agent决定是否创建/执行</x:v>
      </x:c>
      <x:c r="F376" s="30" t="str">
        <x:v>基线：依实际装配启用</x:v>
      </x:c>
    </x:row>
    <x:row r="377" ht="40" customHeight="1">
      <x:c r="A377" s="30" t="str">
        <x:v>SC05</x:v>
      </x:c>
      <x:c r="B377" s="30" t="str">
        <x:v>海上/开放水域落水人员</x:v>
      </x:c>
      <x:c r="C377" s="30" t="str">
        <x:v>T050</x:v>
      </x:c>
      <x:c r="D377" s="30" t="str">
        <x:v>通信节点布放</x:v>
      </x:c>
      <x:c r="E377" s="30" t="str">
        <x:v>可候选；Agent决定是否创建/执行</x:v>
      </x:c>
      <x:c r="F377" s="30" t="str">
        <x:v>条件扩展：明确设备/专业服务后启用</x:v>
      </x:c>
    </x:row>
    <x:row r="378" ht="40" customHeight="1">
      <x:c r="A378" s="30" t="str">
        <x:v>SC05</x:v>
      </x:c>
      <x:c r="B378" s="30" t="str">
        <x:v>海上/开放水域落水人员</x:v>
      </x:c>
      <x:c r="C378" s="30" t="str">
        <x:v>T051</x:v>
      </x:c>
      <x:c r="D378" s="30" t="str">
        <x:v>多跳业务转发</x:v>
      </x:c>
      <x:c r="E378" s="30" t="str">
        <x:v>可候选；Agent决定是否创建/执行</x:v>
      </x:c>
      <x:c r="F378" s="30" t="str">
        <x:v>基线：依实际装配启用</x:v>
      </x:c>
    </x:row>
    <x:row r="379" ht="40" customHeight="1">
      <x:c r="A379" s="30" t="str">
        <x:v>SC05</x:v>
      </x:c>
      <x:c r="B379" s="30" t="str">
        <x:v>海上/开放水域落水人员</x:v>
      </x:c>
      <x:c r="C379" s="30" t="str">
        <x:v>T052</x:v>
      </x:c>
      <x:c r="D379" s="30" t="str">
        <x:v>图像/证据数据上传</x:v>
      </x:c>
      <x:c r="E379" s="30" t="str">
        <x:v>可候选；Agent决定是否创建/执行</x:v>
      </x:c>
      <x:c r="F379" s="30" t="str">
        <x:v>基线：依实际装配启用</x:v>
      </x:c>
    </x:row>
    <x:row r="380" ht="40" customHeight="1">
      <x:c r="A380" s="30" t="str">
        <x:v>SC05</x:v>
      </x:c>
      <x:c r="B380" s="30" t="str">
        <x:v>海上/开放水域落水人员</x:v>
      </x:c>
      <x:c r="C380" s="30" t="str">
        <x:v>T053</x:v>
      </x:c>
      <x:c r="D380" s="30" t="str">
        <x:v>可靠回执与超时重传</x:v>
      </x:c>
      <x:c r="E380" s="30" t="str">
        <x:v>可候选；Agent决定是否创建/执行</x:v>
      </x:c>
      <x:c r="F380" s="30" t="str">
        <x:v>基线：依实际装配启用</x:v>
      </x:c>
    </x:row>
    <x:row r="381" ht="40" customHeight="1">
      <x:c r="A381" s="30" t="str">
        <x:v>SC05</x:v>
      </x:c>
      <x:c r="B381" s="30" t="str">
        <x:v>海上/开放水域落水人员</x:v>
      </x:c>
      <x:c r="C381" s="30" t="str">
        <x:v>T054</x:v>
      </x:c>
      <x:c r="D381" s="30" t="str">
        <x:v>断联存储-携带-转发</x:v>
      </x:c>
      <x:c r="E381" s="30" t="str">
        <x:v>可候选；Agent决定是否创建/执行</x:v>
      </x:c>
      <x:c r="F381" s="30" t="str">
        <x:v>基线：依实际装配启用</x:v>
      </x:c>
    </x:row>
    <x:row r="382" ht="40" customHeight="1">
      <x:c r="A382" s="30" t="str">
        <x:v>SC05</x:v>
      </x:c>
      <x:c r="B382" s="30" t="str">
        <x:v>海上/开放水域落水人员</x:v>
      </x:c>
      <x:c r="C382" s="30" t="str">
        <x:v>T055</x:v>
      </x:c>
      <x:c r="D382" s="30" t="str">
        <x:v>信道/功率/传输优先级调整</x:v>
      </x:c>
      <x:c r="E382" s="30" t="str">
        <x:v>可候选；Agent决定是否创建/执行</x:v>
      </x:c>
      <x:c r="F382" s="30" t="str">
        <x:v>基线：依实际装配启用</x:v>
      </x:c>
    </x:row>
    <x:row r="383" ht="40" customHeight="1">
      <x:c r="A383" s="30" t="str">
        <x:v>SC05</x:v>
      </x:c>
      <x:c r="B383" s="30" t="str">
        <x:v>海上/开放水域落水人员</x:v>
      </x:c>
      <x:c r="C383" s="30" t="str">
        <x:v>T056</x:v>
      </x:c>
      <x:c r="D383" s="30" t="str">
        <x:v>失联后的连接恢复</x:v>
      </x:c>
      <x:c r="E383" s="30" t="str">
        <x:v>可候选；Agent决定是否创建/执行</x:v>
      </x:c>
      <x:c r="F383" s="30" t="str">
        <x:v>基线：依实际装配启用</x:v>
      </x:c>
    </x:row>
    <x:row r="384" ht="40" customHeight="1">
      <x:c r="A384" s="30" t="str">
        <x:v>SC05</x:v>
      </x:c>
      <x:c r="B384" s="30" t="str">
        <x:v>海上/开放水域落水人员</x:v>
      </x:c>
      <x:c r="C384" s="30" t="str">
        <x:v>T057</x:v>
      </x:c>
      <x:c r="D384" s="30" t="str">
        <x:v>计算与模型服务发现</x:v>
      </x:c>
      <x:c r="E384" s="30" t="str">
        <x:v>可候选；Agent决定是否创建/执行</x:v>
      </x:c>
      <x:c r="F384" s="30" t="str">
        <x:v>基线：依实际装配启用</x:v>
      </x:c>
    </x:row>
    <x:row r="385" ht="40" customHeight="1">
      <x:c r="A385" s="30" t="str">
        <x:v>SC05</x:v>
      </x:c>
      <x:c r="B385" s="30" t="str">
        <x:v>海上/开放水域落水人员</x:v>
      </x:c>
      <x:c r="C385" s="30" t="str">
        <x:v>T058</x:v>
      </x:c>
      <x:c r="D385" s="30" t="str">
        <x:v>本地视觉检测</x:v>
      </x:c>
      <x:c r="E385" s="30" t="str">
        <x:v>可候选；Agent决定是否创建/执行</x:v>
      </x:c>
      <x:c r="F385" s="30" t="str">
        <x:v>基线：依实际装配启用</x:v>
      </x:c>
    </x:row>
    <x:row r="386" ht="40" customHeight="1">
      <x:c r="A386" s="30" t="str">
        <x:v>SC05</x:v>
      </x:c>
      <x:c r="B386" s="30" t="str">
        <x:v>海上/开放水域落水人员</x:v>
      </x:c>
      <x:c r="C386" s="30" t="str">
        <x:v>T059</x:v>
      </x:c>
      <x:c r="D386" s="30" t="str">
        <x:v>本地语义/任务推理</x:v>
      </x:c>
      <x:c r="E386" s="30" t="str">
        <x:v>可候选；Agent决定是否创建/执行</x:v>
      </x:c>
      <x:c r="F386" s="30" t="str">
        <x:v>基线：依实际装配启用</x:v>
      </x:c>
    </x:row>
    <x:row r="387" ht="40" customHeight="1">
      <x:c r="A387" s="30" t="str">
        <x:v>SC05</x:v>
      </x:c>
      <x:c r="B387" s="30" t="str">
        <x:v>海上/开放水域落水人员</x:v>
      </x:c>
      <x:c r="C387" s="30" t="str">
        <x:v>T060</x:v>
      </x:c>
      <x:c r="D387" s="30" t="str">
        <x:v>远程视觉复核/推理卸载</x:v>
      </x:c>
      <x:c r="E387" s="30" t="str">
        <x:v>可候选；Agent决定是否创建/执行</x:v>
      </x:c>
      <x:c r="F387" s="30" t="str">
        <x:v>基线：依实际装配启用</x:v>
      </x:c>
    </x:row>
    <x:row r="388" ht="40" customHeight="1">
      <x:c r="A388" s="30" t="str">
        <x:v>SC05</x:v>
      </x:c>
      <x:c r="B388" s="30" t="str">
        <x:v>海上/开放水域落水人员</x:v>
      </x:c>
      <x:c r="C388" s="30" t="str">
        <x:v>T061</x:v>
      </x:c>
      <x:c r="D388" s="30" t="str">
        <x:v>执行节点与模型选择</x:v>
      </x:c>
      <x:c r="E388" s="30" t="str">
        <x:v>可候选；Agent决定是否创建/执行</x:v>
      </x:c>
      <x:c r="F388" s="30" t="str">
        <x:v>基线：依实际装配启用</x:v>
      </x:c>
    </x:row>
    <x:row r="389" ht="40" customHeight="1">
      <x:c r="A389" s="30" t="str">
        <x:v>SC05</x:v>
      </x:c>
      <x:c r="B389" s="30" t="str">
        <x:v>海上/开放水域落水人员</x:v>
      </x:c>
      <x:c r="C389" s="30" t="str">
        <x:v>T062</x:v>
      </x:c>
      <x:c r="D389" s="30" t="str">
        <x:v>计算作业准入与排队</x:v>
      </x:c>
      <x:c r="E389" s="30" t="str">
        <x:v>可候选；Agent决定是否创建/执行</x:v>
      </x:c>
      <x:c r="F389" s="30" t="str">
        <x:v>基线：依实际装配启用</x:v>
      </x:c>
    </x:row>
    <x:row r="390" ht="40" customHeight="1">
      <x:c r="A390" s="30" t="str">
        <x:v>SC05</x:v>
      </x:c>
      <x:c r="B390" s="30" t="str">
        <x:v>海上/开放水域落水人员</x:v>
      </x:c>
      <x:c r="C390" s="30" t="str">
        <x:v>T063</x:v>
      </x:c>
      <x:c r="D390" s="30" t="str">
        <x:v>模型服务加载/卸载</x:v>
      </x:c>
      <x:c r="E390" s="30" t="str">
        <x:v>可候选；Agent决定是否创建/执行</x:v>
      </x:c>
      <x:c r="F390" s="30" t="str">
        <x:v>基线：依实际装配启用</x:v>
      </x:c>
    </x:row>
    <x:row r="391" ht="40" customHeight="1">
      <x:c r="A391" s="30" t="str">
        <x:v>SC05</x:v>
      </x:c>
      <x:c r="B391" s="30" t="str">
        <x:v>海上/开放水域落水人员</x:v>
      </x:c>
      <x:c r="C391" s="30" t="str">
        <x:v>T064</x:v>
      </x:c>
      <x:c r="D391" s="30" t="str">
        <x:v>上下文/表示缓存复用</x:v>
      </x:c>
      <x:c r="E391" s="30" t="str">
        <x:v>可候选；Agent决定是否创建/执行</x:v>
      </x:c>
      <x:c r="F391" s="30" t="str">
        <x:v>基线：依实际装配启用</x:v>
      </x:c>
    </x:row>
    <x:row r="392" ht="40" customHeight="1">
      <x:c r="A392" s="30" t="str">
        <x:v>SC05</x:v>
      </x:c>
      <x:c r="B392" s="30" t="str">
        <x:v>海上/开放水域落水人员</x:v>
      </x:c>
      <x:c r="C392" s="30" t="str">
        <x:v>T065</x:v>
      </x:c>
      <x:c r="D392" s="30" t="str">
        <x:v>服务/作业迁移与恢复</x:v>
      </x:c>
      <x:c r="E392" s="30" t="str">
        <x:v>可候选；Agent决定是否创建/执行</x:v>
      </x:c>
      <x:c r="F392" s="30" t="str">
        <x:v>条件扩展：明确设备/专业服务后启用</x:v>
      </x:c>
    </x:row>
    <x:row r="393" ht="40" customHeight="1">
      <x:c r="A393" s="30" t="str">
        <x:v>SC05</x:v>
      </x:c>
      <x:c r="B393" s="30" t="str">
        <x:v>海上/开放水域落水人员</x:v>
      </x:c>
      <x:c r="C393" s="30" t="str">
        <x:v>T066</x:v>
      </x:c>
      <x:c r="D393" s="30" t="str">
        <x:v>预算耗尽/失败作业取消重试</x:v>
      </x:c>
      <x:c r="E393" s="30" t="str">
        <x:v>可候选；Agent决定是否创建/执行</x:v>
      </x:c>
      <x:c r="F393" s="30" t="str">
        <x:v>基线：依实际装配启用</x:v>
      </x:c>
    </x:row>
    <x:row r="394" ht="40" customHeight="1">
      <x:c r="A394" s="30" t="str">
        <x:v>SC05</x:v>
      </x:c>
      <x:c r="B394" s="30" t="str">
        <x:v>海上/开放水域落水人员</x:v>
      </x:c>
      <x:c r="C394" s="30" t="str">
        <x:v>T067</x:v>
      </x:c>
      <x:c r="D394" s="30" t="str">
        <x:v>批处理/多源联合推理</x:v>
      </x:c>
      <x:c r="E394" s="30" t="str">
        <x:v>可候选；Agent决定是否创建/执行</x:v>
      </x:c>
      <x:c r="F394" s="30" t="str">
        <x:v>基线：依实际装配启用</x:v>
      </x:c>
    </x:row>
    <x:row r="395" ht="40" customHeight="1">
      <x:c r="A395" s="30" t="str">
        <x:v>SC05</x:v>
      </x:c>
      <x:c r="B395" s="30" t="str">
        <x:v>海上/开放水域落水人员</x:v>
      </x:c>
      <x:c r="C395" s="30" t="str">
        <x:v>T068</x:v>
      </x:c>
      <x:c r="D395" s="30" t="str">
        <x:v>计算资源释放与缓存清理</x:v>
      </x:c>
      <x:c r="E395" s="30" t="str">
        <x:v>可候选；Agent决定是否创建/执行</x:v>
      </x:c>
      <x:c r="F395" s="30" t="str">
        <x:v>基线：依实际装配启用</x:v>
      </x:c>
    </x:row>
    <x:row r="396" ht="40" customHeight="1">
      <x:c r="A396" s="30" t="str">
        <x:v>SC05</x:v>
      </x:c>
      <x:c r="B396" s="30" t="str">
        <x:v>海上/开放水域落水人员</x:v>
      </x:c>
      <x:c r="C396" s="30" t="str">
        <x:v>T069</x:v>
      </x:c>
      <x:c r="D396" s="30" t="str">
        <x:v>跨源时间坐标对齐</x:v>
      </x:c>
      <x:c r="E396" s="30" t="str">
        <x:v>可候选；Agent决定是否创建/执行</x:v>
      </x:c>
      <x:c r="F396" s="30" t="str">
        <x:v>基线：依实际装配启用</x:v>
      </x:c>
    </x:row>
    <x:row r="397" ht="40" customHeight="1">
      <x:c r="A397" s="30" t="str">
        <x:v>SC05</x:v>
      </x:c>
      <x:c r="B397" s="30" t="str">
        <x:v>海上/开放水域落水人员</x:v>
      </x:c>
      <x:c r="C397" s="30" t="str">
        <x:v>T070</x:v>
      </x:c>
      <x:c r="D397" s="30" t="str">
        <x:v>任务条件化本地历史检索</x:v>
      </x:c>
      <x:c r="E397" s="30" t="str">
        <x:v>可候选；Agent决定是否创建/执行</x:v>
      </x:c>
      <x:c r="F397" s="30" t="str">
        <x:v>基线：依实际装配启用</x:v>
      </x:c>
    </x:row>
    <x:row r="398" ht="40" customHeight="1">
      <x:c r="A398" s="30" t="str">
        <x:v>SC05</x:v>
      </x:c>
      <x:c r="B398" s="30" t="str">
        <x:v>海上/开放水域落水人员</x:v>
      </x:c>
      <x:c r="C398" s="30" t="str">
        <x:v>T071</x:v>
      </x:c>
      <x:c r="D398" s="30" t="str">
        <x:v>图像裁剪/编码/证据打包</x:v>
      </x:c>
      <x:c r="E398" s="30" t="str">
        <x:v>可候选；Agent决定是否创建/执行</x:v>
      </x:c>
      <x:c r="F398" s="30" t="str">
        <x:v>基线：依实际装配启用</x:v>
      </x:c>
    </x:row>
    <x:row r="399" ht="40" customHeight="1">
      <x:c r="A399" s="30" t="str">
        <x:v>SC05</x:v>
      </x:c>
      <x:c r="B399" s="30" t="str">
        <x:v>海上/开放水域落水人员</x:v>
      </x:c>
      <x:c r="C399" s="30" t="str">
        <x:v>T072</x:v>
      </x:c>
      <x:c r="D399" s="30" t="str">
        <x:v>置信度与证据充分性判断</x:v>
      </x:c>
      <x:c r="E399" s="30" t="str">
        <x:v>可候选；Agent决定是否创建/执行</x:v>
      </x:c>
      <x:c r="F399" s="30" t="str">
        <x:v>基线：依实际装配启用</x:v>
      </x:c>
    </x:row>
    <x:row r="400" ht="40" customHeight="1">
      <x:c r="A400" s="30" t="str">
        <x:v>SC05</x:v>
      </x:c>
      <x:c r="B400" s="30" t="str">
        <x:v>海上/开放水域落水人员</x:v>
      </x:c>
      <x:c r="C400" s="30" t="str">
        <x:v>T073</x:v>
      </x:c>
      <x:c r="D400" s="30" t="str">
        <x:v>多源融合与冲突更正</x:v>
      </x:c>
      <x:c r="E400" s="30" t="str">
        <x:v>可候选；Agent决定是否创建/执行</x:v>
      </x:c>
      <x:c r="F400" s="30" t="str">
        <x:v>基线：依实际装配启用</x:v>
      </x:c>
    </x:row>
    <x:row r="401" ht="40" customHeight="1">
      <x:c r="A401" s="30" t="str">
        <x:v>SC05</x:v>
      </x:c>
      <x:c r="B401" s="30" t="str">
        <x:v>海上/开放水域落水人员</x:v>
      </x:c>
      <x:c r="C401" s="30" t="str">
        <x:v>T074</x:v>
      </x:c>
      <x:c r="D401" s="30" t="str">
        <x:v>面向任务的信息选择与共享</x:v>
      </x:c>
      <x:c r="E401" s="30" t="str">
        <x:v>可候选；Agent决定是否创建/执行</x:v>
      </x:c>
      <x:c r="F401" s="30" t="str">
        <x:v>基线：依实际装配启用</x:v>
      </x:c>
    </x:row>
    <x:row r="402" ht="40" customHeight="1">
      <x:c r="A402" s="30" t="str">
        <x:v>SC05</x:v>
      </x:c>
      <x:c r="B402" s="30" t="str">
        <x:v>海上/开放水域落水人员</x:v>
      </x:c>
      <x:c r="C402" s="30" t="str">
        <x:v>T075</x:v>
      </x:c>
      <x:c r="D402" s="30" t="str">
        <x:v>局部信念与过时信息维护</x:v>
      </x:c>
      <x:c r="E402" s="30" t="str">
        <x:v>可候选；Agent决定是否创建/执行</x:v>
      </x:c>
      <x:c r="F402" s="30" t="str">
        <x:v>基线：依实际装配启用</x:v>
      </x:c>
    </x:row>
    <x:row r="403" ht="40" customHeight="1">
      <x:c r="A403" s="30" t="str">
        <x:v>SC05</x:v>
      </x:c>
      <x:c r="B403" s="30" t="str">
        <x:v>海上/开放水域落水人员</x:v>
      </x:c>
      <x:c r="C403" s="30" t="str">
        <x:v>T076</x:v>
      </x:c>
      <x:c r="D403" s="30" t="str">
        <x:v>轨迹/证据归档与回放</x:v>
      </x:c>
      <x:c r="E403" s="30" t="str">
        <x:v>可候选；Agent决定是否创建/执行</x:v>
      </x:c>
      <x:c r="F403" s="30" t="str">
        <x:v>基线：依实际装配启用</x:v>
      </x:c>
    </x:row>
    <x:row r="404" ht="40" customHeight="1">
      <x:c r="A404" s="30" t="str">
        <x:v>SC05</x:v>
      </x:c>
      <x:c r="B404" s="30" t="str">
        <x:v>海上/开放水域落水人员</x:v>
      </x:c>
      <x:c r="C404" s="30" t="str">
        <x:v>T077</x:v>
      </x:c>
      <x:c r="D404" s="30" t="str">
        <x:v>接收并解释当前使命</x:v>
      </x:c>
      <x:c r="E404" s="30" t="str">
        <x:v>可候选；Agent决定是否创建/执行</x:v>
      </x:c>
      <x:c r="F404" s="30" t="str">
        <x:v>基线：依实际装配启用</x:v>
      </x:c>
    </x:row>
    <x:row r="405" ht="40" customHeight="1">
      <x:c r="A405" s="30" t="str">
        <x:v>SC05</x:v>
      </x:c>
      <x:c r="B405" s="30" t="str">
        <x:v>海上/开放水域落水人员</x:v>
      </x:c>
      <x:c r="C405" s="30" t="str">
        <x:v>T078</x:v>
      </x:c>
      <x:c r="D405" s="30" t="str">
        <x:v>自主任务分解与候选生成</x:v>
      </x:c>
      <x:c r="E405" s="30" t="str">
        <x:v>可候选；Agent决定是否创建/执行</x:v>
      </x:c>
      <x:c r="F405" s="30" t="str">
        <x:v>基线：依实际装配启用</x:v>
      </x:c>
    </x:row>
    <x:row r="406" ht="40" customHeight="1">
      <x:c r="A406" s="30" t="str">
        <x:v>SC05</x:v>
      </x:c>
      <x:c r="B406" s="30" t="str">
        <x:v>海上/开放水域落水人员</x:v>
      </x:c>
      <x:c r="C406" s="30" t="str">
        <x:v>T079</x:v>
      </x:c>
      <x:c r="D406" s="30" t="str">
        <x:v>本机参与筛选与出价</x:v>
      </x:c>
      <x:c r="E406" s="30" t="str">
        <x:v>可候选；Agent决定是否创建/执行</x:v>
      </x:c>
      <x:c r="F406" s="30" t="str">
        <x:v>基线：依实际装配启用</x:v>
      </x:c>
    </x:row>
    <x:row r="407" ht="40" customHeight="1">
      <x:c r="A407" s="30" t="str">
        <x:v>SC05</x:v>
      </x:c>
      <x:c r="B407" s="30" t="str">
        <x:v>海上/开放水域落水人员</x:v>
      </x:c>
      <x:c r="C407" s="30" t="str">
        <x:v>T080</x:v>
      </x:c>
      <x:c r="D407" s="30" t="str">
        <x:v>多平台任务分配与协调</x:v>
      </x:c>
      <x:c r="E407" s="30" t="str">
        <x:v>可候选；Agent决定是否创建/执行</x:v>
      </x:c>
      <x:c r="F407" s="30" t="str">
        <x:v>基线：依实际装配启用</x:v>
      </x:c>
    </x:row>
    <x:row r="408" ht="40" customHeight="1">
      <x:c r="A408" s="30" t="str">
        <x:v>SC05</x:v>
      </x:c>
      <x:c r="B408" s="30" t="str">
        <x:v>海上/开放水域落水人员</x:v>
      </x:c>
      <x:c r="C408" s="30" t="str">
        <x:v>T081</x:v>
      </x:c>
      <x:c r="D408" s="30" t="str">
        <x:v>任务接受/拒绝与承诺</x:v>
      </x:c>
      <x:c r="E408" s="30" t="str">
        <x:v>可候选；Agent决定是否创建/执行</x:v>
      </x:c>
      <x:c r="F408" s="30" t="str">
        <x:v>基线：依实际装配启用</x:v>
      </x:c>
    </x:row>
    <x:row r="409" ht="40" customHeight="1">
      <x:c r="A409" s="30" t="str">
        <x:v>SC05</x:v>
      </x:c>
      <x:c r="B409" s="30" t="str">
        <x:v>海上/开放水域落水人员</x:v>
      </x:c>
      <x:c r="C409" s="30" t="str">
        <x:v>T082</x:v>
      </x:c>
      <x:c r="D409" s="30" t="str">
        <x:v>进度监控与完成确认</x:v>
      </x:c>
      <x:c r="E409" s="30" t="str">
        <x:v>可候选；Agent决定是否创建/执行</x:v>
      </x:c>
      <x:c r="F409" s="30" t="str">
        <x:v>基线：依实际装配启用</x:v>
      </x:c>
    </x:row>
    <x:row r="410" ht="40" customHeight="1">
      <x:c r="A410" s="30" t="str">
        <x:v>SC05</x:v>
      </x:c>
      <x:c r="B410" s="30" t="str">
        <x:v>海上/开放水域落水人员</x:v>
      </x:c>
      <x:c r="C410" s="30" t="str">
        <x:v>T083</x:v>
      </x:c>
      <x:c r="D410" s="30" t="str">
        <x:v>任务取消/抢占</x:v>
      </x:c>
      <x:c r="E410" s="30" t="str">
        <x:v>可候选；Agent决定是否创建/执行</x:v>
      </x:c>
      <x:c r="F410" s="30" t="str">
        <x:v>基线：依实际装配启用</x:v>
      </x:c>
    </x:row>
    <x:row r="411" ht="40" customHeight="1">
      <x:c r="A411" s="30" t="str">
        <x:v>SC05</x:v>
      </x:c>
      <x:c r="B411" s="30" t="str">
        <x:v>海上/开放水域落水人员</x:v>
      </x:c>
      <x:c r="C411" s="30" t="str">
        <x:v>T084</x:v>
      </x:c>
      <x:c r="D411" s="30" t="str">
        <x:v>恢复原任务</x:v>
      </x:c>
      <x:c r="E411" s="30" t="str">
        <x:v>可候选；Agent决定是否创建/执行</x:v>
      </x:c>
      <x:c r="F411" s="30" t="str">
        <x:v>基线：依实际装配启用</x:v>
      </x:c>
    </x:row>
    <x:row r="412" ht="40" customHeight="1">
      <x:c r="A412" s="30" t="str">
        <x:v>SC05</x:v>
      </x:c>
      <x:c r="B412" s="30" t="str">
        <x:v>海上/开放水域落水人员</x:v>
      </x:c>
      <x:c r="C412" s="30" t="str">
        <x:v>T085</x:v>
      </x:c>
      <x:c r="D412" s="30" t="str">
        <x:v>跨Agent任务与证据交接</x:v>
      </x:c>
      <x:c r="E412" s="30" t="str">
        <x:v>可候选；Agent决定是否创建/执行</x:v>
      </x:c>
      <x:c r="F412" s="30" t="str">
        <x:v>基线：依实际装配启用</x:v>
      </x:c>
    </x:row>
    <x:row r="413" ht="40" customHeight="1">
      <x:c r="A413" s="30" t="str">
        <x:v>SC05</x:v>
      </x:c>
      <x:c r="B413" s="30" t="str">
        <x:v>海上/开放水域落水人员</x:v>
      </x:c>
      <x:c r="C413" s="30" t="str">
        <x:v>T086</x:v>
      </x:c>
      <x:c r="D413" s="30" t="str">
        <x:v>失败重规划与重派</x:v>
      </x:c>
      <x:c r="E413" s="30" t="str">
        <x:v>可候选；Agent决定是否创建/执行</x:v>
      </x:c>
      <x:c r="F413" s="30" t="str">
        <x:v>基线：依实际装配启用</x:v>
      </x:c>
    </x:row>
    <x:row r="414" ht="40" customHeight="1">
      <x:c r="A414" s="30" t="str">
        <x:v>SC05</x:v>
      </x:c>
      <x:c r="B414" s="30" t="str">
        <x:v>海上/开放水域落水人员</x:v>
      </x:c>
      <x:c r="C414" s="30" t="str">
        <x:v>T087</x:v>
      </x:c>
      <x:c r="D414" s="30" t="str">
        <x:v>请求专业救援/工程力量</x:v>
      </x:c>
      <x:c r="E414" s="30" t="str">
        <x:v>可候选；Agent决定是否创建/执行</x:v>
      </x:c>
      <x:c r="F414" s="30" t="str">
        <x:v>基线：依实际装配启用</x:v>
      </x:c>
    </x:row>
    <x:row r="415" ht="40" customHeight="1">
      <x:c r="A415" s="30" t="str">
        <x:v>SC05</x:v>
      </x:c>
      <x:c r="B415" s="30" t="str">
        <x:v>海上/开放水域落水人员</x:v>
      </x:c>
      <x:c r="C415" s="30" t="str">
        <x:v>T088</x:v>
      </x:c>
      <x:c r="D415" s="30" t="str">
        <x:v>工作现场闭合与阶段移交</x:v>
      </x:c>
      <x:c r="E415" s="30" t="str">
        <x:v>可候选；Agent决定是否创建/执行</x:v>
      </x:c>
      <x:c r="F415" s="30" t="str">
        <x:v>基线：依实际装配启用</x:v>
      </x:c>
    </x:row>
    <x:row r="416" ht="40" customHeight="1">
      <x:c r="A416" s="30" t="str">
        <x:v>SC05</x:v>
      </x:c>
      <x:c r="B416" s="30" t="str">
        <x:v>海上/开放水域落水人员</x:v>
      </x:c>
      <x:c r="C416" s="30" t="str">
        <x:v>T089</x:v>
      </x:c>
      <x:c r="D416" s="30" t="str">
        <x:v>次生危险动态监视</x:v>
      </x:c>
      <x:c r="E416" s="30" t="str">
        <x:v>可候选；Agent决定是否创建/执行</x:v>
      </x:c>
      <x:c r="F416" s="30" t="str">
        <x:v>基线：依实际装配启用</x:v>
      </x:c>
    </x:row>
    <x:row r="417" ht="40" customHeight="1">
      <x:c r="A417" s="30" t="str">
        <x:v>SC05</x:v>
      </x:c>
      <x:c r="B417" s="30" t="str">
        <x:v>海上/开放水域落水人员</x:v>
      </x:c>
      <x:c r="C417" s="30" t="str">
        <x:v>T090</x:v>
      </x:c>
      <x:c r="D417" s="30" t="str">
        <x:v>平台/能源/服务健康监视</x:v>
      </x:c>
      <x:c r="E417" s="30" t="str">
        <x:v>可候选；Agent决定是否创建/执行</x:v>
      </x:c>
      <x:c r="F417" s="30" t="str">
        <x:v>基线：依实际装配启用</x:v>
      </x:c>
    </x:row>
    <x:row r="418" ht="40" customHeight="1">
      <x:c r="A418" s="30" t="str">
        <x:v>SC05</x:v>
      </x:c>
      <x:c r="B418" s="30" t="str">
        <x:v>海上/开放水域落水人员</x:v>
      </x:c>
      <x:c r="C418" s="30" t="str">
        <x:v>T091</x:v>
      </x:c>
      <x:c r="D418" s="30" t="str">
        <x:v>安全等待与驻留观察</x:v>
      </x:c>
      <x:c r="E418" s="30" t="str">
        <x:v>可候选；Agent决定是否创建/执行</x:v>
      </x:c>
      <x:c r="F418" s="30" t="str">
        <x:v>基线：依实际装配启用</x:v>
      </x:c>
    </x:row>
    <x:row r="419" ht="40" customHeight="1">
      <x:c r="A419" s="30" t="str">
        <x:v>SC05</x:v>
      </x:c>
      <x:c r="B419" s="30" t="str">
        <x:v>海上/开放水域落水人员</x:v>
      </x:c>
      <x:c r="C419" s="30" t="str">
        <x:v>T092</x:v>
      </x:c>
      <x:c r="D419" s="30" t="str">
        <x:v>设备/传感器/服务故障诊断</x:v>
      </x:c>
      <x:c r="E419" s="30" t="str">
        <x:v>可候选；Agent决定是否创建/执行</x:v>
      </x:c>
      <x:c r="F419" s="30" t="str">
        <x:v>基线：依实际装配启用</x:v>
      </x:c>
    </x:row>
    <x:row r="420" ht="40" customHeight="1">
      <x:c r="A420" s="30" t="str">
        <x:v>SC05</x:v>
      </x:c>
      <x:c r="B420" s="30" t="str">
        <x:v>海上/开放水域落水人员</x:v>
      </x:c>
      <x:c r="C420" s="30" t="str">
        <x:v>T096</x:v>
      </x:c>
      <x:c r="D420" s="30" t="str">
        <x:v>跨模型特征/潜表示适配</x:v>
      </x:c>
      <x:c r="E420" s="30" t="str">
        <x:v>可候选；Agent决定是否创建/执行</x:v>
      </x:c>
      <x:c r="F420" s="30" t="str">
        <x:v>条件扩展：明确设备/专业服务后启用</x:v>
      </x:c>
    </x:row>
    <x:row r="421" ht="40" customHeight="1">
      <x:c r="A421" s="30" t="str">
        <x:v>SC06</x:v>
      </x:c>
      <x:c r="B421" s="30" t="str">
        <x:v>建筑/街区火灾与烟雾</x:v>
      </x:c>
      <x:c r="C421" s="30" t="str">
        <x:v>T001</x:v>
      </x:c>
      <x:c r="D421" s="30" t="str">
        <x:v>区域快速普查</x:v>
      </x:c>
      <x:c r="E421" s="30" t="str">
        <x:v>可候选；Agent决定是否创建/执行</x:v>
      </x:c>
      <x:c r="F421" s="30" t="str">
        <x:v>基线：依实际装配启用</x:v>
      </x:c>
    </x:row>
    <x:row r="422" ht="40" customHeight="1">
      <x:c r="A422" s="30" t="str">
        <x:v>SC06</x:v>
      </x:c>
      <x:c r="B422" s="30" t="str">
        <x:v>建筑/街区火灾与烟雾</x:v>
      </x:c>
      <x:c r="C422" s="30" t="str">
        <x:v>T002</x:v>
      </x:c>
      <x:c r="D422" s="30" t="str">
        <x:v>建筑外部损毁评估</x:v>
      </x:c>
      <x:c r="E422" s="30" t="str">
        <x:v>可候选；Agent决定是否创建/执行</x:v>
      </x:c>
      <x:c r="F422" s="30" t="str">
        <x:v>基线：依实际装配启用</x:v>
      </x:c>
    </x:row>
    <x:row r="423" ht="40" customHeight="1">
      <x:c r="A423" s="30" t="str">
        <x:v>SC06</x:v>
      </x:c>
      <x:c r="B423" s="30" t="str">
        <x:v>建筑/街区火灾与烟雾</x:v>
      </x:c>
      <x:c r="C423" s="30" t="str">
        <x:v>T003</x:v>
      </x:c>
      <x:c r="D423" s="30" t="str">
        <x:v>道路与通路灾后评估</x:v>
      </x:c>
      <x:c r="E423" s="30" t="str">
        <x:v>可候选；Agent决定是否创建/执行</x:v>
      </x:c>
      <x:c r="F423" s="30" t="str">
        <x:v>基线：依实际装配启用</x:v>
      </x:c>
    </x:row>
    <x:row r="424" ht="40" customHeight="1">
      <x:c r="A424" s="30" t="str">
        <x:v>SC06</x:v>
      </x:c>
      <x:c r="B424" s="30" t="str">
        <x:v>建筑/街区火灾与烟雾</x:v>
      </x:c>
      <x:c r="C424" s="30" t="str">
        <x:v>T004</x:v>
      </x:c>
      <x:c r="D424" s="30" t="str">
        <x:v>入口与屋顶交付区检查</x:v>
      </x:c>
      <x:c r="E424" s="30" t="str">
        <x:v>可候选；Agent决定是否创建/执行</x:v>
      </x:c>
      <x:c r="F424" s="30" t="str">
        <x:v>基线：依实际装配启用</x:v>
      </x:c>
    </x:row>
    <x:row r="425" ht="40" customHeight="1">
      <x:c r="A425" s="30" t="str">
        <x:v>SC06</x:v>
      </x:c>
      <x:c r="B425" s="30" t="str">
        <x:v>建筑/街区火灾与烟雾</x:v>
      </x:c>
      <x:c r="C425" s="30" t="str">
        <x:v>T006</x:v>
      </x:c>
      <x:c r="D425" s="30" t="str">
        <x:v>火烟与危险源侦察</x:v>
      </x:c>
      <x:c r="E425" s="30" t="str">
        <x:v>可候选；Agent决定是否创建/执行</x:v>
      </x:c>
      <x:c r="F425" s="30" t="str">
        <x:v>基线：依实际装配启用</x:v>
      </x:c>
    </x:row>
    <x:row r="426" ht="40" customHeight="1">
      <x:c r="A426" s="30" t="str">
        <x:v>SC06</x:v>
      </x:c>
      <x:c r="B426" s="30" t="str">
        <x:v>建筑/街区火灾与烟雾</x:v>
      </x:c>
      <x:c r="C426" s="30" t="str">
        <x:v>T007</x:v>
      </x:c>
      <x:c r="D426" s="30" t="str">
        <x:v>灾前灾后变化与地图更新</x:v>
      </x:c>
      <x:c r="E426" s="30" t="str">
        <x:v>可候选；Agent决定是否创建/执行</x:v>
      </x:c>
      <x:c r="F426" s="30" t="str">
        <x:v>基线：依实际装配启用</x:v>
      </x:c>
    </x:row>
    <x:row r="427" ht="40" customHeight="1">
      <x:c r="A427" s="30" t="str">
        <x:v>SC06</x:v>
      </x:c>
      <x:c r="B427" s="30" t="str">
        <x:v>建筑/街区火灾与烟雾</x:v>
      </x:c>
      <x:c r="C427" s="30" t="str">
        <x:v>T008</x:v>
      </x:c>
      <x:c r="D427" s="30" t="str">
        <x:v>建筑/区域覆盖登记</x:v>
      </x:c>
      <x:c r="E427" s="30" t="str">
        <x:v>可候选；Agent决定是否创建/执行</x:v>
      </x:c>
      <x:c r="F427" s="30" t="str">
        <x:v>基线：依实际装配启用</x:v>
      </x:c>
    </x:row>
    <x:row r="428" ht="40" customHeight="1">
      <x:c r="A428" s="30" t="str">
        <x:v>SC06</x:v>
      </x:c>
      <x:c r="B428" s="30" t="str">
        <x:v>建筑/街区火灾与烟雾</x:v>
      </x:c>
      <x:c r="C428" s="30" t="str">
        <x:v>T009</x:v>
      </x:c>
      <x:c r="D428" s="30" t="str">
        <x:v>系统空中人员搜索</x:v>
      </x:c>
      <x:c r="E428" s="30" t="str">
        <x:v>可候选；Agent决定是否创建/执行</x:v>
      </x:c>
      <x:c r="F428" s="30" t="str">
        <x:v>基线：依实际装配启用</x:v>
      </x:c>
    </x:row>
    <x:row r="429" ht="40" customHeight="1">
      <x:c r="A429" s="30" t="str">
        <x:v>SC06</x:v>
      </x:c>
      <x:c r="B429" s="30" t="str">
        <x:v>建筑/街区火灾与烟雾</x:v>
      </x:c>
      <x:c r="C429" s="30" t="str">
        <x:v>T010</x:v>
      </x:c>
      <x:c r="D429" s="30" t="str">
        <x:v>线索发现与语义解读</x:v>
      </x:c>
      <x:c r="E429" s="30" t="str">
        <x:v>可候选；Agent决定是否创建/执行</x:v>
      </x:c>
      <x:c r="F429" s="30" t="str">
        <x:v>基线：依实际装配启用</x:v>
      </x:c>
    </x:row>
    <x:row r="430" ht="40" customHeight="1">
      <x:c r="A430" s="30" t="str">
        <x:v>SC06</x:v>
      </x:c>
      <x:c r="B430" s="30" t="str">
        <x:v>建筑/街区火灾与烟雾</x:v>
      </x:c>
      <x:c r="C430" s="30" t="str">
        <x:v>T011</x:v>
      </x:c>
      <x:c r="D430" s="30" t="str">
        <x:v>疑似目标多视角复核</x:v>
      </x:c>
      <x:c r="E430" s="30" t="str">
        <x:v>可候选；Agent决定是否创建/执行</x:v>
      </x:c>
      <x:c r="F430" s="30" t="str">
        <x:v>基线：依实际装配启用</x:v>
      </x:c>
    </x:row>
    <x:row r="431" ht="40" customHeight="1">
      <x:c r="A431" s="30" t="str">
        <x:v>SC06</x:v>
      </x:c>
      <x:c r="B431" s="30" t="str">
        <x:v>建筑/街区火灾与烟雾</x:v>
      </x:c>
      <x:c r="C431" s="30" t="str">
        <x:v>T012</x:v>
      </x:c>
      <x:c r="D431" s="30" t="str">
        <x:v>目标定位跟踪与跨视角关联</x:v>
      </x:c>
      <x:c r="E431" s="30" t="str">
        <x:v>可候选；Agent决定是否创建/执行</x:v>
      </x:c>
      <x:c r="F431" s="30" t="str">
        <x:v>基线：依实际装配启用</x:v>
      </x:c>
    </x:row>
    <x:row r="432" ht="40" customHeight="1">
      <x:c r="A432" s="30" t="str">
        <x:v>SC06</x:v>
      </x:c>
      <x:c r="B432" s="30" t="str">
        <x:v>建筑/街区火灾与烟雾</x:v>
      </x:c>
      <x:c r="C432" s="30" t="str">
        <x:v>T013</x:v>
      </x:c>
      <x:c r="D432" s="30" t="str">
        <x:v>近地外部与狭窄区搜索</x:v>
      </x:c>
      <x:c r="E432" s="30" t="str">
        <x:v>可候选；Agent决定是否创建/执行</x:v>
      </x:c>
      <x:c r="F432" s="30" t="str">
        <x:v>基线：依实际装配启用</x:v>
      </x:c>
    </x:row>
    <x:row r="433" ht="40" customHeight="1">
      <x:c r="A433" s="30" t="str">
        <x:v>SC06</x:v>
      </x:c>
      <x:c r="B433" s="30" t="str">
        <x:v>建筑/街区火灾与烟雾</x:v>
      </x:c>
      <x:c r="C433" s="30" t="str">
        <x:v>T014</x:v>
      </x:c>
      <x:c r="D433" s="30" t="str">
        <x:v>建筑内部初次抽象搜索</x:v>
      </x:c>
      <x:c r="E433" s="30" t="str">
        <x:v>可候选；Agent决定是否创建/执行</x:v>
      </x:c>
      <x:c r="F433" s="30" t="str">
        <x:v>基线：依实际装配启用</x:v>
      </x:c>
    </x:row>
    <x:row r="434" ht="40" customHeight="1">
      <x:c r="A434" s="30" t="str">
        <x:v>SC06</x:v>
      </x:c>
      <x:c r="B434" s="30" t="str">
        <x:v>建筑/街区火灾与烟雾</x:v>
      </x:c>
      <x:c r="C434" s="30" t="str">
        <x:v>T015</x:v>
      </x:c>
      <x:c r="D434" s="30" t="str">
        <x:v>建筑内部复搜/完整搜索</x:v>
      </x:c>
      <x:c r="E434" s="30" t="str">
        <x:v>可候选；Agent决定是否创建/执行</x:v>
      </x:c>
      <x:c r="F434" s="30" t="str">
        <x:v>基线：依实际装配启用</x:v>
      </x:c>
    </x:row>
    <x:row r="435" ht="40" customHeight="1">
      <x:c r="A435" s="30" t="str">
        <x:v>SC06</x:v>
      </x:c>
      <x:c r="B435" s="30" t="str">
        <x:v>建筑/街区火灾与烟雾</x:v>
      </x:c>
      <x:c r="C435" s="30" t="str">
        <x:v>T016</x:v>
      </x:c>
      <x:c r="D435" s="30" t="str">
        <x:v>热成像补充搜索</x:v>
      </x:c>
      <x:c r="E435" s="30" t="str">
        <x:v>可候选；Agent决定是否创建/执行</x:v>
      </x:c>
      <x:c r="F435" s="30" t="str">
        <x:v>条件扩展：明确设备/专业服务后启用</x:v>
      </x:c>
    </x:row>
    <x:row r="436" ht="40" customHeight="1">
      <x:c r="A436" s="30" t="str">
        <x:v>SC06</x:v>
      </x:c>
      <x:c r="B436" s="30" t="str">
        <x:v>建筑/街区火灾与烟雾</x:v>
      </x:c>
      <x:c r="C436" s="30" t="str">
        <x:v>T017</x:v>
      </x:c>
      <x:c r="D436" s="30" t="str">
        <x:v>声音线索搜索</x:v>
      </x:c>
      <x:c r="E436" s="30" t="str">
        <x:v>可候选；Agent决定是否创建/执行</x:v>
      </x:c>
      <x:c r="F436" s="30" t="str">
        <x:v>条件扩展：明确设备/专业服务后启用</x:v>
      </x:c>
    </x:row>
    <x:row r="437" ht="40" customHeight="1">
      <x:c r="A437" s="30" t="str">
        <x:v>SC06</x:v>
      </x:c>
      <x:c r="B437" s="30" t="str">
        <x:v>建筑/街区火灾与烟雾</x:v>
      </x:c>
      <x:c r="C437" s="30" t="str">
        <x:v>T019</x:v>
      </x:c>
      <x:c r="D437" s="30" t="str">
        <x:v>空中转场与观察点到达</x:v>
      </x:c>
      <x:c r="E437" s="30" t="str">
        <x:v>可候选；Agent决定是否创建/执行</x:v>
      </x:c>
      <x:c r="F437" s="30" t="str">
        <x:v>基线：依实际装配启用</x:v>
      </x:c>
    </x:row>
    <x:row r="438" ht="40" customHeight="1">
      <x:c r="A438" s="30" t="str">
        <x:v>SC06</x:v>
      </x:c>
      <x:c r="B438" s="30" t="str">
        <x:v>建筑/街区火灾与烟雾</x:v>
      </x:c>
      <x:c r="C438" s="30" t="str">
        <x:v>T020</x:v>
      </x:c>
      <x:c r="D438" s="30" t="str">
        <x:v>地面转场与绕行</x:v>
      </x:c>
      <x:c r="E438" s="30" t="str">
        <x:v>可候选；Agent决定是否创建/执行</x:v>
      </x:c>
      <x:c r="F438" s="30" t="str">
        <x:v>基线：依实际装配启用</x:v>
      </x:c>
    </x:row>
    <x:row r="439" ht="40" customHeight="1">
      <x:c r="A439" s="30" t="str">
        <x:v>SC06</x:v>
      </x:c>
      <x:c r="B439" s="30" t="str">
        <x:v>建筑/街区火灾与烟雾</x:v>
      </x:c>
      <x:c r="C439" s="30" t="str">
        <x:v>T021</x:v>
      </x:c>
      <x:c r="D439" s="30" t="str">
        <x:v>障碍接近探测与路径验证</x:v>
      </x:c>
      <x:c r="E439" s="30" t="str">
        <x:v>可候选；Agent决定是否创建/执行</x:v>
      </x:c>
      <x:c r="F439" s="30" t="str">
        <x:v>基线：依实际装配启用</x:v>
      </x:c>
    </x:row>
    <x:row r="440" ht="40" customHeight="1">
      <x:c r="A440" s="30" t="str">
        <x:v>SC06</x:v>
      </x:c>
      <x:c r="B440" s="30" t="str">
        <x:v>建筑/街区火灾与烟雾</x:v>
      </x:c>
      <x:c r="C440" s="30" t="str">
        <x:v>T022</x:v>
      </x:c>
      <x:c r="D440" s="30" t="str">
        <x:v>轻型残骸移除</x:v>
      </x:c>
      <x:c r="E440" s="30" t="str">
        <x:v>可候选；Agent决定是否创建/执行</x:v>
      </x:c>
      <x:c r="F440" s="30" t="str">
        <x:v>条件扩展：明确设备/专业服务后启用</x:v>
      </x:c>
    </x:row>
    <x:row r="441" ht="40" customHeight="1">
      <x:c r="A441" s="30" t="str">
        <x:v>SC06</x:v>
      </x:c>
      <x:c r="B441" s="30" t="str">
        <x:v>建筑/街区火灾与烟雾</x:v>
      </x:c>
      <x:c r="C441" s="30" t="str">
        <x:v>T023</x:v>
      </x:c>
      <x:c r="D441" s="30" t="str">
        <x:v>重型道路清障</x:v>
      </x:c>
      <x:c r="E441" s="30" t="str">
        <x:v>可候选；Agent决定是否创建/执行</x:v>
      </x:c>
      <x:c r="F441" s="30" t="str">
        <x:v>条件扩展：明确设备/专业服务后启用</x:v>
      </x:c>
    </x:row>
    <x:row r="442" ht="40" customHeight="1">
      <x:c r="A442" s="30" t="str">
        <x:v>SC06</x:v>
      </x:c>
      <x:c r="B442" s="30" t="str">
        <x:v>建筑/街区火灾与烟雾</x:v>
      </x:c>
      <x:c r="C442" s="30" t="str">
        <x:v>T024</x:v>
      </x:c>
      <x:c r="D442" s="30" t="str">
        <x:v>入口开辟与局部破拆</x:v>
      </x:c>
      <x:c r="E442" s="30" t="str">
        <x:v>可候选；Agent决定是否创建/执行</x:v>
      </x:c>
      <x:c r="F442" s="30" t="str">
        <x:v>条件扩展：明确设备/专业服务后启用</x:v>
      </x:c>
    </x:row>
    <x:row r="443" ht="40" customHeight="1">
      <x:c r="A443" s="30" t="str">
        <x:v>SC06</x:v>
      </x:c>
      <x:c r="B443" s="30" t="str">
        <x:v>建筑/街区火灾与烟雾</x:v>
      </x:c>
      <x:c r="C443" s="30" t="str">
        <x:v>T025</x:v>
      </x:c>
      <x:c r="D443" s="30" t="str">
        <x:v>危险结构临时支撑</x:v>
      </x:c>
      <x:c r="E443" s="30" t="str">
        <x:v>可候选；Agent决定是否创建/执行</x:v>
      </x:c>
      <x:c r="F443" s="30" t="str">
        <x:v>条件扩展：明确设备/专业服务后启用</x:v>
      </x:c>
    </x:row>
    <x:row r="444" ht="40" customHeight="1">
      <x:c r="A444" s="30" t="str">
        <x:v>SC06</x:v>
      </x:c>
      <x:c r="B444" s="30" t="str">
        <x:v>建筑/街区火灾与烟雾</x:v>
      </x:c>
      <x:c r="C444" s="30" t="str">
        <x:v>T026</x:v>
      </x:c>
      <x:c r="D444" s="30" t="str">
        <x:v>吊升/移置大块障碍</x:v>
      </x:c>
      <x:c r="E444" s="30" t="str">
        <x:v>可候选；Agent决定是否创建/执行</x:v>
      </x:c>
      <x:c r="F444" s="30" t="str">
        <x:v>条件扩展：明确设备/专业服务后启用</x:v>
      </x:c>
    </x:row>
    <x:row r="445" ht="40" customHeight="1">
      <x:c r="A445" s="30" t="str">
        <x:v>SC06</x:v>
      </x:c>
      <x:c r="B445" s="30" t="str">
        <x:v>建筑/街区火灾与烟雾</x:v>
      </x:c>
      <x:c r="C445" s="30" t="str">
        <x:v>T027</x:v>
      </x:c>
      <x:c r="D445" s="30" t="str">
        <x:v>建立联系并确认需求</x:v>
      </x:c>
      <x:c r="E445" s="30" t="str">
        <x:v>可候选；Agent决定是否创建/执行</x:v>
      </x:c>
      <x:c r="F445" s="30" t="str">
        <x:v>基线：依实际装配启用</x:v>
      </x:c>
    </x:row>
    <x:row r="446" ht="40" customHeight="1">
      <x:c r="A446" s="30" t="str">
        <x:v>SC06</x:v>
      </x:c>
      <x:c r="B446" s="30" t="str">
        <x:v>建筑/街区火灾与烟雾</x:v>
      </x:c>
      <x:c r="C446" s="30" t="str">
        <x:v>T028</x:v>
      </x:c>
      <x:c r="D446" s="30" t="str">
        <x:v>安全警示与避险引导</x:v>
      </x:c>
      <x:c r="E446" s="30" t="str">
        <x:v>可候选；Agent决定是否创建/执行</x:v>
      </x:c>
      <x:c r="F446" s="30" t="str">
        <x:v>基线：依实际装配启用</x:v>
      </x:c>
    </x:row>
    <x:row r="447" ht="40" customHeight="1">
      <x:c r="A447" s="30" t="str">
        <x:v>SC06</x:v>
      </x:c>
      <x:c r="B447" s="30" t="str">
        <x:v>建筑/街区火灾与烟雾</x:v>
      </x:c>
      <x:c r="C447" s="30" t="str">
        <x:v>T029</x:v>
      </x:c>
      <x:c r="D447" s="30" t="str">
        <x:v>专业伤员评估与分级</x:v>
      </x:c>
      <x:c r="E447" s="30" t="str">
        <x:v>可候选；Agent决定是否创建/执行</x:v>
      </x:c>
      <x:c r="F447" s="30" t="str">
        <x:v>条件扩展：明确设备/专业服务后启用</x:v>
      </x:c>
    </x:row>
    <x:row r="448" ht="40" customHeight="1">
      <x:c r="A448" s="30" t="str">
        <x:v>SC06</x:v>
      </x:c>
      <x:c r="B448" s="30" t="str">
        <x:v>建筑/街区火灾与烟雾</x:v>
      </x:c>
      <x:c r="C448" s="30" t="str">
        <x:v>T030</x:v>
      </x:c>
      <x:c r="D448" s="30" t="str">
        <x:v>人员基础物资支援</x:v>
      </x:c>
      <x:c r="E448" s="30" t="str">
        <x:v>可候选；Agent决定是否创建/执行</x:v>
      </x:c>
      <x:c r="F448" s="30" t="str">
        <x:v>基线：依实际装配启用</x:v>
      </x:c>
    </x:row>
    <x:row r="449" ht="40" customHeight="1">
      <x:c r="A449" s="30" t="str">
        <x:v>SC06</x:v>
      </x:c>
      <x:c r="B449" s="30" t="str">
        <x:v>建筑/街区火灾与烟雾</x:v>
      </x:c>
      <x:c r="C449" s="30" t="str">
        <x:v>T031</x:v>
      </x:c>
      <x:c r="D449" s="30" t="str">
        <x:v>专业初步救护</x:v>
      </x:c>
      <x:c r="E449" s="30" t="str">
        <x:v>可候选；Agent决定是否创建/执行</x:v>
      </x:c>
      <x:c r="F449" s="30" t="str">
        <x:v>条件扩展：明确设备/专业服务后启用</x:v>
      </x:c>
    </x:row>
    <x:row r="450" ht="40" customHeight="1">
      <x:c r="A450" s="30" t="str">
        <x:v>SC06</x:v>
      </x:c>
      <x:c r="B450" s="30" t="str">
        <x:v>建筑/街区火灾与烟雾</x:v>
      </x:c>
      <x:c r="C450" s="30" t="str">
        <x:v>T032</x:v>
      </x:c>
      <x:c r="D450" s="30" t="str">
        <x:v>受困解除/解困</x:v>
      </x:c>
      <x:c r="E450" s="30" t="str">
        <x:v>可候选；Agent决定是否创建/执行</x:v>
      </x:c>
      <x:c r="F450" s="30" t="str">
        <x:v>条件扩展：明确设备/专业服务后启用</x:v>
      </x:c>
    </x:row>
    <x:row r="451" ht="40" customHeight="1">
      <x:c r="A451" s="30" t="str">
        <x:v>SC06</x:v>
      </x:c>
      <x:c r="B451" s="30" t="str">
        <x:v>建筑/街区火灾与烟雾</x:v>
      </x:c>
      <x:c r="C451" s="30" t="str">
        <x:v>T033</x:v>
      </x:c>
      <x:c r="D451" s="30" t="str">
        <x:v>人员装载</x:v>
      </x:c>
      <x:c r="E451" s="30" t="str">
        <x:v>可候选；Agent决定是否创建/执行</x:v>
      </x:c>
      <x:c r="F451" s="30" t="str">
        <x:v>条件扩展：明确设备/专业服务后启用</x:v>
      </x:c>
    </x:row>
    <x:row r="452" ht="40" customHeight="1">
      <x:c r="A452" s="30" t="str">
        <x:v>SC06</x:v>
      </x:c>
      <x:c r="B452" s="30" t="str">
        <x:v>建筑/街区火灾与烟雾</x:v>
      </x:c>
      <x:c r="C452" s="30" t="str">
        <x:v>T034</x:v>
      </x:c>
      <x:c r="D452" s="30" t="str">
        <x:v>人员转运</x:v>
      </x:c>
      <x:c r="E452" s="30" t="str">
        <x:v>可候选；Agent决定是否创建/执行</x:v>
      </x:c>
      <x:c r="F452" s="30" t="str">
        <x:v>条件扩展：明确设备/专业服务后启用</x:v>
      </x:c>
    </x:row>
    <x:row r="453" ht="40" customHeight="1">
      <x:c r="A453" s="30" t="str">
        <x:v>SC06</x:v>
      </x:c>
      <x:c r="B453" s="30" t="str">
        <x:v>建筑/街区火灾与烟雾</x:v>
      </x:c>
      <x:c r="C453" s="30" t="str">
        <x:v>T035</x:v>
      </x:c>
      <x:c r="D453" s="30" t="str">
        <x:v>救援/医疗最终移交</x:v>
      </x:c>
      <x:c r="E453" s="30" t="str">
        <x:v>可候选；Agent决定是否创建/执行</x:v>
      </x:c>
      <x:c r="F453" s="30" t="str">
        <x:v>条件扩展：明确设备/专业服务后启用</x:v>
      </x:c>
    </x:row>
    <x:row r="454" ht="40" customHeight="1">
      <x:c r="A454" s="30" t="str">
        <x:v>SC06</x:v>
      </x:c>
      <x:c r="B454" s="30" t="str">
        <x:v>建筑/街区火灾与烟雾</x:v>
      </x:c>
      <x:c r="C454" s="30" t="str">
        <x:v>T038</x:v>
      </x:c>
      <x:c r="D454" s="30" t="str">
        <x:v>货物取用与挂载</x:v>
      </x:c>
      <x:c r="E454" s="30" t="str">
        <x:v>可候选；Agent决定是否创建/执行</x:v>
      </x:c>
      <x:c r="F454" s="30" t="str">
        <x:v>基线：依实际装配启用</x:v>
      </x:c>
    </x:row>
    <x:row r="455" ht="40" customHeight="1">
      <x:c r="A455" s="30" t="str">
        <x:v>SC06</x:v>
      </x:c>
      <x:c r="B455" s="30" t="str">
        <x:v>建筑/街区火灾与烟雾</x:v>
      </x:c>
      <x:c r="C455" s="30" t="str">
        <x:v>T039</x:v>
      </x:c>
      <x:c r="D455" s="30" t="str">
        <x:v>无人机精确物资投送</x:v>
      </x:c>
      <x:c r="E455" s="30" t="str">
        <x:v>可候选；Agent决定是否创建/执行</x:v>
      </x:c>
      <x:c r="F455" s="30" t="str">
        <x:v>基线：依实际装配启用</x:v>
      </x:c>
    </x:row>
    <x:row r="456" ht="40" customHeight="1">
      <x:c r="A456" s="30" t="str">
        <x:v>SC06</x:v>
      </x:c>
      <x:c r="B456" s="30" t="str">
        <x:v>建筑/街区火灾与烟雾</x:v>
      </x:c>
      <x:c r="C456" s="30" t="str">
        <x:v>T040</x:v>
      </x:c>
      <x:c r="D456" s="30" t="str">
        <x:v>地面物资送达与卸放</x:v>
      </x:c>
      <x:c r="E456" s="30" t="str">
        <x:v>可候选；Agent决定是否创建/执行</x:v>
      </x:c>
      <x:c r="F456" s="30" t="str">
        <x:v>基线：依实际装配启用</x:v>
      </x:c>
    </x:row>
    <x:row r="457" ht="40" customHeight="1">
      <x:c r="A457" s="30" t="str">
        <x:v>SC06</x:v>
      </x:c>
      <x:c r="B457" s="30" t="str">
        <x:v>建筑/街区火灾与烟雾</x:v>
      </x:c>
      <x:c r="C457" s="30" t="str">
        <x:v>T041</x:v>
      </x:c>
      <x:c r="D457" s="30" t="str">
        <x:v>交付复核与收货报告</x:v>
      </x:c>
      <x:c r="E457" s="30" t="str">
        <x:v>可候选；Agent决定是否创建/执行</x:v>
      </x:c>
      <x:c r="F457" s="30" t="str">
        <x:v>基线：依实际装配启用</x:v>
      </x:c>
    </x:row>
    <x:row r="458" ht="40" customHeight="1">
      <x:c r="A458" s="30" t="str">
        <x:v>SC06</x:v>
      </x:c>
      <x:c r="B458" s="30" t="str">
        <x:v>建筑/街区火灾与烟雾</x:v>
      </x:c>
      <x:c r="C458" s="30" t="str">
        <x:v>T042</x:v>
      </x:c>
      <x:c r="D458" s="30" t="str">
        <x:v>物资/器材补给</x:v>
      </x:c>
      <x:c r="E458" s="30" t="str">
        <x:v>可候选；Agent决定是否创建/执行</x:v>
      </x:c>
      <x:c r="F458" s="30" t="str">
        <x:v>基线：依实际装配启用</x:v>
      </x:c>
    </x:row>
    <x:row r="459" ht="40" customHeight="1">
      <x:c r="A459" s="30" t="str">
        <x:v>SC06</x:v>
      </x:c>
      <x:c r="B459" s="30" t="str">
        <x:v>建筑/街区火灾与烟雾</x:v>
      </x:c>
      <x:c r="C459" s="30" t="str">
        <x:v>T043</x:v>
      </x:c>
      <x:c r="D459" s="30" t="str">
        <x:v>平台充电</x:v>
      </x:c>
      <x:c r="E459" s="30" t="str">
        <x:v>可候选；Agent决定是否创建/执行</x:v>
      </x:c>
      <x:c r="F459" s="30" t="str">
        <x:v>基线：依实际装配启用</x:v>
      </x:c>
    </x:row>
    <x:row r="460" ht="40" customHeight="1">
      <x:c r="A460" s="30" t="str">
        <x:v>SC06</x:v>
      </x:c>
      <x:c r="B460" s="30" t="str">
        <x:v>建筑/街区火灾与烟雾</x:v>
      </x:c>
      <x:c r="C460" s="30" t="str">
        <x:v>T044</x:v>
      </x:c>
      <x:c r="D460" s="30" t="str">
        <x:v>平台换电</x:v>
      </x:c>
      <x:c r="E460" s="30" t="str">
        <x:v>可候选；Agent决定是否创建/执行</x:v>
      </x:c>
      <x:c r="F460" s="30" t="str">
        <x:v>基线：依实际装配启用</x:v>
      </x:c>
    </x:row>
    <x:row r="461" ht="40" customHeight="1">
      <x:c r="A461" s="30" t="str">
        <x:v>SC06</x:v>
      </x:c>
      <x:c r="B461" s="30" t="str">
        <x:v>建筑/街区火灾与烟雾</x:v>
      </x:c>
      <x:c r="C461" s="30" t="str">
        <x:v>T045</x:v>
      </x:c>
      <x:c r="D461" s="30" t="str">
        <x:v>返航/返站与安全撤离</x:v>
      </x:c>
      <x:c r="E461" s="30" t="str">
        <x:v>可候选；Agent决定是否创建/执行</x:v>
      </x:c>
      <x:c r="F461" s="30" t="str">
        <x:v>基线：依实际装配启用</x:v>
      </x:c>
    </x:row>
    <x:row r="462" ht="40" customHeight="1">
      <x:c r="A462" s="30" t="str">
        <x:v>SC06</x:v>
      </x:c>
      <x:c r="B462" s="30" t="str">
        <x:v>建筑/街区火灾与烟雾</x:v>
      </x:c>
      <x:c r="C462" s="30" t="str">
        <x:v>T046</x:v>
      </x:c>
      <x:c r="D462" s="30" t="str">
        <x:v>失效平台回收</x:v>
      </x:c>
      <x:c r="E462" s="30" t="str">
        <x:v>可候选；Agent决定是否创建/执行</x:v>
      </x:c>
      <x:c r="F462" s="30" t="str">
        <x:v>条件扩展：明确设备/专业服务后启用</x:v>
      </x:c>
    </x:row>
    <x:row r="463" ht="40" customHeight="1">
      <x:c r="A463" s="30" t="str">
        <x:v>SC06</x:v>
      </x:c>
      <x:c r="B463" s="30" t="str">
        <x:v>建筑/街区火灾与烟雾</x:v>
      </x:c>
      <x:c r="C463" s="30" t="str">
        <x:v>T047</x:v>
      </x:c>
      <x:c r="D463" s="30" t="str">
        <x:v>链路探测与质量估计</x:v>
      </x:c>
      <x:c r="E463" s="30" t="str">
        <x:v>可候选；Agent决定是否创建/执行</x:v>
      </x:c>
      <x:c r="F463" s="30" t="str">
        <x:v>基线：依实际装配启用</x:v>
      </x:c>
    </x:row>
    <x:row r="464" ht="40" customHeight="1">
      <x:c r="A464" s="30" t="str">
        <x:v>SC06</x:v>
      </x:c>
      <x:c r="B464" s="30" t="str">
        <x:v>建筑/街区火灾与烟雾</x:v>
      </x:c>
      <x:c r="C464" s="30" t="str">
        <x:v>T048</x:v>
      </x:c>
      <x:c r="D464" s="30" t="str">
        <x:v>通信会合与重定位</x:v>
      </x:c>
      <x:c r="E464" s="30" t="str">
        <x:v>可候选；Agent决定是否创建/执行</x:v>
      </x:c>
      <x:c r="F464" s="30" t="str">
        <x:v>基线：依实际装配启用</x:v>
      </x:c>
    </x:row>
    <x:row r="465" ht="40" customHeight="1">
      <x:c r="A465" s="30" t="str">
        <x:v>SC06</x:v>
      </x:c>
      <x:c r="B465" s="30" t="str">
        <x:v>建筑/街区火灾与烟雾</x:v>
      </x:c>
      <x:c r="C465" s="30" t="str">
        <x:v>T049</x:v>
      </x:c>
      <x:c r="D465" s="30" t="str">
        <x:v>空中中继保持</x:v>
      </x:c>
      <x:c r="E465" s="30" t="str">
        <x:v>可候选；Agent决定是否创建/执行</x:v>
      </x:c>
      <x:c r="F465" s="30" t="str">
        <x:v>基线：依实际装配启用</x:v>
      </x:c>
    </x:row>
    <x:row r="466" ht="40" customHeight="1">
      <x:c r="A466" s="30" t="str">
        <x:v>SC06</x:v>
      </x:c>
      <x:c r="B466" s="30" t="str">
        <x:v>建筑/街区火灾与烟雾</x:v>
      </x:c>
      <x:c r="C466" s="30" t="str">
        <x:v>T050</x:v>
      </x:c>
      <x:c r="D466" s="30" t="str">
        <x:v>通信节点布放</x:v>
      </x:c>
      <x:c r="E466" s="30" t="str">
        <x:v>可候选；Agent决定是否创建/执行</x:v>
      </x:c>
      <x:c r="F466" s="30" t="str">
        <x:v>条件扩展：明确设备/专业服务后启用</x:v>
      </x:c>
    </x:row>
    <x:row r="467" ht="40" customHeight="1">
      <x:c r="A467" s="30" t="str">
        <x:v>SC06</x:v>
      </x:c>
      <x:c r="B467" s="30" t="str">
        <x:v>建筑/街区火灾与烟雾</x:v>
      </x:c>
      <x:c r="C467" s="30" t="str">
        <x:v>T051</x:v>
      </x:c>
      <x:c r="D467" s="30" t="str">
        <x:v>多跳业务转发</x:v>
      </x:c>
      <x:c r="E467" s="30" t="str">
        <x:v>可候选；Agent决定是否创建/执行</x:v>
      </x:c>
      <x:c r="F467" s="30" t="str">
        <x:v>基线：依实际装配启用</x:v>
      </x:c>
    </x:row>
    <x:row r="468" ht="40" customHeight="1">
      <x:c r="A468" s="30" t="str">
        <x:v>SC06</x:v>
      </x:c>
      <x:c r="B468" s="30" t="str">
        <x:v>建筑/街区火灾与烟雾</x:v>
      </x:c>
      <x:c r="C468" s="30" t="str">
        <x:v>T052</x:v>
      </x:c>
      <x:c r="D468" s="30" t="str">
        <x:v>图像/证据数据上传</x:v>
      </x:c>
      <x:c r="E468" s="30" t="str">
        <x:v>可候选；Agent决定是否创建/执行</x:v>
      </x:c>
      <x:c r="F468" s="30" t="str">
        <x:v>基线：依实际装配启用</x:v>
      </x:c>
    </x:row>
    <x:row r="469" ht="40" customHeight="1">
      <x:c r="A469" s="30" t="str">
        <x:v>SC06</x:v>
      </x:c>
      <x:c r="B469" s="30" t="str">
        <x:v>建筑/街区火灾与烟雾</x:v>
      </x:c>
      <x:c r="C469" s="30" t="str">
        <x:v>T053</x:v>
      </x:c>
      <x:c r="D469" s="30" t="str">
        <x:v>可靠回执与超时重传</x:v>
      </x:c>
      <x:c r="E469" s="30" t="str">
        <x:v>可候选；Agent决定是否创建/执行</x:v>
      </x:c>
      <x:c r="F469" s="30" t="str">
        <x:v>基线：依实际装配启用</x:v>
      </x:c>
    </x:row>
    <x:row r="470" ht="40" customHeight="1">
      <x:c r="A470" s="30" t="str">
        <x:v>SC06</x:v>
      </x:c>
      <x:c r="B470" s="30" t="str">
        <x:v>建筑/街区火灾与烟雾</x:v>
      </x:c>
      <x:c r="C470" s="30" t="str">
        <x:v>T054</x:v>
      </x:c>
      <x:c r="D470" s="30" t="str">
        <x:v>断联存储-携带-转发</x:v>
      </x:c>
      <x:c r="E470" s="30" t="str">
        <x:v>可候选；Agent决定是否创建/执行</x:v>
      </x:c>
      <x:c r="F470" s="30" t="str">
        <x:v>基线：依实际装配启用</x:v>
      </x:c>
    </x:row>
    <x:row r="471" ht="40" customHeight="1">
      <x:c r="A471" s="30" t="str">
        <x:v>SC06</x:v>
      </x:c>
      <x:c r="B471" s="30" t="str">
        <x:v>建筑/街区火灾与烟雾</x:v>
      </x:c>
      <x:c r="C471" s="30" t="str">
        <x:v>T055</x:v>
      </x:c>
      <x:c r="D471" s="30" t="str">
        <x:v>信道/功率/传输优先级调整</x:v>
      </x:c>
      <x:c r="E471" s="30" t="str">
        <x:v>可候选；Agent决定是否创建/执行</x:v>
      </x:c>
      <x:c r="F471" s="30" t="str">
        <x:v>基线：依实际装配启用</x:v>
      </x:c>
    </x:row>
    <x:row r="472" ht="40" customHeight="1">
      <x:c r="A472" s="30" t="str">
        <x:v>SC06</x:v>
      </x:c>
      <x:c r="B472" s="30" t="str">
        <x:v>建筑/街区火灾与烟雾</x:v>
      </x:c>
      <x:c r="C472" s="30" t="str">
        <x:v>T056</x:v>
      </x:c>
      <x:c r="D472" s="30" t="str">
        <x:v>失联后的连接恢复</x:v>
      </x:c>
      <x:c r="E472" s="30" t="str">
        <x:v>可候选；Agent决定是否创建/执行</x:v>
      </x:c>
      <x:c r="F472" s="30" t="str">
        <x:v>基线：依实际装配启用</x:v>
      </x:c>
    </x:row>
    <x:row r="473" ht="40" customHeight="1">
      <x:c r="A473" s="30" t="str">
        <x:v>SC06</x:v>
      </x:c>
      <x:c r="B473" s="30" t="str">
        <x:v>建筑/街区火灾与烟雾</x:v>
      </x:c>
      <x:c r="C473" s="30" t="str">
        <x:v>T057</x:v>
      </x:c>
      <x:c r="D473" s="30" t="str">
        <x:v>计算与模型服务发现</x:v>
      </x:c>
      <x:c r="E473" s="30" t="str">
        <x:v>可候选；Agent决定是否创建/执行</x:v>
      </x:c>
      <x:c r="F473" s="30" t="str">
        <x:v>基线：依实际装配启用</x:v>
      </x:c>
    </x:row>
    <x:row r="474" ht="40" customHeight="1">
      <x:c r="A474" s="30" t="str">
        <x:v>SC06</x:v>
      </x:c>
      <x:c r="B474" s="30" t="str">
        <x:v>建筑/街区火灾与烟雾</x:v>
      </x:c>
      <x:c r="C474" s="30" t="str">
        <x:v>T058</x:v>
      </x:c>
      <x:c r="D474" s="30" t="str">
        <x:v>本地视觉检测</x:v>
      </x:c>
      <x:c r="E474" s="30" t="str">
        <x:v>可候选；Agent决定是否创建/执行</x:v>
      </x:c>
      <x:c r="F474" s="30" t="str">
        <x:v>基线：依实际装配启用</x:v>
      </x:c>
    </x:row>
    <x:row r="475" ht="40" customHeight="1">
      <x:c r="A475" s="30" t="str">
        <x:v>SC06</x:v>
      </x:c>
      <x:c r="B475" s="30" t="str">
        <x:v>建筑/街区火灾与烟雾</x:v>
      </x:c>
      <x:c r="C475" s="30" t="str">
        <x:v>T059</x:v>
      </x:c>
      <x:c r="D475" s="30" t="str">
        <x:v>本地语义/任务推理</x:v>
      </x:c>
      <x:c r="E475" s="30" t="str">
        <x:v>可候选；Agent决定是否创建/执行</x:v>
      </x:c>
      <x:c r="F475" s="30" t="str">
        <x:v>基线：依实际装配启用</x:v>
      </x:c>
    </x:row>
    <x:row r="476" ht="40" customHeight="1">
      <x:c r="A476" s="30" t="str">
        <x:v>SC06</x:v>
      </x:c>
      <x:c r="B476" s="30" t="str">
        <x:v>建筑/街区火灾与烟雾</x:v>
      </x:c>
      <x:c r="C476" s="30" t="str">
        <x:v>T060</x:v>
      </x:c>
      <x:c r="D476" s="30" t="str">
        <x:v>远程视觉复核/推理卸载</x:v>
      </x:c>
      <x:c r="E476" s="30" t="str">
        <x:v>可候选；Agent决定是否创建/执行</x:v>
      </x:c>
      <x:c r="F476" s="30" t="str">
        <x:v>基线：依实际装配启用</x:v>
      </x:c>
    </x:row>
    <x:row r="477" ht="40" customHeight="1">
      <x:c r="A477" s="30" t="str">
        <x:v>SC06</x:v>
      </x:c>
      <x:c r="B477" s="30" t="str">
        <x:v>建筑/街区火灾与烟雾</x:v>
      </x:c>
      <x:c r="C477" s="30" t="str">
        <x:v>T061</x:v>
      </x:c>
      <x:c r="D477" s="30" t="str">
        <x:v>执行节点与模型选择</x:v>
      </x:c>
      <x:c r="E477" s="30" t="str">
        <x:v>可候选；Agent决定是否创建/执行</x:v>
      </x:c>
      <x:c r="F477" s="30" t="str">
        <x:v>基线：依实际装配启用</x:v>
      </x:c>
    </x:row>
    <x:row r="478" ht="40" customHeight="1">
      <x:c r="A478" s="30" t="str">
        <x:v>SC06</x:v>
      </x:c>
      <x:c r="B478" s="30" t="str">
        <x:v>建筑/街区火灾与烟雾</x:v>
      </x:c>
      <x:c r="C478" s="30" t="str">
        <x:v>T062</x:v>
      </x:c>
      <x:c r="D478" s="30" t="str">
        <x:v>计算作业准入与排队</x:v>
      </x:c>
      <x:c r="E478" s="30" t="str">
        <x:v>可候选；Agent决定是否创建/执行</x:v>
      </x:c>
      <x:c r="F478" s="30" t="str">
        <x:v>基线：依实际装配启用</x:v>
      </x:c>
    </x:row>
    <x:row r="479" ht="40" customHeight="1">
      <x:c r="A479" s="30" t="str">
        <x:v>SC06</x:v>
      </x:c>
      <x:c r="B479" s="30" t="str">
        <x:v>建筑/街区火灾与烟雾</x:v>
      </x:c>
      <x:c r="C479" s="30" t="str">
        <x:v>T063</x:v>
      </x:c>
      <x:c r="D479" s="30" t="str">
        <x:v>模型服务加载/卸载</x:v>
      </x:c>
      <x:c r="E479" s="30" t="str">
        <x:v>可候选；Agent决定是否创建/执行</x:v>
      </x:c>
      <x:c r="F479" s="30" t="str">
        <x:v>基线：依实际装配启用</x:v>
      </x:c>
    </x:row>
    <x:row r="480" ht="40" customHeight="1">
      <x:c r="A480" s="30" t="str">
        <x:v>SC06</x:v>
      </x:c>
      <x:c r="B480" s="30" t="str">
        <x:v>建筑/街区火灾与烟雾</x:v>
      </x:c>
      <x:c r="C480" s="30" t="str">
        <x:v>T064</x:v>
      </x:c>
      <x:c r="D480" s="30" t="str">
        <x:v>上下文/表示缓存复用</x:v>
      </x:c>
      <x:c r="E480" s="30" t="str">
        <x:v>可候选；Agent决定是否创建/执行</x:v>
      </x:c>
      <x:c r="F480" s="30" t="str">
        <x:v>基线：依实际装配启用</x:v>
      </x:c>
    </x:row>
    <x:row r="481" ht="40" customHeight="1">
      <x:c r="A481" s="30" t="str">
        <x:v>SC06</x:v>
      </x:c>
      <x:c r="B481" s="30" t="str">
        <x:v>建筑/街区火灾与烟雾</x:v>
      </x:c>
      <x:c r="C481" s="30" t="str">
        <x:v>T065</x:v>
      </x:c>
      <x:c r="D481" s="30" t="str">
        <x:v>服务/作业迁移与恢复</x:v>
      </x:c>
      <x:c r="E481" s="30" t="str">
        <x:v>可候选；Agent决定是否创建/执行</x:v>
      </x:c>
      <x:c r="F481" s="30" t="str">
        <x:v>条件扩展：明确设备/专业服务后启用</x:v>
      </x:c>
    </x:row>
    <x:row r="482" ht="40" customHeight="1">
      <x:c r="A482" s="30" t="str">
        <x:v>SC06</x:v>
      </x:c>
      <x:c r="B482" s="30" t="str">
        <x:v>建筑/街区火灾与烟雾</x:v>
      </x:c>
      <x:c r="C482" s="30" t="str">
        <x:v>T066</x:v>
      </x:c>
      <x:c r="D482" s="30" t="str">
        <x:v>预算耗尽/失败作业取消重试</x:v>
      </x:c>
      <x:c r="E482" s="30" t="str">
        <x:v>可候选；Agent决定是否创建/执行</x:v>
      </x:c>
      <x:c r="F482" s="30" t="str">
        <x:v>基线：依实际装配启用</x:v>
      </x:c>
    </x:row>
    <x:row r="483" ht="40" customHeight="1">
      <x:c r="A483" s="30" t="str">
        <x:v>SC06</x:v>
      </x:c>
      <x:c r="B483" s="30" t="str">
        <x:v>建筑/街区火灾与烟雾</x:v>
      </x:c>
      <x:c r="C483" s="30" t="str">
        <x:v>T067</x:v>
      </x:c>
      <x:c r="D483" s="30" t="str">
        <x:v>批处理/多源联合推理</x:v>
      </x:c>
      <x:c r="E483" s="30" t="str">
        <x:v>可候选；Agent决定是否创建/执行</x:v>
      </x:c>
      <x:c r="F483" s="30" t="str">
        <x:v>基线：依实际装配启用</x:v>
      </x:c>
    </x:row>
    <x:row r="484" ht="40" customHeight="1">
      <x:c r="A484" s="30" t="str">
        <x:v>SC06</x:v>
      </x:c>
      <x:c r="B484" s="30" t="str">
        <x:v>建筑/街区火灾与烟雾</x:v>
      </x:c>
      <x:c r="C484" s="30" t="str">
        <x:v>T068</x:v>
      </x:c>
      <x:c r="D484" s="30" t="str">
        <x:v>计算资源释放与缓存清理</x:v>
      </x:c>
      <x:c r="E484" s="30" t="str">
        <x:v>可候选；Agent决定是否创建/执行</x:v>
      </x:c>
      <x:c r="F484" s="30" t="str">
        <x:v>基线：依实际装配启用</x:v>
      </x:c>
    </x:row>
    <x:row r="485" ht="40" customHeight="1">
      <x:c r="A485" s="30" t="str">
        <x:v>SC06</x:v>
      </x:c>
      <x:c r="B485" s="30" t="str">
        <x:v>建筑/街区火灾与烟雾</x:v>
      </x:c>
      <x:c r="C485" s="30" t="str">
        <x:v>T069</x:v>
      </x:c>
      <x:c r="D485" s="30" t="str">
        <x:v>跨源时间坐标对齐</x:v>
      </x:c>
      <x:c r="E485" s="30" t="str">
        <x:v>可候选；Agent决定是否创建/执行</x:v>
      </x:c>
      <x:c r="F485" s="30" t="str">
        <x:v>基线：依实际装配启用</x:v>
      </x:c>
    </x:row>
    <x:row r="486" ht="40" customHeight="1">
      <x:c r="A486" s="30" t="str">
        <x:v>SC06</x:v>
      </x:c>
      <x:c r="B486" s="30" t="str">
        <x:v>建筑/街区火灾与烟雾</x:v>
      </x:c>
      <x:c r="C486" s="30" t="str">
        <x:v>T070</x:v>
      </x:c>
      <x:c r="D486" s="30" t="str">
        <x:v>任务条件化本地历史检索</x:v>
      </x:c>
      <x:c r="E486" s="30" t="str">
        <x:v>可候选；Agent决定是否创建/执行</x:v>
      </x:c>
      <x:c r="F486" s="30" t="str">
        <x:v>基线：依实际装配启用</x:v>
      </x:c>
    </x:row>
    <x:row r="487" ht="40" customHeight="1">
      <x:c r="A487" s="30" t="str">
        <x:v>SC06</x:v>
      </x:c>
      <x:c r="B487" s="30" t="str">
        <x:v>建筑/街区火灾与烟雾</x:v>
      </x:c>
      <x:c r="C487" s="30" t="str">
        <x:v>T071</x:v>
      </x:c>
      <x:c r="D487" s="30" t="str">
        <x:v>图像裁剪/编码/证据打包</x:v>
      </x:c>
      <x:c r="E487" s="30" t="str">
        <x:v>可候选；Agent决定是否创建/执行</x:v>
      </x:c>
      <x:c r="F487" s="30" t="str">
        <x:v>基线：依实际装配启用</x:v>
      </x:c>
    </x:row>
    <x:row r="488" ht="40" customHeight="1">
      <x:c r="A488" s="30" t="str">
        <x:v>SC06</x:v>
      </x:c>
      <x:c r="B488" s="30" t="str">
        <x:v>建筑/街区火灾与烟雾</x:v>
      </x:c>
      <x:c r="C488" s="30" t="str">
        <x:v>T072</x:v>
      </x:c>
      <x:c r="D488" s="30" t="str">
        <x:v>置信度与证据充分性判断</x:v>
      </x:c>
      <x:c r="E488" s="30" t="str">
        <x:v>可候选；Agent决定是否创建/执行</x:v>
      </x:c>
      <x:c r="F488" s="30" t="str">
        <x:v>基线：依实际装配启用</x:v>
      </x:c>
    </x:row>
    <x:row r="489" ht="40" customHeight="1">
      <x:c r="A489" s="30" t="str">
        <x:v>SC06</x:v>
      </x:c>
      <x:c r="B489" s="30" t="str">
        <x:v>建筑/街区火灾与烟雾</x:v>
      </x:c>
      <x:c r="C489" s="30" t="str">
        <x:v>T073</x:v>
      </x:c>
      <x:c r="D489" s="30" t="str">
        <x:v>多源融合与冲突更正</x:v>
      </x:c>
      <x:c r="E489" s="30" t="str">
        <x:v>可候选；Agent决定是否创建/执行</x:v>
      </x:c>
      <x:c r="F489" s="30" t="str">
        <x:v>基线：依实际装配启用</x:v>
      </x:c>
    </x:row>
    <x:row r="490" ht="40" customHeight="1">
      <x:c r="A490" s="30" t="str">
        <x:v>SC06</x:v>
      </x:c>
      <x:c r="B490" s="30" t="str">
        <x:v>建筑/街区火灾与烟雾</x:v>
      </x:c>
      <x:c r="C490" s="30" t="str">
        <x:v>T074</x:v>
      </x:c>
      <x:c r="D490" s="30" t="str">
        <x:v>面向任务的信息选择与共享</x:v>
      </x:c>
      <x:c r="E490" s="30" t="str">
        <x:v>可候选；Agent决定是否创建/执行</x:v>
      </x:c>
      <x:c r="F490" s="30" t="str">
        <x:v>基线：依实际装配启用</x:v>
      </x:c>
    </x:row>
    <x:row r="491" ht="40" customHeight="1">
      <x:c r="A491" s="30" t="str">
        <x:v>SC06</x:v>
      </x:c>
      <x:c r="B491" s="30" t="str">
        <x:v>建筑/街区火灾与烟雾</x:v>
      </x:c>
      <x:c r="C491" s="30" t="str">
        <x:v>T075</x:v>
      </x:c>
      <x:c r="D491" s="30" t="str">
        <x:v>局部信念与过时信息维护</x:v>
      </x:c>
      <x:c r="E491" s="30" t="str">
        <x:v>可候选；Agent决定是否创建/执行</x:v>
      </x:c>
      <x:c r="F491" s="30" t="str">
        <x:v>基线：依实际装配启用</x:v>
      </x:c>
    </x:row>
    <x:row r="492" ht="40" customHeight="1">
      <x:c r="A492" s="30" t="str">
        <x:v>SC06</x:v>
      </x:c>
      <x:c r="B492" s="30" t="str">
        <x:v>建筑/街区火灾与烟雾</x:v>
      </x:c>
      <x:c r="C492" s="30" t="str">
        <x:v>T076</x:v>
      </x:c>
      <x:c r="D492" s="30" t="str">
        <x:v>轨迹/证据归档与回放</x:v>
      </x:c>
      <x:c r="E492" s="30" t="str">
        <x:v>可候选；Agent决定是否创建/执行</x:v>
      </x:c>
      <x:c r="F492" s="30" t="str">
        <x:v>基线：依实际装配启用</x:v>
      </x:c>
    </x:row>
    <x:row r="493" ht="40" customHeight="1">
      <x:c r="A493" s="30" t="str">
        <x:v>SC06</x:v>
      </x:c>
      <x:c r="B493" s="30" t="str">
        <x:v>建筑/街区火灾与烟雾</x:v>
      </x:c>
      <x:c r="C493" s="30" t="str">
        <x:v>T077</x:v>
      </x:c>
      <x:c r="D493" s="30" t="str">
        <x:v>接收并解释当前使命</x:v>
      </x:c>
      <x:c r="E493" s="30" t="str">
        <x:v>可候选；Agent决定是否创建/执行</x:v>
      </x:c>
      <x:c r="F493" s="30" t="str">
        <x:v>基线：依实际装配启用</x:v>
      </x:c>
    </x:row>
    <x:row r="494" ht="40" customHeight="1">
      <x:c r="A494" s="30" t="str">
        <x:v>SC06</x:v>
      </x:c>
      <x:c r="B494" s="30" t="str">
        <x:v>建筑/街区火灾与烟雾</x:v>
      </x:c>
      <x:c r="C494" s="30" t="str">
        <x:v>T078</x:v>
      </x:c>
      <x:c r="D494" s="30" t="str">
        <x:v>自主任务分解与候选生成</x:v>
      </x:c>
      <x:c r="E494" s="30" t="str">
        <x:v>可候选；Agent决定是否创建/执行</x:v>
      </x:c>
      <x:c r="F494" s="30" t="str">
        <x:v>基线：依实际装配启用</x:v>
      </x:c>
    </x:row>
    <x:row r="495" ht="40" customHeight="1">
      <x:c r="A495" s="30" t="str">
        <x:v>SC06</x:v>
      </x:c>
      <x:c r="B495" s="30" t="str">
        <x:v>建筑/街区火灾与烟雾</x:v>
      </x:c>
      <x:c r="C495" s="30" t="str">
        <x:v>T079</x:v>
      </x:c>
      <x:c r="D495" s="30" t="str">
        <x:v>本机参与筛选与出价</x:v>
      </x:c>
      <x:c r="E495" s="30" t="str">
        <x:v>可候选；Agent决定是否创建/执行</x:v>
      </x:c>
      <x:c r="F495" s="30" t="str">
        <x:v>基线：依实际装配启用</x:v>
      </x:c>
    </x:row>
    <x:row r="496" ht="40" customHeight="1">
      <x:c r="A496" s="30" t="str">
        <x:v>SC06</x:v>
      </x:c>
      <x:c r="B496" s="30" t="str">
        <x:v>建筑/街区火灾与烟雾</x:v>
      </x:c>
      <x:c r="C496" s="30" t="str">
        <x:v>T080</x:v>
      </x:c>
      <x:c r="D496" s="30" t="str">
        <x:v>多平台任务分配与协调</x:v>
      </x:c>
      <x:c r="E496" s="30" t="str">
        <x:v>可候选；Agent决定是否创建/执行</x:v>
      </x:c>
      <x:c r="F496" s="30" t="str">
        <x:v>基线：依实际装配启用</x:v>
      </x:c>
    </x:row>
    <x:row r="497" ht="40" customHeight="1">
      <x:c r="A497" s="30" t="str">
        <x:v>SC06</x:v>
      </x:c>
      <x:c r="B497" s="30" t="str">
        <x:v>建筑/街区火灾与烟雾</x:v>
      </x:c>
      <x:c r="C497" s="30" t="str">
        <x:v>T081</x:v>
      </x:c>
      <x:c r="D497" s="30" t="str">
        <x:v>任务接受/拒绝与承诺</x:v>
      </x:c>
      <x:c r="E497" s="30" t="str">
        <x:v>可候选；Agent决定是否创建/执行</x:v>
      </x:c>
      <x:c r="F497" s="30" t="str">
        <x:v>基线：依实际装配启用</x:v>
      </x:c>
    </x:row>
    <x:row r="498" ht="40" customHeight="1">
      <x:c r="A498" s="30" t="str">
        <x:v>SC06</x:v>
      </x:c>
      <x:c r="B498" s="30" t="str">
        <x:v>建筑/街区火灾与烟雾</x:v>
      </x:c>
      <x:c r="C498" s="30" t="str">
        <x:v>T082</x:v>
      </x:c>
      <x:c r="D498" s="30" t="str">
        <x:v>进度监控与完成确认</x:v>
      </x:c>
      <x:c r="E498" s="30" t="str">
        <x:v>可候选；Agent决定是否创建/执行</x:v>
      </x:c>
      <x:c r="F498" s="30" t="str">
        <x:v>基线：依实际装配启用</x:v>
      </x:c>
    </x:row>
    <x:row r="499" ht="40" customHeight="1">
      <x:c r="A499" s="30" t="str">
        <x:v>SC06</x:v>
      </x:c>
      <x:c r="B499" s="30" t="str">
        <x:v>建筑/街区火灾与烟雾</x:v>
      </x:c>
      <x:c r="C499" s="30" t="str">
        <x:v>T083</x:v>
      </x:c>
      <x:c r="D499" s="30" t="str">
        <x:v>任务取消/抢占</x:v>
      </x:c>
      <x:c r="E499" s="30" t="str">
        <x:v>可候选；Agent决定是否创建/执行</x:v>
      </x:c>
      <x:c r="F499" s="30" t="str">
        <x:v>基线：依实际装配启用</x:v>
      </x:c>
    </x:row>
    <x:row r="500" ht="40" customHeight="1">
      <x:c r="A500" s="30" t="str">
        <x:v>SC06</x:v>
      </x:c>
      <x:c r="B500" s="30" t="str">
        <x:v>建筑/街区火灾与烟雾</x:v>
      </x:c>
      <x:c r="C500" s="30" t="str">
        <x:v>T084</x:v>
      </x:c>
      <x:c r="D500" s="30" t="str">
        <x:v>恢复原任务</x:v>
      </x:c>
      <x:c r="E500" s="30" t="str">
        <x:v>可候选；Agent决定是否创建/执行</x:v>
      </x:c>
      <x:c r="F500" s="30" t="str">
        <x:v>基线：依实际装配启用</x:v>
      </x:c>
    </x:row>
    <x:row r="501" ht="40" customHeight="1">
      <x:c r="A501" s="30" t="str">
        <x:v>SC06</x:v>
      </x:c>
      <x:c r="B501" s="30" t="str">
        <x:v>建筑/街区火灾与烟雾</x:v>
      </x:c>
      <x:c r="C501" s="30" t="str">
        <x:v>T085</x:v>
      </x:c>
      <x:c r="D501" s="30" t="str">
        <x:v>跨Agent任务与证据交接</x:v>
      </x:c>
      <x:c r="E501" s="30" t="str">
        <x:v>可候选；Agent决定是否创建/执行</x:v>
      </x:c>
      <x:c r="F501" s="30" t="str">
        <x:v>基线：依实际装配启用</x:v>
      </x:c>
    </x:row>
    <x:row r="502" ht="40" customHeight="1">
      <x:c r="A502" s="30" t="str">
        <x:v>SC06</x:v>
      </x:c>
      <x:c r="B502" s="30" t="str">
        <x:v>建筑/街区火灾与烟雾</x:v>
      </x:c>
      <x:c r="C502" s="30" t="str">
        <x:v>T086</x:v>
      </x:c>
      <x:c r="D502" s="30" t="str">
        <x:v>失败重规划与重派</x:v>
      </x:c>
      <x:c r="E502" s="30" t="str">
        <x:v>可候选；Agent决定是否创建/执行</x:v>
      </x:c>
      <x:c r="F502" s="30" t="str">
        <x:v>基线：依实际装配启用</x:v>
      </x:c>
    </x:row>
    <x:row r="503" ht="40" customHeight="1">
      <x:c r="A503" s="30" t="str">
        <x:v>SC06</x:v>
      </x:c>
      <x:c r="B503" s="30" t="str">
        <x:v>建筑/街区火灾与烟雾</x:v>
      </x:c>
      <x:c r="C503" s="30" t="str">
        <x:v>T087</x:v>
      </x:c>
      <x:c r="D503" s="30" t="str">
        <x:v>请求专业救援/工程力量</x:v>
      </x:c>
      <x:c r="E503" s="30" t="str">
        <x:v>可候选；Agent决定是否创建/执行</x:v>
      </x:c>
      <x:c r="F503" s="30" t="str">
        <x:v>基线：依实际装配启用</x:v>
      </x:c>
    </x:row>
    <x:row r="504" ht="40" customHeight="1">
      <x:c r="A504" s="30" t="str">
        <x:v>SC06</x:v>
      </x:c>
      <x:c r="B504" s="30" t="str">
        <x:v>建筑/街区火灾与烟雾</x:v>
      </x:c>
      <x:c r="C504" s="30" t="str">
        <x:v>T088</x:v>
      </x:c>
      <x:c r="D504" s="30" t="str">
        <x:v>工作现场闭合与阶段移交</x:v>
      </x:c>
      <x:c r="E504" s="30" t="str">
        <x:v>可候选；Agent决定是否创建/执行</x:v>
      </x:c>
      <x:c r="F504" s="30" t="str">
        <x:v>基线：依实际装配启用</x:v>
      </x:c>
    </x:row>
    <x:row r="505" ht="40" customHeight="1">
      <x:c r="A505" s="30" t="str">
        <x:v>SC06</x:v>
      </x:c>
      <x:c r="B505" s="30" t="str">
        <x:v>建筑/街区火灾与烟雾</x:v>
      </x:c>
      <x:c r="C505" s="30" t="str">
        <x:v>T089</x:v>
      </x:c>
      <x:c r="D505" s="30" t="str">
        <x:v>次生危险动态监视</x:v>
      </x:c>
      <x:c r="E505" s="30" t="str">
        <x:v>可候选；Agent决定是否创建/执行</x:v>
      </x:c>
      <x:c r="F505" s="30" t="str">
        <x:v>基线：依实际装配启用</x:v>
      </x:c>
    </x:row>
    <x:row r="506" ht="40" customHeight="1">
      <x:c r="A506" s="30" t="str">
        <x:v>SC06</x:v>
      </x:c>
      <x:c r="B506" s="30" t="str">
        <x:v>建筑/街区火灾与烟雾</x:v>
      </x:c>
      <x:c r="C506" s="30" t="str">
        <x:v>T090</x:v>
      </x:c>
      <x:c r="D506" s="30" t="str">
        <x:v>平台/能源/服务健康监视</x:v>
      </x:c>
      <x:c r="E506" s="30" t="str">
        <x:v>可候选；Agent决定是否创建/执行</x:v>
      </x:c>
      <x:c r="F506" s="30" t="str">
        <x:v>基线：依实际装配启用</x:v>
      </x:c>
    </x:row>
    <x:row r="507" ht="40" customHeight="1">
      <x:c r="A507" s="30" t="str">
        <x:v>SC06</x:v>
      </x:c>
      <x:c r="B507" s="30" t="str">
        <x:v>建筑/街区火灾与烟雾</x:v>
      </x:c>
      <x:c r="C507" s="30" t="str">
        <x:v>T091</x:v>
      </x:c>
      <x:c r="D507" s="30" t="str">
        <x:v>安全等待与驻留观察</x:v>
      </x:c>
      <x:c r="E507" s="30" t="str">
        <x:v>可候选；Agent决定是否创建/执行</x:v>
      </x:c>
      <x:c r="F507" s="30" t="str">
        <x:v>基线：依实际装配启用</x:v>
      </x:c>
    </x:row>
    <x:row r="508" ht="40" customHeight="1">
      <x:c r="A508" s="30" t="str">
        <x:v>SC06</x:v>
      </x:c>
      <x:c r="B508" s="30" t="str">
        <x:v>建筑/街区火灾与烟雾</x:v>
      </x:c>
      <x:c r="C508" s="30" t="str">
        <x:v>T092</x:v>
      </x:c>
      <x:c r="D508" s="30" t="str">
        <x:v>设备/传感器/服务故障诊断</x:v>
      </x:c>
      <x:c r="E508" s="30" t="str">
        <x:v>可候选；Agent决定是否创建/执行</x:v>
      </x:c>
      <x:c r="F508" s="30" t="str">
        <x:v>基线：依实际装配启用</x:v>
      </x:c>
    </x:row>
    <x:row r="509" ht="40" customHeight="1">
      <x:c r="A509" s="30" t="str">
        <x:v>SC06</x:v>
      </x:c>
      <x:c r="B509" s="30" t="str">
        <x:v>建筑/街区火灾与烟雾</x:v>
      </x:c>
      <x:c r="C509" s="30" t="str">
        <x:v>T093</x:v>
      </x:c>
      <x:c r="D509" s="30" t="str">
        <x:v>消防抑制/灭火</x:v>
      </x:c>
      <x:c r="E509" s="30" t="str">
        <x:v>可候选；Agent决定是否创建/执行</x:v>
      </x:c>
      <x:c r="F509" s="30" t="str">
        <x:v>条件扩展：明确设备/专业服务后启用</x:v>
      </x:c>
    </x:row>
    <x:row r="510" ht="40" customHeight="1">
      <x:c r="A510" s="30" t="str">
        <x:v>SC06</x:v>
      </x:c>
      <x:c r="B510" s="30" t="str">
        <x:v>建筑/街区火灾与烟雾</x:v>
      </x:c>
      <x:c r="C510" s="30" t="str">
        <x:v>T094</x:v>
      </x:c>
      <x:c r="D510" s="30" t="str">
        <x:v>消防供水与灭火耗材补充</x:v>
      </x:c>
      <x:c r="E510" s="30" t="str">
        <x:v>可候选；Agent决定是否创建/执行</x:v>
      </x:c>
      <x:c r="F510" s="30" t="str">
        <x:v>条件扩展：明确设备/专业服务后启用</x:v>
      </x:c>
    </x:row>
    <x:row r="511" ht="40" customHeight="1">
      <x:c r="A511" s="30" t="str">
        <x:v>SC06</x:v>
      </x:c>
      <x:c r="B511" s="30" t="str">
        <x:v>建筑/街区火灾与烟雾</x:v>
      </x:c>
      <x:c r="C511" s="30" t="str">
        <x:v>T095</x:v>
      </x:c>
      <x:c r="D511" s="30" t="str">
        <x:v>危险源隔离/警戒区建立</x:v>
      </x:c>
      <x:c r="E511" s="30" t="str">
        <x:v>可候选；Agent决定是否创建/执行</x:v>
      </x:c>
      <x:c r="F511" s="30" t="str">
        <x:v>条件扩展：明确设备/专业服务后启用</x:v>
      </x:c>
    </x:row>
    <x:row r="512" ht="40" customHeight="1">
      <x:c r="A512" s="30" t="str">
        <x:v>SC06</x:v>
      </x:c>
      <x:c r="B512" s="30" t="str">
        <x:v>建筑/街区火灾与烟雾</x:v>
      </x:c>
      <x:c r="C512" s="30" t="str">
        <x:v>T096</x:v>
      </x:c>
      <x:c r="D512" s="30" t="str">
        <x:v>跨模型特征/潜表示适配</x:v>
      </x:c>
      <x:c r="E512" s="30" t="str">
        <x:v>可候选；Agent决定是否创建/执行</x:v>
      </x:c>
      <x:c r="F512" s="30" t="str">
        <x:v>条件扩展：明确设备/专业服务后启用</x:v>
      </x:c>
    </x:row>
    <x:row r="513" ht="40" customHeight="1">
      <x:c r="A513" s="30" t="str">
        <x:v>SC07</x:v>
      </x:c>
      <x:c r="B513" s="30" t="str">
        <x:v>野火/林地城市交界灾害</x:v>
      </x:c>
      <x:c r="C513" s="30" t="str">
        <x:v>T001</x:v>
      </x:c>
      <x:c r="D513" s="30" t="str">
        <x:v>区域快速普查</x:v>
      </x:c>
      <x:c r="E513" s="30" t="str">
        <x:v>可候选；Agent决定是否创建/执行</x:v>
      </x:c>
      <x:c r="F513" s="30" t="str">
        <x:v>基线：依实际装配启用</x:v>
      </x:c>
    </x:row>
    <x:row r="514" ht="40" customHeight="1">
      <x:c r="A514" s="30" t="str">
        <x:v>SC07</x:v>
      </x:c>
      <x:c r="B514" s="30" t="str">
        <x:v>野火/林地城市交界灾害</x:v>
      </x:c>
      <x:c r="C514" s="30" t="str">
        <x:v>T003</x:v>
      </x:c>
      <x:c r="D514" s="30" t="str">
        <x:v>道路与通路灾后评估</x:v>
      </x:c>
      <x:c r="E514" s="30" t="str">
        <x:v>可候选；Agent决定是否创建/执行</x:v>
      </x:c>
      <x:c r="F514" s="30" t="str">
        <x:v>基线：依实际装配启用</x:v>
      </x:c>
    </x:row>
    <x:row r="515" ht="40" customHeight="1">
      <x:c r="A515" s="30" t="str">
        <x:v>SC07</x:v>
      </x:c>
      <x:c r="B515" s="30" t="str">
        <x:v>野火/林地城市交界灾害</x:v>
      </x:c>
      <x:c r="C515" s="30" t="str">
        <x:v>T006</x:v>
      </x:c>
      <x:c r="D515" s="30" t="str">
        <x:v>火烟与危险源侦察</x:v>
      </x:c>
      <x:c r="E515" s="30" t="str">
        <x:v>可候选；Agent决定是否创建/执行</x:v>
      </x:c>
      <x:c r="F515" s="30" t="str">
        <x:v>基线：依实际装配启用</x:v>
      </x:c>
    </x:row>
    <x:row r="516" ht="40" customHeight="1">
      <x:c r="A516" s="30" t="str">
        <x:v>SC07</x:v>
      </x:c>
      <x:c r="B516" s="30" t="str">
        <x:v>野火/林地城市交界灾害</x:v>
      </x:c>
      <x:c r="C516" s="30" t="str">
        <x:v>T007</x:v>
      </x:c>
      <x:c r="D516" s="30" t="str">
        <x:v>灾前灾后变化与地图更新</x:v>
      </x:c>
      <x:c r="E516" s="30" t="str">
        <x:v>可候选；Agent决定是否创建/执行</x:v>
      </x:c>
      <x:c r="F516" s="30" t="str">
        <x:v>基线：依实际装配启用</x:v>
      </x:c>
    </x:row>
    <x:row r="517" ht="40" customHeight="1">
      <x:c r="A517" s="30" t="str">
        <x:v>SC07</x:v>
      </x:c>
      <x:c r="B517" s="30" t="str">
        <x:v>野火/林地城市交界灾害</x:v>
      </x:c>
      <x:c r="C517" s="30" t="str">
        <x:v>T008</x:v>
      </x:c>
      <x:c r="D517" s="30" t="str">
        <x:v>建筑/区域覆盖登记</x:v>
      </x:c>
      <x:c r="E517" s="30" t="str">
        <x:v>可候选；Agent决定是否创建/执行</x:v>
      </x:c>
      <x:c r="F517" s="30" t="str">
        <x:v>基线：依实际装配启用</x:v>
      </x:c>
    </x:row>
    <x:row r="518" ht="40" customHeight="1">
      <x:c r="A518" s="30" t="str">
        <x:v>SC07</x:v>
      </x:c>
      <x:c r="B518" s="30" t="str">
        <x:v>野火/林地城市交界灾害</x:v>
      </x:c>
      <x:c r="C518" s="30" t="str">
        <x:v>T009</x:v>
      </x:c>
      <x:c r="D518" s="30" t="str">
        <x:v>系统空中人员搜索</x:v>
      </x:c>
      <x:c r="E518" s="30" t="str">
        <x:v>可候选；Agent决定是否创建/执行</x:v>
      </x:c>
      <x:c r="F518" s="30" t="str">
        <x:v>基线：依实际装配启用</x:v>
      </x:c>
    </x:row>
    <x:row r="519" ht="40" customHeight="1">
      <x:c r="A519" s="30" t="str">
        <x:v>SC07</x:v>
      </x:c>
      <x:c r="B519" s="30" t="str">
        <x:v>野火/林地城市交界灾害</x:v>
      </x:c>
      <x:c r="C519" s="30" t="str">
        <x:v>T010</x:v>
      </x:c>
      <x:c r="D519" s="30" t="str">
        <x:v>线索发现与语义解读</x:v>
      </x:c>
      <x:c r="E519" s="30" t="str">
        <x:v>可候选；Agent决定是否创建/执行</x:v>
      </x:c>
      <x:c r="F519" s="30" t="str">
        <x:v>基线：依实际装配启用</x:v>
      </x:c>
    </x:row>
    <x:row r="520" ht="40" customHeight="1">
      <x:c r="A520" s="30" t="str">
        <x:v>SC07</x:v>
      </x:c>
      <x:c r="B520" s="30" t="str">
        <x:v>野火/林地城市交界灾害</x:v>
      </x:c>
      <x:c r="C520" s="30" t="str">
        <x:v>T011</x:v>
      </x:c>
      <x:c r="D520" s="30" t="str">
        <x:v>疑似目标多视角复核</x:v>
      </x:c>
      <x:c r="E520" s="30" t="str">
        <x:v>可候选；Agent决定是否创建/执行</x:v>
      </x:c>
      <x:c r="F520" s="30" t="str">
        <x:v>基线：依实际装配启用</x:v>
      </x:c>
    </x:row>
    <x:row r="521" ht="40" customHeight="1">
      <x:c r="A521" s="30" t="str">
        <x:v>SC07</x:v>
      </x:c>
      <x:c r="B521" s="30" t="str">
        <x:v>野火/林地城市交界灾害</x:v>
      </x:c>
      <x:c r="C521" s="30" t="str">
        <x:v>T012</x:v>
      </x:c>
      <x:c r="D521" s="30" t="str">
        <x:v>目标定位跟踪与跨视角关联</x:v>
      </x:c>
      <x:c r="E521" s="30" t="str">
        <x:v>可候选；Agent决定是否创建/执行</x:v>
      </x:c>
      <x:c r="F521" s="30" t="str">
        <x:v>基线：依实际装配启用</x:v>
      </x:c>
    </x:row>
    <x:row r="522" ht="40" customHeight="1">
      <x:c r="A522" s="30" t="str">
        <x:v>SC07</x:v>
      </x:c>
      <x:c r="B522" s="30" t="str">
        <x:v>野火/林地城市交界灾害</x:v>
      </x:c>
      <x:c r="C522" s="30" t="str">
        <x:v>T013</x:v>
      </x:c>
      <x:c r="D522" s="30" t="str">
        <x:v>近地外部与狭窄区搜索</x:v>
      </x:c>
      <x:c r="E522" s="30" t="str">
        <x:v>可候选；Agent决定是否创建/执行</x:v>
      </x:c>
      <x:c r="F522" s="30" t="str">
        <x:v>基线：依实际装配启用</x:v>
      </x:c>
    </x:row>
    <x:row r="523" ht="40" customHeight="1">
      <x:c r="A523" s="30" t="str">
        <x:v>SC07</x:v>
      </x:c>
      <x:c r="B523" s="30" t="str">
        <x:v>野火/林地城市交界灾害</x:v>
      </x:c>
      <x:c r="C523" s="30" t="str">
        <x:v>T016</x:v>
      </x:c>
      <x:c r="D523" s="30" t="str">
        <x:v>热成像补充搜索</x:v>
      </x:c>
      <x:c r="E523" s="30" t="str">
        <x:v>可候选；Agent决定是否创建/执行</x:v>
      </x:c>
      <x:c r="F523" s="30" t="str">
        <x:v>条件扩展：明确设备/专业服务后启用</x:v>
      </x:c>
    </x:row>
    <x:row r="524" ht="40" customHeight="1">
      <x:c r="A524" s="30" t="str">
        <x:v>SC07</x:v>
      </x:c>
      <x:c r="B524" s="30" t="str">
        <x:v>野火/林地城市交界灾害</x:v>
      </x:c>
      <x:c r="C524" s="30" t="str">
        <x:v>T017</x:v>
      </x:c>
      <x:c r="D524" s="30" t="str">
        <x:v>声音线索搜索</x:v>
      </x:c>
      <x:c r="E524" s="30" t="str">
        <x:v>可候选；Agent决定是否创建/执行</x:v>
      </x:c>
      <x:c r="F524" s="30" t="str">
        <x:v>条件扩展：明确设备/专业服务后启用</x:v>
      </x:c>
    </x:row>
    <x:row r="525" ht="40" customHeight="1">
      <x:c r="A525" s="30" t="str">
        <x:v>SC07</x:v>
      </x:c>
      <x:c r="B525" s="30" t="str">
        <x:v>野火/林地城市交界灾害</x:v>
      </x:c>
      <x:c r="C525" s="30" t="str">
        <x:v>T018</x:v>
      </x:c>
      <x:c r="D525" s="30" t="str">
        <x:v>RF/手机线索搜索</x:v>
      </x:c>
      <x:c r="E525" s="30" t="str">
        <x:v>可候选；Agent决定是否创建/执行</x:v>
      </x:c>
      <x:c r="F525" s="30" t="str">
        <x:v>条件扩展：明确设备/专业服务后启用</x:v>
      </x:c>
    </x:row>
    <x:row r="526" ht="40" customHeight="1">
      <x:c r="A526" s="30" t="str">
        <x:v>SC07</x:v>
      </x:c>
      <x:c r="B526" s="30" t="str">
        <x:v>野火/林地城市交界灾害</x:v>
      </x:c>
      <x:c r="C526" s="30" t="str">
        <x:v>T019</x:v>
      </x:c>
      <x:c r="D526" s="30" t="str">
        <x:v>空中转场与观察点到达</x:v>
      </x:c>
      <x:c r="E526" s="30" t="str">
        <x:v>可候选；Agent决定是否创建/执行</x:v>
      </x:c>
      <x:c r="F526" s="30" t="str">
        <x:v>基线：依实际装配启用</x:v>
      </x:c>
    </x:row>
    <x:row r="527" ht="40" customHeight="1">
      <x:c r="A527" s="30" t="str">
        <x:v>SC07</x:v>
      </x:c>
      <x:c r="B527" s="30" t="str">
        <x:v>野火/林地城市交界灾害</x:v>
      </x:c>
      <x:c r="C527" s="30" t="str">
        <x:v>T020</x:v>
      </x:c>
      <x:c r="D527" s="30" t="str">
        <x:v>地面转场与绕行</x:v>
      </x:c>
      <x:c r="E527" s="30" t="str">
        <x:v>可候选；Agent决定是否创建/执行</x:v>
      </x:c>
      <x:c r="F527" s="30" t="str">
        <x:v>基线：依实际装配启用</x:v>
      </x:c>
    </x:row>
    <x:row r="528" ht="40" customHeight="1">
      <x:c r="A528" s="30" t="str">
        <x:v>SC07</x:v>
      </x:c>
      <x:c r="B528" s="30" t="str">
        <x:v>野火/林地城市交界灾害</x:v>
      </x:c>
      <x:c r="C528" s="30" t="str">
        <x:v>T021</x:v>
      </x:c>
      <x:c r="D528" s="30" t="str">
        <x:v>障碍接近探测与路径验证</x:v>
      </x:c>
      <x:c r="E528" s="30" t="str">
        <x:v>可候选；Agent决定是否创建/执行</x:v>
      </x:c>
      <x:c r="F528" s="30" t="str">
        <x:v>基线：依实际装配启用</x:v>
      </x:c>
    </x:row>
    <x:row r="529" ht="40" customHeight="1">
      <x:c r="A529" s="30" t="str">
        <x:v>SC07</x:v>
      </x:c>
      <x:c r="B529" s="30" t="str">
        <x:v>野火/林地城市交界灾害</x:v>
      </x:c>
      <x:c r="C529" s="30" t="str">
        <x:v>T022</x:v>
      </x:c>
      <x:c r="D529" s="30" t="str">
        <x:v>轻型残骸移除</x:v>
      </x:c>
      <x:c r="E529" s="30" t="str">
        <x:v>可候选；Agent决定是否创建/执行</x:v>
      </x:c>
      <x:c r="F529" s="30" t="str">
        <x:v>条件扩展：明确设备/专业服务后启用</x:v>
      </x:c>
    </x:row>
    <x:row r="530" ht="40" customHeight="1">
      <x:c r="A530" s="30" t="str">
        <x:v>SC07</x:v>
      </x:c>
      <x:c r="B530" s="30" t="str">
        <x:v>野火/林地城市交界灾害</x:v>
      </x:c>
      <x:c r="C530" s="30" t="str">
        <x:v>T023</x:v>
      </x:c>
      <x:c r="D530" s="30" t="str">
        <x:v>重型道路清障</x:v>
      </x:c>
      <x:c r="E530" s="30" t="str">
        <x:v>可候选；Agent决定是否创建/执行</x:v>
      </x:c>
      <x:c r="F530" s="30" t="str">
        <x:v>条件扩展：明确设备/专业服务后启用</x:v>
      </x:c>
    </x:row>
    <x:row r="531" ht="40" customHeight="1">
      <x:c r="A531" s="30" t="str">
        <x:v>SC07</x:v>
      </x:c>
      <x:c r="B531" s="30" t="str">
        <x:v>野火/林地城市交界灾害</x:v>
      </x:c>
      <x:c r="C531" s="30" t="str">
        <x:v>T027</x:v>
      </x:c>
      <x:c r="D531" s="30" t="str">
        <x:v>建立联系并确认需求</x:v>
      </x:c>
      <x:c r="E531" s="30" t="str">
        <x:v>可候选；Agent决定是否创建/执行</x:v>
      </x:c>
      <x:c r="F531" s="30" t="str">
        <x:v>基线：依实际装配启用</x:v>
      </x:c>
    </x:row>
    <x:row r="532" ht="40" customHeight="1">
      <x:c r="A532" s="30" t="str">
        <x:v>SC07</x:v>
      </x:c>
      <x:c r="B532" s="30" t="str">
        <x:v>野火/林地城市交界灾害</x:v>
      </x:c>
      <x:c r="C532" s="30" t="str">
        <x:v>T028</x:v>
      </x:c>
      <x:c r="D532" s="30" t="str">
        <x:v>安全警示与避险引导</x:v>
      </x:c>
      <x:c r="E532" s="30" t="str">
        <x:v>可候选；Agent决定是否创建/执行</x:v>
      </x:c>
      <x:c r="F532" s="30" t="str">
        <x:v>基线：依实际装配启用</x:v>
      </x:c>
    </x:row>
    <x:row r="533" ht="40" customHeight="1">
      <x:c r="A533" s="30" t="str">
        <x:v>SC07</x:v>
      </x:c>
      <x:c r="B533" s="30" t="str">
        <x:v>野火/林地城市交界灾害</x:v>
      </x:c>
      <x:c r="C533" s="30" t="str">
        <x:v>T029</x:v>
      </x:c>
      <x:c r="D533" s="30" t="str">
        <x:v>专业伤员评估与分级</x:v>
      </x:c>
      <x:c r="E533" s="30" t="str">
        <x:v>可候选；Agent决定是否创建/执行</x:v>
      </x:c>
      <x:c r="F533" s="30" t="str">
        <x:v>条件扩展：明确设备/专业服务后启用</x:v>
      </x:c>
    </x:row>
    <x:row r="534" ht="40" customHeight="1">
      <x:c r="A534" s="30" t="str">
        <x:v>SC07</x:v>
      </x:c>
      <x:c r="B534" s="30" t="str">
        <x:v>野火/林地城市交界灾害</x:v>
      </x:c>
      <x:c r="C534" s="30" t="str">
        <x:v>T030</x:v>
      </x:c>
      <x:c r="D534" s="30" t="str">
        <x:v>人员基础物资支援</x:v>
      </x:c>
      <x:c r="E534" s="30" t="str">
        <x:v>可候选；Agent决定是否创建/执行</x:v>
      </x:c>
      <x:c r="F534" s="30" t="str">
        <x:v>基线：依实际装配启用</x:v>
      </x:c>
    </x:row>
    <x:row r="535" ht="40" customHeight="1">
      <x:c r="A535" s="30" t="str">
        <x:v>SC07</x:v>
      </x:c>
      <x:c r="B535" s="30" t="str">
        <x:v>野火/林地城市交界灾害</x:v>
      </x:c>
      <x:c r="C535" s="30" t="str">
        <x:v>T031</x:v>
      </x:c>
      <x:c r="D535" s="30" t="str">
        <x:v>专业初步救护</x:v>
      </x:c>
      <x:c r="E535" s="30" t="str">
        <x:v>可候选；Agent决定是否创建/执行</x:v>
      </x:c>
      <x:c r="F535" s="30" t="str">
        <x:v>条件扩展：明确设备/专业服务后启用</x:v>
      </x:c>
    </x:row>
    <x:row r="536" ht="40" customHeight="1">
      <x:c r="A536" s="30" t="str">
        <x:v>SC07</x:v>
      </x:c>
      <x:c r="B536" s="30" t="str">
        <x:v>野火/林地城市交界灾害</x:v>
      </x:c>
      <x:c r="C536" s="30" t="str">
        <x:v>T032</x:v>
      </x:c>
      <x:c r="D536" s="30" t="str">
        <x:v>受困解除/解困</x:v>
      </x:c>
      <x:c r="E536" s="30" t="str">
        <x:v>可候选；Agent决定是否创建/执行</x:v>
      </x:c>
      <x:c r="F536" s="30" t="str">
        <x:v>条件扩展：明确设备/专业服务后启用</x:v>
      </x:c>
    </x:row>
    <x:row r="537" ht="40" customHeight="1">
      <x:c r="A537" s="30" t="str">
        <x:v>SC07</x:v>
      </x:c>
      <x:c r="B537" s="30" t="str">
        <x:v>野火/林地城市交界灾害</x:v>
      </x:c>
      <x:c r="C537" s="30" t="str">
        <x:v>T033</x:v>
      </x:c>
      <x:c r="D537" s="30" t="str">
        <x:v>人员装载</x:v>
      </x:c>
      <x:c r="E537" s="30" t="str">
        <x:v>可候选；Agent决定是否创建/执行</x:v>
      </x:c>
      <x:c r="F537" s="30" t="str">
        <x:v>条件扩展：明确设备/专业服务后启用</x:v>
      </x:c>
    </x:row>
    <x:row r="538" ht="40" customHeight="1">
      <x:c r="A538" s="30" t="str">
        <x:v>SC07</x:v>
      </x:c>
      <x:c r="B538" s="30" t="str">
        <x:v>野火/林地城市交界灾害</x:v>
      </x:c>
      <x:c r="C538" s="30" t="str">
        <x:v>T034</x:v>
      </x:c>
      <x:c r="D538" s="30" t="str">
        <x:v>人员转运</x:v>
      </x:c>
      <x:c r="E538" s="30" t="str">
        <x:v>可候选；Agent决定是否创建/执行</x:v>
      </x:c>
      <x:c r="F538" s="30" t="str">
        <x:v>条件扩展：明确设备/专业服务后启用</x:v>
      </x:c>
    </x:row>
    <x:row r="539" ht="40" customHeight="1">
      <x:c r="A539" s="30" t="str">
        <x:v>SC07</x:v>
      </x:c>
      <x:c r="B539" s="30" t="str">
        <x:v>野火/林地城市交界灾害</x:v>
      </x:c>
      <x:c r="C539" s="30" t="str">
        <x:v>T035</x:v>
      </x:c>
      <x:c r="D539" s="30" t="str">
        <x:v>救援/医疗最终移交</x:v>
      </x:c>
      <x:c r="E539" s="30" t="str">
        <x:v>可候选；Agent决定是否创建/执行</x:v>
      </x:c>
      <x:c r="F539" s="30" t="str">
        <x:v>条件扩展：明确设备/专业服务后启用</x:v>
      </x:c>
    </x:row>
    <x:row r="540" ht="40" customHeight="1">
      <x:c r="A540" s="30" t="str">
        <x:v>SC07</x:v>
      </x:c>
      <x:c r="B540" s="30" t="str">
        <x:v>野火/林地城市交界灾害</x:v>
      </x:c>
      <x:c r="C540" s="30" t="str">
        <x:v>T038</x:v>
      </x:c>
      <x:c r="D540" s="30" t="str">
        <x:v>货物取用与挂载</x:v>
      </x:c>
      <x:c r="E540" s="30" t="str">
        <x:v>可候选；Agent决定是否创建/执行</x:v>
      </x:c>
      <x:c r="F540" s="30" t="str">
        <x:v>基线：依实际装配启用</x:v>
      </x:c>
    </x:row>
    <x:row r="541" ht="40" customHeight="1">
      <x:c r="A541" s="30" t="str">
        <x:v>SC07</x:v>
      </x:c>
      <x:c r="B541" s="30" t="str">
        <x:v>野火/林地城市交界灾害</x:v>
      </x:c>
      <x:c r="C541" s="30" t="str">
        <x:v>T039</x:v>
      </x:c>
      <x:c r="D541" s="30" t="str">
        <x:v>无人机精确物资投送</x:v>
      </x:c>
      <x:c r="E541" s="30" t="str">
        <x:v>可候选；Agent决定是否创建/执行</x:v>
      </x:c>
      <x:c r="F541" s="30" t="str">
        <x:v>基线：依实际装配启用</x:v>
      </x:c>
    </x:row>
    <x:row r="542" ht="40" customHeight="1">
      <x:c r="A542" s="30" t="str">
        <x:v>SC07</x:v>
      </x:c>
      <x:c r="B542" s="30" t="str">
        <x:v>野火/林地城市交界灾害</x:v>
      </x:c>
      <x:c r="C542" s="30" t="str">
        <x:v>T040</x:v>
      </x:c>
      <x:c r="D542" s="30" t="str">
        <x:v>地面物资送达与卸放</x:v>
      </x:c>
      <x:c r="E542" s="30" t="str">
        <x:v>可候选；Agent决定是否创建/执行</x:v>
      </x:c>
      <x:c r="F542" s="30" t="str">
        <x:v>基线：依实际装配启用</x:v>
      </x:c>
    </x:row>
    <x:row r="543" ht="40" customHeight="1">
      <x:c r="A543" s="30" t="str">
        <x:v>SC07</x:v>
      </x:c>
      <x:c r="B543" s="30" t="str">
        <x:v>野火/林地城市交界灾害</x:v>
      </x:c>
      <x:c r="C543" s="30" t="str">
        <x:v>T041</x:v>
      </x:c>
      <x:c r="D543" s="30" t="str">
        <x:v>交付复核与收货报告</x:v>
      </x:c>
      <x:c r="E543" s="30" t="str">
        <x:v>可候选；Agent决定是否创建/执行</x:v>
      </x:c>
      <x:c r="F543" s="30" t="str">
        <x:v>基线：依实际装配启用</x:v>
      </x:c>
    </x:row>
    <x:row r="544" ht="40" customHeight="1">
      <x:c r="A544" s="30" t="str">
        <x:v>SC07</x:v>
      </x:c>
      <x:c r="B544" s="30" t="str">
        <x:v>野火/林地城市交界灾害</x:v>
      </x:c>
      <x:c r="C544" s="30" t="str">
        <x:v>T042</x:v>
      </x:c>
      <x:c r="D544" s="30" t="str">
        <x:v>物资/器材补给</x:v>
      </x:c>
      <x:c r="E544" s="30" t="str">
        <x:v>可候选；Agent决定是否创建/执行</x:v>
      </x:c>
      <x:c r="F544" s="30" t="str">
        <x:v>基线：依实际装配启用</x:v>
      </x:c>
    </x:row>
    <x:row r="545" ht="40" customHeight="1">
      <x:c r="A545" s="30" t="str">
        <x:v>SC07</x:v>
      </x:c>
      <x:c r="B545" s="30" t="str">
        <x:v>野火/林地城市交界灾害</x:v>
      </x:c>
      <x:c r="C545" s="30" t="str">
        <x:v>T043</x:v>
      </x:c>
      <x:c r="D545" s="30" t="str">
        <x:v>平台充电</x:v>
      </x:c>
      <x:c r="E545" s="30" t="str">
        <x:v>可候选；Agent决定是否创建/执行</x:v>
      </x:c>
      <x:c r="F545" s="30" t="str">
        <x:v>基线：依实际装配启用</x:v>
      </x:c>
    </x:row>
    <x:row r="546" ht="40" customHeight="1">
      <x:c r="A546" s="30" t="str">
        <x:v>SC07</x:v>
      </x:c>
      <x:c r="B546" s="30" t="str">
        <x:v>野火/林地城市交界灾害</x:v>
      </x:c>
      <x:c r="C546" s="30" t="str">
        <x:v>T044</x:v>
      </x:c>
      <x:c r="D546" s="30" t="str">
        <x:v>平台换电</x:v>
      </x:c>
      <x:c r="E546" s="30" t="str">
        <x:v>可候选；Agent决定是否创建/执行</x:v>
      </x:c>
      <x:c r="F546" s="30" t="str">
        <x:v>基线：依实际装配启用</x:v>
      </x:c>
    </x:row>
    <x:row r="547" ht="40" customHeight="1">
      <x:c r="A547" s="30" t="str">
        <x:v>SC07</x:v>
      </x:c>
      <x:c r="B547" s="30" t="str">
        <x:v>野火/林地城市交界灾害</x:v>
      </x:c>
      <x:c r="C547" s="30" t="str">
        <x:v>T045</x:v>
      </x:c>
      <x:c r="D547" s="30" t="str">
        <x:v>返航/返站与安全撤离</x:v>
      </x:c>
      <x:c r="E547" s="30" t="str">
        <x:v>可候选；Agent决定是否创建/执行</x:v>
      </x:c>
      <x:c r="F547" s="30" t="str">
        <x:v>基线：依实际装配启用</x:v>
      </x:c>
    </x:row>
    <x:row r="548" ht="40" customHeight="1">
      <x:c r="A548" s="30" t="str">
        <x:v>SC07</x:v>
      </x:c>
      <x:c r="B548" s="30" t="str">
        <x:v>野火/林地城市交界灾害</x:v>
      </x:c>
      <x:c r="C548" s="30" t="str">
        <x:v>T046</x:v>
      </x:c>
      <x:c r="D548" s="30" t="str">
        <x:v>失效平台回收</x:v>
      </x:c>
      <x:c r="E548" s="30" t="str">
        <x:v>可候选；Agent决定是否创建/执行</x:v>
      </x:c>
      <x:c r="F548" s="30" t="str">
        <x:v>条件扩展：明确设备/专业服务后启用</x:v>
      </x:c>
    </x:row>
    <x:row r="549" ht="40" customHeight="1">
      <x:c r="A549" s="30" t="str">
        <x:v>SC07</x:v>
      </x:c>
      <x:c r="B549" s="30" t="str">
        <x:v>野火/林地城市交界灾害</x:v>
      </x:c>
      <x:c r="C549" s="30" t="str">
        <x:v>T047</x:v>
      </x:c>
      <x:c r="D549" s="30" t="str">
        <x:v>链路探测与质量估计</x:v>
      </x:c>
      <x:c r="E549" s="30" t="str">
        <x:v>可候选；Agent决定是否创建/执行</x:v>
      </x:c>
      <x:c r="F549" s="30" t="str">
        <x:v>基线：依实际装配启用</x:v>
      </x:c>
    </x:row>
    <x:row r="550" ht="40" customHeight="1">
      <x:c r="A550" s="30" t="str">
        <x:v>SC07</x:v>
      </x:c>
      <x:c r="B550" s="30" t="str">
        <x:v>野火/林地城市交界灾害</x:v>
      </x:c>
      <x:c r="C550" s="30" t="str">
        <x:v>T048</x:v>
      </x:c>
      <x:c r="D550" s="30" t="str">
        <x:v>通信会合与重定位</x:v>
      </x:c>
      <x:c r="E550" s="30" t="str">
        <x:v>可候选；Agent决定是否创建/执行</x:v>
      </x:c>
      <x:c r="F550" s="30" t="str">
        <x:v>基线：依实际装配启用</x:v>
      </x:c>
    </x:row>
    <x:row r="551" ht="40" customHeight="1">
      <x:c r="A551" s="30" t="str">
        <x:v>SC07</x:v>
      </x:c>
      <x:c r="B551" s="30" t="str">
        <x:v>野火/林地城市交界灾害</x:v>
      </x:c>
      <x:c r="C551" s="30" t="str">
        <x:v>T049</x:v>
      </x:c>
      <x:c r="D551" s="30" t="str">
        <x:v>空中中继保持</x:v>
      </x:c>
      <x:c r="E551" s="30" t="str">
        <x:v>可候选；Agent决定是否创建/执行</x:v>
      </x:c>
      <x:c r="F551" s="30" t="str">
        <x:v>基线：依实际装配启用</x:v>
      </x:c>
    </x:row>
    <x:row r="552" ht="40" customHeight="1">
      <x:c r="A552" s="30" t="str">
        <x:v>SC07</x:v>
      </x:c>
      <x:c r="B552" s="30" t="str">
        <x:v>野火/林地城市交界灾害</x:v>
      </x:c>
      <x:c r="C552" s="30" t="str">
        <x:v>T050</x:v>
      </x:c>
      <x:c r="D552" s="30" t="str">
        <x:v>通信节点布放</x:v>
      </x:c>
      <x:c r="E552" s="30" t="str">
        <x:v>可候选；Agent决定是否创建/执行</x:v>
      </x:c>
      <x:c r="F552" s="30" t="str">
        <x:v>条件扩展：明确设备/专业服务后启用</x:v>
      </x:c>
    </x:row>
    <x:row r="553" ht="40" customHeight="1">
      <x:c r="A553" s="30" t="str">
        <x:v>SC07</x:v>
      </x:c>
      <x:c r="B553" s="30" t="str">
        <x:v>野火/林地城市交界灾害</x:v>
      </x:c>
      <x:c r="C553" s="30" t="str">
        <x:v>T051</x:v>
      </x:c>
      <x:c r="D553" s="30" t="str">
        <x:v>多跳业务转发</x:v>
      </x:c>
      <x:c r="E553" s="30" t="str">
        <x:v>可候选；Agent决定是否创建/执行</x:v>
      </x:c>
      <x:c r="F553" s="30" t="str">
        <x:v>基线：依实际装配启用</x:v>
      </x:c>
    </x:row>
    <x:row r="554" ht="40" customHeight="1">
      <x:c r="A554" s="30" t="str">
        <x:v>SC07</x:v>
      </x:c>
      <x:c r="B554" s="30" t="str">
        <x:v>野火/林地城市交界灾害</x:v>
      </x:c>
      <x:c r="C554" s="30" t="str">
        <x:v>T052</x:v>
      </x:c>
      <x:c r="D554" s="30" t="str">
        <x:v>图像/证据数据上传</x:v>
      </x:c>
      <x:c r="E554" s="30" t="str">
        <x:v>可候选；Agent决定是否创建/执行</x:v>
      </x:c>
      <x:c r="F554" s="30" t="str">
        <x:v>基线：依实际装配启用</x:v>
      </x:c>
    </x:row>
    <x:row r="555" ht="40" customHeight="1">
      <x:c r="A555" s="30" t="str">
        <x:v>SC07</x:v>
      </x:c>
      <x:c r="B555" s="30" t="str">
        <x:v>野火/林地城市交界灾害</x:v>
      </x:c>
      <x:c r="C555" s="30" t="str">
        <x:v>T053</x:v>
      </x:c>
      <x:c r="D555" s="30" t="str">
        <x:v>可靠回执与超时重传</x:v>
      </x:c>
      <x:c r="E555" s="30" t="str">
        <x:v>可候选；Agent决定是否创建/执行</x:v>
      </x:c>
      <x:c r="F555" s="30" t="str">
        <x:v>基线：依实际装配启用</x:v>
      </x:c>
    </x:row>
    <x:row r="556" ht="40" customHeight="1">
      <x:c r="A556" s="30" t="str">
        <x:v>SC07</x:v>
      </x:c>
      <x:c r="B556" s="30" t="str">
        <x:v>野火/林地城市交界灾害</x:v>
      </x:c>
      <x:c r="C556" s="30" t="str">
        <x:v>T054</x:v>
      </x:c>
      <x:c r="D556" s="30" t="str">
        <x:v>断联存储-携带-转发</x:v>
      </x:c>
      <x:c r="E556" s="30" t="str">
        <x:v>可候选；Agent决定是否创建/执行</x:v>
      </x:c>
      <x:c r="F556" s="30" t="str">
        <x:v>基线：依实际装配启用</x:v>
      </x:c>
    </x:row>
    <x:row r="557" ht="40" customHeight="1">
      <x:c r="A557" s="30" t="str">
        <x:v>SC07</x:v>
      </x:c>
      <x:c r="B557" s="30" t="str">
        <x:v>野火/林地城市交界灾害</x:v>
      </x:c>
      <x:c r="C557" s="30" t="str">
        <x:v>T055</x:v>
      </x:c>
      <x:c r="D557" s="30" t="str">
        <x:v>信道/功率/传输优先级调整</x:v>
      </x:c>
      <x:c r="E557" s="30" t="str">
        <x:v>可候选；Agent决定是否创建/执行</x:v>
      </x:c>
      <x:c r="F557" s="30" t="str">
        <x:v>基线：依实际装配启用</x:v>
      </x:c>
    </x:row>
    <x:row r="558" ht="40" customHeight="1">
      <x:c r="A558" s="30" t="str">
        <x:v>SC07</x:v>
      </x:c>
      <x:c r="B558" s="30" t="str">
        <x:v>野火/林地城市交界灾害</x:v>
      </x:c>
      <x:c r="C558" s="30" t="str">
        <x:v>T056</x:v>
      </x:c>
      <x:c r="D558" s="30" t="str">
        <x:v>失联后的连接恢复</x:v>
      </x:c>
      <x:c r="E558" s="30" t="str">
        <x:v>可候选；Agent决定是否创建/执行</x:v>
      </x:c>
      <x:c r="F558" s="30" t="str">
        <x:v>基线：依实际装配启用</x:v>
      </x:c>
    </x:row>
    <x:row r="559" ht="40" customHeight="1">
      <x:c r="A559" s="30" t="str">
        <x:v>SC07</x:v>
      </x:c>
      <x:c r="B559" s="30" t="str">
        <x:v>野火/林地城市交界灾害</x:v>
      </x:c>
      <x:c r="C559" s="30" t="str">
        <x:v>T057</x:v>
      </x:c>
      <x:c r="D559" s="30" t="str">
        <x:v>计算与模型服务发现</x:v>
      </x:c>
      <x:c r="E559" s="30" t="str">
        <x:v>可候选；Agent决定是否创建/执行</x:v>
      </x:c>
      <x:c r="F559" s="30" t="str">
        <x:v>基线：依实际装配启用</x:v>
      </x:c>
    </x:row>
    <x:row r="560" ht="40" customHeight="1">
      <x:c r="A560" s="30" t="str">
        <x:v>SC07</x:v>
      </x:c>
      <x:c r="B560" s="30" t="str">
        <x:v>野火/林地城市交界灾害</x:v>
      </x:c>
      <x:c r="C560" s="30" t="str">
        <x:v>T058</x:v>
      </x:c>
      <x:c r="D560" s="30" t="str">
        <x:v>本地视觉检测</x:v>
      </x:c>
      <x:c r="E560" s="30" t="str">
        <x:v>可候选；Agent决定是否创建/执行</x:v>
      </x:c>
      <x:c r="F560" s="30" t="str">
        <x:v>基线：依实际装配启用</x:v>
      </x:c>
    </x:row>
    <x:row r="561" ht="40" customHeight="1">
      <x:c r="A561" s="30" t="str">
        <x:v>SC07</x:v>
      </x:c>
      <x:c r="B561" s="30" t="str">
        <x:v>野火/林地城市交界灾害</x:v>
      </x:c>
      <x:c r="C561" s="30" t="str">
        <x:v>T059</x:v>
      </x:c>
      <x:c r="D561" s="30" t="str">
        <x:v>本地语义/任务推理</x:v>
      </x:c>
      <x:c r="E561" s="30" t="str">
        <x:v>可候选；Agent决定是否创建/执行</x:v>
      </x:c>
      <x:c r="F561" s="30" t="str">
        <x:v>基线：依实际装配启用</x:v>
      </x:c>
    </x:row>
    <x:row r="562" ht="40" customHeight="1">
      <x:c r="A562" s="30" t="str">
        <x:v>SC07</x:v>
      </x:c>
      <x:c r="B562" s="30" t="str">
        <x:v>野火/林地城市交界灾害</x:v>
      </x:c>
      <x:c r="C562" s="30" t="str">
        <x:v>T060</x:v>
      </x:c>
      <x:c r="D562" s="30" t="str">
        <x:v>远程视觉复核/推理卸载</x:v>
      </x:c>
      <x:c r="E562" s="30" t="str">
        <x:v>可候选；Agent决定是否创建/执行</x:v>
      </x:c>
      <x:c r="F562" s="30" t="str">
        <x:v>基线：依实际装配启用</x:v>
      </x:c>
    </x:row>
    <x:row r="563" ht="40" customHeight="1">
      <x:c r="A563" s="30" t="str">
        <x:v>SC07</x:v>
      </x:c>
      <x:c r="B563" s="30" t="str">
        <x:v>野火/林地城市交界灾害</x:v>
      </x:c>
      <x:c r="C563" s="30" t="str">
        <x:v>T061</x:v>
      </x:c>
      <x:c r="D563" s="30" t="str">
        <x:v>执行节点与模型选择</x:v>
      </x:c>
      <x:c r="E563" s="30" t="str">
        <x:v>可候选；Agent决定是否创建/执行</x:v>
      </x:c>
      <x:c r="F563" s="30" t="str">
        <x:v>基线：依实际装配启用</x:v>
      </x:c>
    </x:row>
    <x:row r="564" ht="40" customHeight="1">
      <x:c r="A564" s="30" t="str">
        <x:v>SC07</x:v>
      </x:c>
      <x:c r="B564" s="30" t="str">
        <x:v>野火/林地城市交界灾害</x:v>
      </x:c>
      <x:c r="C564" s="30" t="str">
        <x:v>T062</x:v>
      </x:c>
      <x:c r="D564" s="30" t="str">
        <x:v>计算作业准入与排队</x:v>
      </x:c>
      <x:c r="E564" s="30" t="str">
        <x:v>可候选；Agent决定是否创建/执行</x:v>
      </x:c>
      <x:c r="F564" s="30" t="str">
        <x:v>基线：依实际装配启用</x:v>
      </x:c>
    </x:row>
    <x:row r="565" ht="40" customHeight="1">
      <x:c r="A565" s="30" t="str">
        <x:v>SC07</x:v>
      </x:c>
      <x:c r="B565" s="30" t="str">
        <x:v>野火/林地城市交界灾害</x:v>
      </x:c>
      <x:c r="C565" s="30" t="str">
        <x:v>T063</x:v>
      </x:c>
      <x:c r="D565" s="30" t="str">
        <x:v>模型服务加载/卸载</x:v>
      </x:c>
      <x:c r="E565" s="30" t="str">
        <x:v>可候选；Agent决定是否创建/执行</x:v>
      </x:c>
      <x:c r="F565" s="30" t="str">
        <x:v>基线：依实际装配启用</x:v>
      </x:c>
    </x:row>
    <x:row r="566" ht="40" customHeight="1">
      <x:c r="A566" s="30" t="str">
        <x:v>SC07</x:v>
      </x:c>
      <x:c r="B566" s="30" t="str">
        <x:v>野火/林地城市交界灾害</x:v>
      </x:c>
      <x:c r="C566" s="30" t="str">
        <x:v>T064</x:v>
      </x:c>
      <x:c r="D566" s="30" t="str">
        <x:v>上下文/表示缓存复用</x:v>
      </x:c>
      <x:c r="E566" s="30" t="str">
        <x:v>可候选；Agent决定是否创建/执行</x:v>
      </x:c>
      <x:c r="F566" s="30" t="str">
        <x:v>基线：依实际装配启用</x:v>
      </x:c>
    </x:row>
    <x:row r="567" ht="40" customHeight="1">
      <x:c r="A567" s="30" t="str">
        <x:v>SC07</x:v>
      </x:c>
      <x:c r="B567" s="30" t="str">
        <x:v>野火/林地城市交界灾害</x:v>
      </x:c>
      <x:c r="C567" s="30" t="str">
        <x:v>T065</x:v>
      </x:c>
      <x:c r="D567" s="30" t="str">
        <x:v>服务/作业迁移与恢复</x:v>
      </x:c>
      <x:c r="E567" s="30" t="str">
        <x:v>可候选；Agent决定是否创建/执行</x:v>
      </x:c>
      <x:c r="F567" s="30" t="str">
        <x:v>条件扩展：明确设备/专业服务后启用</x:v>
      </x:c>
    </x:row>
    <x:row r="568" ht="40" customHeight="1">
      <x:c r="A568" s="30" t="str">
        <x:v>SC07</x:v>
      </x:c>
      <x:c r="B568" s="30" t="str">
        <x:v>野火/林地城市交界灾害</x:v>
      </x:c>
      <x:c r="C568" s="30" t="str">
        <x:v>T066</x:v>
      </x:c>
      <x:c r="D568" s="30" t="str">
        <x:v>预算耗尽/失败作业取消重试</x:v>
      </x:c>
      <x:c r="E568" s="30" t="str">
        <x:v>可候选；Agent决定是否创建/执行</x:v>
      </x:c>
      <x:c r="F568" s="30" t="str">
        <x:v>基线：依实际装配启用</x:v>
      </x:c>
    </x:row>
    <x:row r="569" ht="40" customHeight="1">
      <x:c r="A569" s="30" t="str">
        <x:v>SC07</x:v>
      </x:c>
      <x:c r="B569" s="30" t="str">
        <x:v>野火/林地城市交界灾害</x:v>
      </x:c>
      <x:c r="C569" s="30" t="str">
        <x:v>T067</x:v>
      </x:c>
      <x:c r="D569" s="30" t="str">
        <x:v>批处理/多源联合推理</x:v>
      </x:c>
      <x:c r="E569" s="30" t="str">
        <x:v>可候选；Agent决定是否创建/执行</x:v>
      </x:c>
      <x:c r="F569" s="30" t="str">
        <x:v>基线：依实际装配启用</x:v>
      </x:c>
    </x:row>
    <x:row r="570" ht="40" customHeight="1">
      <x:c r="A570" s="30" t="str">
        <x:v>SC07</x:v>
      </x:c>
      <x:c r="B570" s="30" t="str">
        <x:v>野火/林地城市交界灾害</x:v>
      </x:c>
      <x:c r="C570" s="30" t="str">
        <x:v>T068</x:v>
      </x:c>
      <x:c r="D570" s="30" t="str">
        <x:v>计算资源释放与缓存清理</x:v>
      </x:c>
      <x:c r="E570" s="30" t="str">
        <x:v>可候选；Agent决定是否创建/执行</x:v>
      </x:c>
      <x:c r="F570" s="30" t="str">
        <x:v>基线：依实际装配启用</x:v>
      </x:c>
    </x:row>
    <x:row r="571" ht="40" customHeight="1">
      <x:c r="A571" s="30" t="str">
        <x:v>SC07</x:v>
      </x:c>
      <x:c r="B571" s="30" t="str">
        <x:v>野火/林地城市交界灾害</x:v>
      </x:c>
      <x:c r="C571" s="30" t="str">
        <x:v>T069</x:v>
      </x:c>
      <x:c r="D571" s="30" t="str">
        <x:v>跨源时间坐标对齐</x:v>
      </x:c>
      <x:c r="E571" s="30" t="str">
        <x:v>可候选；Agent决定是否创建/执行</x:v>
      </x:c>
      <x:c r="F571" s="30" t="str">
        <x:v>基线：依实际装配启用</x:v>
      </x:c>
    </x:row>
    <x:row r="572" ht="40" customHeight="1">
      <x:c r="A572" s="30" t="str">
        <x:v>SC07</x:v>
      </x:c>
      <x:c r="B572" s="30" t="str">
        <x:v>野火/林地城市交界灾害</x:v>
      </x:c>
      <x:c r="C572" s="30" t="str">
        <x:v>T070</x:v>
      </x:c>
      <x:c r="D572" s="30" t="str">
        <x:v>任务条件化本地历史检索</x:v>
      </x:c>
      <x:c r="E572" s="30" t="str">
        <x:v>可候选；Agent决定是否创建/执行</x:v>
      </x:c>
      <x:c r="F572" s="30" t="str">
        <x:v>基线：依实际装配启用</x:v>
      </x:c>
    </x:row>
    <x:row r="573" ht="40" customHeight="1">
      <x:c r="A573" s="30" t="str">
        <x:v>SC07</x:v>
      </x:c>
      <x:c r="B573" s="30" t="str">
        <x:v>野火/林地城市交界灾害</x:v>
      </x:c>
      <x:c r="C573" s="30" t="str">
        <x:v>T071</x:v>
      </x:c>
      <x:c r="D573" s="30" t="str">
        <x:v>图像裁剪/编码/证据打包</x:v>
      </x:c>
      <x:c r="E573" s="30" t="str">
        <x:v>可候选；Agent决定是否创建/执行</x:v>
      </x:c>
      <x:c r="F573" s="30" t="str">
        <x:v>基线：依实际装配启用</x:v>
      </x:c>
    </x:row>
    <x:row r="574" ht="40" customHeight="1">
      <x:c r="A574" s="30" t="str">
        <x:v>SC07</x:v>
      </x:c>
      <x:c r="B574" s="30" t="str">
        <x:v>野火/林地城市交界灾害</x:v>
      </x:c>
      <x:c r="C574" s="30" t="str">
        <x:v>T072</x:v>
      </x:c>
      <x:c r="D574" s="30" t="str">
        <x:v>置信度与证据充分性判断</x:v>
      </x:c>
      <x:c r="E574" s="30" t="str">
        <x:v>可候选；Agent决定是否创建/执行</x:v>
      </x:c>
      <x:c r="F574" s="30" t="str">
        <x:v>基线：依实际装配启用</x:v>
      </x:c>
    </x:row>
    <x:row r="575" ht="40" customHeight="1">
      <x:c r="A575" s="30" t="str">
        <x:v>SC07</x:v>
      </x:c>
      <x:c r="B575" s="30" t="str">
        <x:v>野火/林地城市交界灾害</x:v>
      </x:c>
      <x:c r="C575" s="30" t="str">
        <x:v>T073</x:v>
      </x:c>
      <x:c r="D575" s="30" t="str">
        <x:v>多源融合与冲突更正</x:v>
      </x:c>
      <x:c r="E575" s="30" t="str">
        <x:v>可候选；Agent决定是否创建/执行</x:v>
      </x:c>
      <x:c r="F575" s="30" t="str">
        <x:v>基线：依实际装配启用</x:v>
      </x:c>
    </x:row>
    <x:row r="576" ht="40" customHeight="1">
      <x:c r="A576" s="30" t="str">
        <x:v>SC07</x:v>
      </x:c>
      <x:c r="B576" s="30" t="str">
        <x:v>野火/林地城市交界灾害</x:v>
      </x:c>
      <x:c r="C576" s="30" t="str">
        <x:v>T074</x:v>
      </x:c>
      <x:c r="D576" s="30" t="str">
        <x:v>面向任务的信息选择与共享</x:v>
      </x:c>
      <x:c r="E576" s="30" t="str">
        <x:v>可候选；Agent决定是否创建/执行</x:v>
      </x:c>
      <x:c r="F576" s="30" t="str">
        <x:v>基线：依实际装配启用</x:v>
      </x:c>
    </x:row>
    <x:row r="577" ht="40" customHeight="1">
      <x:c r="A577" s="30" t="str">
        <x:v>SC07</x:v>
      </x:c>
      <x:c r="B577" s="30" t="str">
        <x:v>野火/林地城市交界灾害</x:v>
      </x:c>
      <x:c r="C577" s="30" t="str">
        <x:v>T075</x:v>
      </x:c>
      <x:c r="D577" s="30" t="str">
        <x:v>局部信念与过时信息维护</x:v>
      </x:c>
      <x:c r="E577" s="30" t="str">
        <x:v>可候选；Agent决定是否创建/执行</x:v>
      </x:c>
      <x:c r="F577" s="30" t="str">
        <x:v>基线：依实际装配启用</x:v>
      </x:c>
    </x:row>
    <x:row r="578" ht="40" customHeight="1">
      <x:c r="A578" s="30" t="str">
        <x:v>SC07</x:v>
      </x:c>
      <x:c r="B578" s="30" t="str">
        <x:v>野火/林地城市交界灾害</x:v>
      </x:c>
      <x:c r="C578" s="30" t="str">
        <x:v>T076</x:v>
      </x:c>
      <x:c r="D578" s="30" t="str">
        <x:v>轨迹/证据归档与回放</x:v>
      </x:c>
      <x:c r="E578" s="30" t="str">
        <x:v>可候选；Agent决定是否创建/执行</x:v>
      </x:c>
      <x:c r="F578" s="30" t="str">
        <x:v>基线：依实际装配启用</x:v>
      </x:c>
    </x:row>
    <x:row r="579" ht="40" customHeight="1">
      <x:c r="A579" s="30" t="str">
        <x:v>SC07</x:v>
      </x:c>
      <x:c r="B579" s="30" t="str">
        <x:v>野火/林地城市交界灾害</x:v>
      </x:c>
      <x:c r="C579" s="30" t="str">
        <x:v>T077</x:v>
      </x:c>
      <x:c r="D579" s="30" t="str">
        <x:v>接收并解释当前使命</x:v>
      </x:c>
      <x:c r="E579" s="30" t="str">
        <x:v>可候选；Agent决定是否创建/执行</x:v>
      </x:c>
      <x:c r="F579" s="30" t="str">
        <x:v>基线：依实际装配启用</x:v>
      </x:c>
    </x:row>
    <x:row r="580" ht="40" customHeight="1">
      <x:c r="A580" s="30" t="str">
        <x:v>SC07</x:v>
      </x:c>
      <x:c r="B580" s="30" t="str">
        <x:v>野火/林地城市交界灾害</x:v>
      </x:c>
      <x:c r="C580" s="30" t="str">
        <x:v>T078</x:v>
      </x:c>
      <x:c r="D580" s="30" t="str">
        <x:v>自主任务分解与候选生成</x:v>
      </x:c>
      <x:c r="E580" s="30" t="str">
        <x:v>可候选；Agent决定是否创建/执行</x:v>
      </x:c>
      <x:c r="F580" s="30" t="str">
        <x:v>基线：依实际装配启用</x:v>
      </x:c>
    </x:row>
    <x:row r="581" ht="40" customHeight="1">
      <x:c r="A581" s="30" t="str">
        <x:v>SC07</x:v>
      </x:c>
      <x:c r="B581" s="30" t="str">
        <x:v>野火/林地城市交界灾害</x:v>
      </x:c>
      <x:c r="C581" s="30" t="str">
        <x:v>T079</x:v>
      </x:c>
      <x:c r="D581" s="30" t="str">
        <x:v>本机参与筛选与出价</x:v>
      </x:c>
      <x:c r="E581" s="30" t="str">
        <x:v>可候选；Agent决定是否创建/执行</x:v>
      </x:c>
      <x:c r="F581" s="30" t="str">
        <x:v>基线：依实际装配启用</x:v>
      </x:c>
    </x:row>
    <x:row r="582" ht="40" customHeight="1">
      <x:c r="A582" s="30" t="str">
        <x:v>SC07</x:v>
      </x:c>
      <x:c r="B582" s="30" t="str">
        <x:v>野火/林地城市交界灾害</x:v>
      </x:c>
      <x:c r="C582" s="30" t="str">
        <x:v>T080</x:v>
      </x:c>
      <x:c r="D582" s="30" t="str">
        <x:v>多平台任务分配与协调</x:v>
      </x:c>
      <x:c r="E582" s="30" t="str">
        <x:v>可候选；Agent决定是否创建/执行</x:v>
      </x:c>
      <x:c r="F582" s="30" t="str">
        <x:v>基线：依实际装配启用</x:v>
      </x:c>
    </x:row>
    <x:row r="583" ht="40" customHeight="1">
      <x:c r="A583" s="30" t="str">
        <x:v>SC07</x:v>
      </x:c>
      <x:c r="B583" s="30" t="str">
        <x:v>野火/林地城市交界灾害</x:v>
      </x:c>
      <x:c r="C583" s="30" t="str">
        <x:v>T081</x:v>
      </x:c>
      <x:c r="D583" s="30" t="str">
        <x:v>任务接受/拒绝与承诺</x:v>
      </x:c>
      <x:c r="E583" s="30" t="str">
        <x:v>可候选；Agent决定是否创建/执行</x:v>
      </x:c>
      <x:c r="F583" s="30" t="str">
        <x:v>基线：依实际装配启用</x:v>
      </x:c>
    </x:row>
    <x:row r="584" ht="40" customHeight="1">
      <x:c r="A584" s="30" t="str">
        <x:v>SC07</x:v>
      </x:c>
      <x:c r="B584" s="30" t="str">
        <x:v>野火/林地城市交界灾害</x:v>
      </x:c>
      <x:c r="C584" s="30" t="str">
        <x:v>T082</x:v>
      </x:c>
      <x:c r="D584" s="30" t="str">
        <x:v>进度监控与完成确认</x:v>
      </x:c>
      <x:c r="E584" s="30" t="str">
        <x:v>可候选；Agent决定是否创建/执行</x:v>
      </x:c>
      <x:c r="F584" s="30" t="str">
        <x:v>基线：依实际装配启用</x:v>
      </x:c>
    </x:row>
    <x:row r="585" ht="40" customHeight="1">
      <x:c r="A585" s="30" t="str">
        <x:v>SC07</x:v>
      </x:c>
      <x:c r="B585" s="30" t="str">
        <x:v>野火/林地城市交界灾害</x:v>
      </x:c>
      <x:c r="C585" s="30" t="str">
        <x:v>T083</x:v>
      </x:c>
      <x:c r="D585" s="30" t="str">
        <x:v>任务取消/抢占</x:v>
      </x:c>
      <x:c r="E585" s="30" t="str">
        <x:v>可候选；Agent决定是否创建/执行</x:v>
      </x:c>
      <x:c r="F585" s="30" t="str">
        <x:v>基线：依实际装配启用</x:v>
      </x:c>
    </x:row>
    <x:row r="586" ht="40" customHeight="1">
      <x:c r="A586" s="30" t="str">
        <x:v>SC07</x:v>
      </x:c>
      <x:c r="B586" s="30" t="str">
        <x:v>野火/林地城市交界灾害</x:v>
      </x:c>
      <x:c r="C586" s="30" t="str">
        <x:v>T084</x:v>
      </x:c>
      <x:c r="D586" s="30" t="str">
        <x:v>恢复原任务</x:v>
      </x:c>
      <x:c r="E586" s="30" t="str">
        <x:v>可候选；Agent决定是否创建/执行</x:v>
      </x:c>
      <x:c r="F586" s="30" t="str">
        <x:v>基线：依实际装配启用</x:v>
      </x:c>
    </x:row>
    <x:row r="587" ht="40" customHeight="1">
      <x:c r="A587" s="30" t="str">
        <x:v>SC07</x:v>
      </x:c>
      <x:c r="B587" s="30" t="str">
        <x:v>野火/林地城市交界灾害</x:v>
      </x:c>
      <x:c r="C587" s="30" t="str">
        <x:v>T085</x:v>
      </x:c>
      <x:c r="D587" s="30" t="str">
        <x:v>跨Agent任务与证据交接</x:v>
      </x:c>
      <x:c r="E587" s="30" t="str">
        <x:v>可候选；Agent决定是否创建/执行</x:v>
      </x:c>
      <x:c r="F587" s="30" t="str">
        <x:v>基线：依实际装配启用</x:v>
      </x:c>
    </x:row>
    <x:row r="588" ht="40" customHeight="1">
      <x:c r="A588" s="30" t="str">
        <x:v>SC07</x:v>
      </x:c>
      <x:c r="B588" s="30" t="str">
        <x:v>野火/林地城市交界灾害</x:v>
      </x:c>
      <x:c r="C588" s="30" t="str">
        <x:v>T086</x:v>
      </x:c>
      <x:c r="D588" s="30" t="str">
        <x:v>失败重规划与重派</x:v>
      </x:c>
      <x:c r="E588" s="30" t="str">
        <x:v>可候选；Agent决定是否创建/执行</x:v>
      </x:c>
      <x:c r="F588" s="30" t="str">
        <x:v>基线：依实际装配启用</x:v>
      </x:c>
    </x:row>
    <x:row r="589" ht="40" customHeight="1">
      <x:c r="A589" s="30" t="str">
        <x:v>SC07</x:v>
      </x:c>
      <x:c r="B589" s="30" t="str">
        <x:v>野火/林地城市交界灾害</x:v>
      </x:c>
      <x:c r="C589" s="30" t="str">
        <x:v>T087</x:v>
      </x:c>
      <x:c r="D589" s="30" t="str">
        <x:v>请求专业救援/工程力量</x:v>
      </x:c>
      <x:c r="E589" s="30" t="str">
        <x:v>可候选；Agent决定是否创建/执行</x:v>
      </x:c>
      <x:c r="F589" s="30" t="str">
        <x:v>基线：依实际装配启用</x:v>
      </x:c>
    </x:row>
    <x:row r="590" ht="40" customHeight="1">
      <x:c r="A590" s="30" t="str">
        <x:v>SC07</x:v>
      </x:c>
      <x:c r="B590" s="30" t="str">
        <x:v>野火/林地城市交界灾害</x:v>
      </x:c>
      <x:c r="C590" s="30" t="str">
        <x:v>T088</x:v>
      </x:c>
      <x:c r="D590" s="30" t="str">
        <x:v>工作现场闭合与阶段移交</x:v>
      </x:c>
      <x:c r="E590" s="30" t="str">
        <x:v>可候选；Agent决定是否创建/执行</x:v>
      </x:c>
      <x:c r="F590" s="30" t="str">
        <x:v>基线：依实际装配启用</x:v>
      </x:c>
    </x:row>
    <x:row r="591" ht="40" customHeight="1">
      <x:c r="A591" s="30" t="str">
        <x:v>SC07</x:v>
      </x:c>
      <x:c r="B591" s="30" t="str">
        <x:v>野火/林地城市交界灾害</x:v>
      </x:c>
      <x:c r="C591" s="30" t="str">
        <x:v>T089</x:v>
      </x:c>
      <x:c r="D591" s="30" t="str">
        <x:v>次生危险动态监视</x:v>
      </x:c>
      <x:c r="E591" s="30" t="str">
        <x:v>可候选；Agent决定是否创建/执行</x:v>
      </x:c>
      <x:c r="F591" s="30" t="str">
        <x:v>基线：依实际装配启用</x:v>
      </x:c>
    </x:row>
    <x:row r="592" ht="40" customHeight="1">
      <x:c r="A592" s="30" t="str">
        <x:v>SC07</x:v>
      </x:c>
      <x:c r="B592" s="30" t="str">
        <x:v>野火/林地城市交界灾害</x:v>
      </x:c>
      <x:c r="C592" s="30" t="str">
        <x:v>T090</x:v>
      </x:c>
      <x:c r="D592" s="30" t="str">
        <x:v>平台/能源/服务健康监视</x:v>
      </x:c>
      <x:c r="E592" s="30" t="str">
        <x:v>可候选；Agent决定是否创建/执行</x:v>
      </x:c>
      <x:c r="F592" s="30" t="str">
        <x:v>基线：依实际装配启用</x:v>
      </x:c>
    </x:row>
    <x:row r="593" ht="40" customHeight="1">
      <x:c r="A593" s="30" t="str">
        <x:v>SC07</x:v>
      </x:c>
      <x:c r="B593" s="30" t="str">
        <x:v>野火/林地城市交界灾害</x:v>
      </x:c>
      <x:c r="C593" s="30" t="str">
        <x:v>T091</x:v>
      </x:c>
      <x:c r="D593" s="30" t="str">
        <x:v>安全等待与驻留观察</x:v>
      </x:c>
      <x:c r="E593" s="30" t="str">
        <x:v>可候选；Agent决定是否创建/执行</x:v>
      </x:c>
      <x:c r="F593" s="30" t="str">
        <x:v>基线：依实际装配启用</x:v>
      </x:c>
    </x:row>
    <x:row r="594" ht="40" customHeight="1">
      <x:c r="A594" s="30" t="str">
        <x:v>SC07</x:v>
      </x:c>
      <x:c r="B594" s="30" t="str">
        <x:v>野火/林地城市交界灾害</x:v>
      </x:c>
      <x:c r="C594" s="30" t="str">
        <x:v>T092</x:v>
      </x:c>
      <x:c r="D594" s="30" t="str">
        <x:v>设备/传感器/服务故障诊断</x:v>
      </x:c>
      <x:c r="E594" s="30" t="str">
        <x:v>可候选；Agent决定是否创建/执行</x:v>
      </x:c>
      <x:c r="F594" s="30" t="str">
        <x:v>基线：依实际装配启用</x:v>
      </x:c>
    </x:row>
    <x:row r="595" ht="40" customHeight="1">
      <x:c r="A595" s="30" t="str">
        <x:v>SC07</x:v>
      </x:c>
      <x:c r="B595" s="30" t="str">
        <x:v>野火/林地城市交界灾害</x:v>
      </x:c>
      <x:c r="C595" s="30" t="str">
        <x:v>T093</x:v>
      </x:c>
      <x:c r="D595" s="30" t="str">
        <x:v>消防抑制/灭火</x:v>
      </x:c>
      <x:c r="E595" s="30" t="str">
        <x:v>可候选；Agent决定是否创建/执行</x:v>
      </x:c>
      <x:c r="F595" s="30" t="str">
        <x:v>条件扩展：明确设备/专业服务后启用</x:v>
      </x:c>
    </x:row>
    <x:row r="596" ht="40" customHeight="1">
      <x:c r="A596" s="30" t="str">
        <x:v>SC07</x:v>
      </x:c>
      <x:c r="B596" s="30" t="str">
        <x:v>野火/林地城市交界灾害</x:v>
      </x:c>
      <x:c r="C596" s="30" t="str">
        <x:v>T094</x:v>
      </x:c>
      <x:c r="D596" s="30" t="str">
        <x:v>消防供水与灭火耗材补充</x:v>
      </x:c>
      <x:c r="E596" s="30" t="str">
        <x:v>可候选；Agent决定是否创建/执行</x:v>
      </x:c>
      <x:c r="F596" s="30" t="str">
        <x:v>条件扩展：明确设备/专业服务后启用</x:v>
      </x:c>
    </x:row>
    <x:row r="597" ht="40" customHeight="1">
      <x:c r="A597" s="30" t="str">
        <x:v>SC07</x:v>
      </x:c>
      <x:c r="B597" s="30" t="str">
        <x:v>野火/林地城市交界灾害</x:v>
      </x:c>
      <x:c r="C597" s="30" t="str">
        <x:v>T095</x:v>
      </x:c>
      <x:c r="D597" s="30" t="str">
        <x:v>危险源隔离/警戒区建立</x:v>
      </x:c>
      <x:c r="E597" s="30" t="str">
        <x:v>可候选；Agent决定是否创建/执行</x:v>
      </x:c>
      <x:c r="F597" s="30" t="str">
        <x:v>条件扩展：明确设备/专业服务后启用</x:v>
      </x:c>
    </x:row>
    <x:row r="598" ht="40" customHeight="1">
      <x:c r="A598" s="30" t="str">
        <x:v>SC07</x:v>
      </x:c>
      <x:c r="B598" s="30" t="str">
        <x:v>野火/林地城市交界灾害</x:v>
      </x:c>
      <x:c r="C598" s="30" t="str">
        <x:v>T096</x:v>
      </x:c>
      <x:c r="D598" s="30" t="str">
        <x:v>跨模型特征/潜表示适配</x:v>
      </x:c>
      <x:c r="E598" s="30" t="str">
        <x:v>可候选；Agent决定是否创建/执行</x:v>
      </x:c>
      <x:c r="F598" s="30" t="str">
        <x:v>条件扩展：明确设备/专业服务后启用</x:v>
      </x:c>
    </x:row>
    <x:row r="599" ht="40" customHeight="1">
      <x:c r="A599" s="30" t="str">
        <x:v>SC08</x:v>
      </x:c>
      <x:c r="B599" s="30" t="str">
        <x:v>滑坡/泥石流/地面塌陷受灾区</x:v>
      </x:c>
      <x:c r="C599" s="30" t="str">
        <x:v>T001</x:v>
      </x:c>
      <x:c r="D599" s="30" t="str">
        <x:v>区域快速普查</x:v>
      </x:c>
      <x:c r="E599" s="30" t="str">
        <x:v>可候选；Agent决定是否创建/执行</x:v>
      </x:c>
      <x:c r="F599" s="30" t="str">
        <x:v>基线：依实际装配启用</x:v>
      </x:c>
    </x:row>
    <x:row r="600" ht="40" customHeight="1">
      <x:c r="A600" s="30" t="str">
        <x:v>SC08</x:v>
      </x:c>
      <x:c r="B600" s="30" t="str">
        <x:v>滑坡/泥石流/地面塌陷受灾区</x:v>
      </x:c>
      <x:c r="C600" s="30" t="str">
        <x:v>T002</x:v>
      </x:c>
      <x:c r="D600" s="30" t="str">
        <x:v>建筑外部损毁评估</x:v>
      </x:c>
      <x:c r="E600" s="30" t="str">
        <x:v>可候选；Agent决定是否创建/执行</x:v>
      </x:c>
      <x:c r="F600" s="30" t="str">
        <x:v>基线：依实际装配启用</x:v>
      </x:c>
    </x:row>
    <x:row r="601" ht="40" customHeight="1">
      <x:c r="A601" s="30" t="str">
        <x:v>SC08</x:v>
      </x:c>
      <x:c r="B601" s="30" t="str">
        <x:v>滑坡/泥石流/地面塌陷受灾区</x:v>
      </x:c>
      <x:c r="C601" s="30" t="str">
        <x:v>T003</x:v>
      </x:c>
      <x:c r="D601" s="30" t="str">
        <x:v>道路与通路灾后评估</x:v>
      </x:c>
      <x:c r="E601" s="30" t="str">
        <x:v>可候选；Agent决定是否创建/执行</x:v>
      </x:c>
      <x:c r="F601" s="30" t="str">
        <x:v>基线：依实际装配启用</x:v>
      </x:c>
    </x:row>
    <x:row r="602" ht="40" customHeight="1">
      <x:c r="A602" s="30" t="str">
        <x:v>SC08</x:v>
      </x:c>
      <x:c r="B602" s="30" t="str">
        <x:v>滑坡/泥石流/地面塌陷受灾区</x:v>
      </x:c>
      <x:c r="C602" s="30" t="str">
        <x:v>T004</x:v>
      </x:c>
      <x:c r="D602" s="30" t="str">
        <x:v>入口与屋顶交付区检查</x:v>
      </x:c>
      <x:c r="E602" s="30" t="str">
        <x:v>可候选；Agent决定是否创建/执行</x:v>
      </x:c>
      <x:c r="F602" s="30" t="str">
        <x:v>基线：依实际装配启用</x:v>
      </x:c>
    </x:row>
    <x:row r="603" ht="40" customHeight="1">
      <x:c r="A603" s="30" t="str">
        <x:v>SC08</x:v>
      </x:c>
      <x:c r="B603" s="30" t="str">
        <x:v>滑坡/泥石流/地面塌陷受灾区</x:v>
      </x:c>
      <x:c r="C603" s="30" t="str">
        <x:v>T007</x:v>
      </x:c>
      <x:c r="D603" s="30" t="str">
        <x:v>灾前灾后变化与地图更新</x:v>
      </x:c>
      <x:c r="E603" s="30" t="str">
        <x:v>可候选；Agent决定是否创建/执行</x:v>
      </x:c>
      <x:c r="F603" s="30" t="str">
        <x:v>基线：依实际装配启用</x:v>
      </x:c>
    </x:row>
    <x:row r="604" ht="40" customHeight="1">
      <x:c r="A604" s="30" t="str">
        <x:v>SC08</x:v>
      </x:c>
      <x:c r="B604" s="30" t="str">
        <x:v>滑坡/泥石流/地面塌陷受灾区</x:v>
      </x:c>
      <x:c r="C604" s="30" t="str">
        <x:v>T008</x:v>
      </x:c>
      <x:c r="D604" s="30" t="str">
        <x:v>建筑/区域覆盖登记</x:v>
      </x:c>
      <x:c r="E604" s="30" t="str">
        <x:v>可候选；Agent决定是否创建/执行</x:v>
      </x:c>
      <x:c r="F604" s="30" t="str">
        <x:v>基线：依实际装配启用</x:v>
      </x:c>
    </x:row>
    <x:row r="605" ht="40" customHeight="1">
      <x:c r="A605" s="30" t="str">
        <x:v>SC08</x:v>
      </x:c>
      <x:c r="B605" s="30" t="str">
        <x:v>滑坡/泥石流/地面塌陷受灾区</x:v>
      </x:c>
      <x:c r="C605" s="30" t="str">
        <x:v>T009</x:v>
      </x:c>
      <x:c r="D605" s="30" t="str">
        <x:v>系统空中人员搜索</x:v>
      </x:c>
      <x:c r="E605" s="30" t="str">
        <x:v>可候选；Agent决定是否创建/执行</x:v>
      </x:c>
      <x:c r="F605" s="30" t="str">
        <x:v>基线：依实际装配启用</x:v>
      </x:c>
    </x:row>
    <x:row r="606" ht="40" customHeight="1">
      <x:c r="A606" s="30" t="str">
        <x:v>SC08</x:v>
      </x:c>
      <x:c r="B606" s="30" t="str">
        <x:v>滑坡/泥石流/地面塌陷受灾区</x:v>
      </x:c>
      <x:c r="C606" s="30" t="str">
        <x:v>T010</x:v>
      </x:c>
      <x:c r="D606" s="30" t="str">
        <x:v>线索发现与语义解读</x:v>
      </x:c>
      <x:c r="E606" s="30" t="str">
        <x:v>可候选；Agent决定是否创建/执行</x:v>
      </x:c>
      <x:c r="F606" s="30" t="str">
        <x:v>基线：依实际装配启用</x:v>
      </x:c>
    </x:row>
    <x:row r="607" ht="40" customHeight="1">
      <x:c r="A607" s="30" t="str">
        <x:v>SC08</x:v>
      </x:c>
      <x:c r="B607" s="30" t="str">
        <x:v>滑坡/泥石流/地面塌陷受灾区</x:v>
      </x:c>
      <x:c r="C607" s="30" t="str">
        <x:v>T011</x:v>
      </x:c>
      <x:c r="D607" s="30" t="str">
        <x:v>疑似目标多视角复核</x:v>
      </x:c>
      <x:c r="E607" s="30" t="str">
        <x:v>可候选；Agent决定是否创建/执行</x:v>
      </x:c>
      <x:c r="F607" s="30" t="str">
        <x:v>基线：依实际装配启用</x:v>
      </x:c>
    </x:row>
    <x:row r="608" ht="40" customHeight="1">
      <x:c r="A608" s="30" t="str">
        <x:v>SC08</x:v>
      </x:c>
      <x:c r="B608" s="30" t="str">
        <x:v>滑坡/泥石流/地面塌陷受灾区</x:v>
      </x:c>
      <x:c r="C608" s="30" t="str">
        <x:v>T012</x:v>
      </x:c>
      <x:c r="D608" s="30" t="str">
        <x:v>目标定位跟踪与跨视角关联</x:v>
      </x:c>
      <x:c r="E608" s="30" t="str">
        <x:v>可候选；Agent决定是否创建/执行</x:v>
      </x:c>
      <x:c r="F608" s="30" t="str">
        <x:v>基线：依实际装配启用</x:v>
      </x:c>
    </x:row>
    <x:row r="609" ht="40" customHeight="1">
      <x:c r="A609" s="30" t="str">
        <x:v>SC08</x:v>
      </x:c>
      <x:c r="B609" s="30" t="str">
        <x:v>滑坡/泥石流/地面塌陷受灾区</x:v>
      </x:c>
      <x:c r="C609" s="30" t="str">
        <x:v>T013</x:v>
      </x:c>
      <x:c r="D609" s="30" t="str">
        <x:v>近地外部与狭窄区搜索</x:v>
      </x:c>
      <x:c r="E609" s="30" t="str">
        <x:v>可候选；Agent决定是否创建/执行</x:v>
      </x:c>
      <x:c r="F609" s="30" t="str">
        <x:v>基线：依实际装配启用</x:v>
      </x:c>
    </x:row>
    <x:row r="610" ht="40" customHeight="1">
      <x:c r="A610" s="30" t="str">
        <x:v>SC08</x:v>
      </x:c>
      <x:c r="B610" s="30" t="str">
        <x:v>滑坡/泥石流/地面塌陷受灾区</x:v>
      </x:c>
      <x:c r="C610" s="30" t="str">
        <x:v>T014</x:v>
      </x:c>
      <x:c r="D610" s="30" t="str">
        <x:v>建筑内部初次抽象搜索</x:v>
      </x:c>
      <x:c r="E610" s="30" t="str">
        <x:v>可候选；Agent决定是否创建/执行</x:v>
      </x:c>
      <x:c r="F610" s="30" t="str">
        <x:v>基线：依实际装配启用</x:v>
      </x:c>
    </x:row>
    <x:row r="611" ht="40" customHeight="1">
      <x:c r="A611" s="30" t="str">
        <x:v>SC08</x:v>
      </x:c>
      <x:c r="B611" s="30" t="str">
        <x:v>滑坡/泥石流/地面塌陷受灾区</x:v>
      </x:c>
      <x:c r="C611" s="30" t="str">
        <x:v>T015</x:v>
      </x:c>
      <x:c r="D611" s="30" t="str">
        <x:v>建筑内部复搜/完整搜索</x:v>
      </x:c>
      <x:c r="E611" s="30" t="str">
        <x:v>可候选；Agent决定是否创建/执行</x:v>
      </x:c>
      <x:c r="F611" s="30" t="str">
        <x:v>基线：依实际装配启用</x:v>
      </x:c>
    </x:row>
    <x:row r="612" ht="40" customHeight="1">
      <x:c r="A612" s="30" t="str">
        <x:v>SC08</x:v>
      </x:c>
      <x:c r="B612" s="30" t="str">
        <x:v>滑坡/泥石流/地面塌陷受灾区</x:v>
      </x:c>
      <x:c r="C612" s="30" t="str">
        <x:v>T016</x:v>
      </x:c>
      <x:c r="D612" s="30" t="str">
        <x:v>热成像补充搜索</x:v>
      </x:c>
      <x:c r="E612" s="30" t="str">
        <x:v>可候选；Agent决定是否创建/执行</x:v>
      </x:c>
      <x:c r="F612" s="30" t="str">
        <x:v>条件扩展：明确设备/专业服务后启用</x:v>
      </x:c>
    </x:row>
    <x:row r="613" ht="40" customHeight="1">
      <x:c r="A613" s="30" t="str">
        <x:v>SC08</x:v>
      </x:c>
      <x:c r="B613" s="30" t="str">
        <x:v>滑坡/泥石流/地面塌陷受灾区</x:v>
      </x:c>
      <x:c r="C613" s="30" t="str">
        <x:v>T017</x:v>
      </x:c>
      <x:c r="D613" s="30" t="str">
        <x:v>声音线索搜索</x:v>
      </x:c>
      <x:c r="E613" s="30" t="str">
        <x:v>可候选；Agent决定是否创建/执行</x:v>
      </x:c>
      <x:c r="F613" s="30" t="str">
        <x:v>条件扩展：明确设备/专业服务后启用</x:v>
      </x:c>
    </x:row>
    <x:row r="614" ht="40" customHeight="1">
      <x:c r="A614" s="30" t="str">
        <x:v>SC08</x:v>
      </x:c>
      <x:c r="B614" s="30" t="str">
        <x:v>滑坡/泥石流/地面塌陷受灾区</x:v>
      </x:c>
      <x:c r="C614" s="30" t="str">
        <x:v>T018</x:v>
      </x:c>
      <x:c r="D614" s="30" t="str">
        <x:v>RF/手机线索搜索</x:v>
      </x:c>
      <x:c r="E614" s="30" t="str">
        <x:v>可候选；Agent决定是否创建/执行</x:v>
      </x:c>
      <x:c r="F614" s="30" t="str">
        <x:v>条件扩展：明确设备/专业服务后启用</x:v>
      </x:c>
    </x:row>
    <x:row r="615" ht="40" customHeight="1">
      <x:c r="A615" s="30" t="str">
        <x:v>SC08</x:v>
      </x:c>
      <x:c r="B615" s="30" t="str">
        <x:v>滑坡/泥石流/地面塌陷受灾区</x:v>
      </x:c>
      <x:c r="C615" s="30" t="str">
        <x:v>T019</x:v>
      </x:c>
      <x:c r="D615" s="30" t="str">
        <x:v>空中转场与观察点到达</x:v>
      </x:c>
      <x:c r="E615" s="30" t="str">
        <x:v>可候选；Agent决定是否创建/执行</x:v>
      </x:c>
      <x:c r="F615" s="30" t="str">
        <x:v>基线：依实际装配启用</x:v>
      </x:c>
    </x:row>
    <x:row r="616" ht="40" customHeight="1">
      <x:c r="A616" s="30" t="str">
        <x:v>SC08</x:v>
      </x:c>
      <x:c r="B616" s="30" t="str">
        <x:v>滑坡/泥石流/地面塌陷受灾区</x:v>
      </x:c>
      <x:c r="C616" s="30" t="str">
        <x:v>T020</x:v>
      </x:c>
      <x:c r="D616" s="30" t="str">
        <x:v>地面转场与绕行</x:v>
      </x:c>
      <x:c r="E616" s="30" t="str">
        <x:v>可候选；Agent决定是否创建/执行</x:v>
      </x:c>
      <x:c r="F616" s="30" t="str">
        <x:v>基线：依实际装配启用</x:v>
      </x:c>
    </x:row>
    <x:row r="617" ht="40" customHeight="1">
      <x:c r="A617" s="30" t="str">
        <x:v>SC08</x:v>
      </x:c>
      <x:c r="B617" s="30" t="str">
        <x:v>滑坡/泥石流/地面塌陷受灾区</x:v>
      </x:c>
      <x:c r="C617" s="30" t="str">
        <x:v>T021</x:v>
      </x:c>
      <x:c r="D617" s="30" t="str">
        <x:v>障碍接近探测与路径验证</x:v>
      </x:c>
      <x:c r="E617" s="30" t="str">
        <x:v>可候选；Agent决定是否创建/执行</x:v>
      </x:c>
      <x:c r="F617" s="30" t="str">
        <x:v>基线：依实际装配启用</x:v>
      </x:c>
    </x:row>
    <x:row r="618" ht="40" customHeight="1">
      <x:c r="A618" s="30" t="str">
        <x:v>SC08</x:v>
      </x:c>
      <x:c r="B618" s="30" t="str">
        <x:v>滑坡/泥石流/地面塌陷受灾区</x:v>
      </x:c>
      <x:c r="C618" s="30" t="str">
        <x:v>T022</x:v>
      </x:c>
      <x:c r="D618" s="30" t="str">
        <x:v>轻型残骸移除</x:v>
      </x:c>
      <x:c r="E618" s="30" t="str">
        <x:v>可候选；Agent决定是否创建/执行</x:v>
      </x:c>
      <x:c r="F618" s="30" t="str">
        <x:v>条件扩展：明确设备/专业服务后启用</x:v>
      </x:c>
    </x:row>
    <x:row r="619" ht="40" customHeight="1">
      <x:c r="A619" s="30" t="str">
        <x:v>SC08</x:v>
      </x:c>
      <x:c r="B619" s="30" t="str">
        <x:v>滑坡/泥石流/地面塌陷受灾区</x:v>
      </x:c>
      <x:c r="C619" s="30" t="str">
        <x:v>T023</x:v>
      </x:c>
      <x:c r="D619" s="30" t="str">
        <x:v>重型道路清障</x:v>
      </x:c>
      <x:c r="E619" s="30" t="str">
        <x:v>可候选；Agent决定是否创建/执行</x:v>
      </x:c>
      <x:c r="F619" s="30" t="str">
        <x:v>条件扩展：明确设备/专业服务后启用</x:v>
      </x:c>
    </x:row>
    <x:row r="620" ht="40" customHeight="1">
      <x:c r="A620" s="30" t="str">
        <x:v>SC08</x:v>
      </x:c>
      <x:c r="B620" s="30" t="str">
        <x:v>滑坡/泥石流/地面塌陷受灾区</x:v>
      </x:c>
      <x:c r="C620" s="30" t="str">
        <x:v>T024</x:v>
      </x:c>
      <x:c r="D620" s="30" t="str">
        <x:v>入口开辟与局部破拆</x:v>
      </x:c>
      <x:c r="E620" s="30" t="str">
        <x:v>可候选；Agent决定是否创建/执行</x:v>
      </x:c>
      <x:c r="F620" s="30" t="str">
        <x:v>条件扩展：明确设备/专业服务后启用</x:v>
      </x:c>
    </x:row>
    <x:row r="621" ht="40" customHeight="1">
      <x:c r="A621" s="30" t="str">
        <x:v>SC08</x:v>
      </x:c>
      <x:c r="B621" s="30" t="str">
        <x:v>滑坡/泥石流/地面塌陷受灾区</x:v>
      </x:c>
      <x:c r="C621" s="30" t="str">
        <x:v>T025</x:v>
      </x:c>
      <x:c r="D621" s="30" t="str">
        <x:v>危险结构临时支撑</x:v>
      </x:c>
      <x:c r="E621" s="30" t="str">
        <x:v>可候选；Agent决定是否创建/执行</x:v>
      </x:c>
      <x:c r="F621" s="30" t="str">
        <x:v>条件扩展：明确设备/专业服务后启用</x:v>
      </x:c>
    </x:row>
    <x:row r="622" ht="40" customHeight="1">
      <x:c r="A622" s="30" t="str">
        <x:v>SC08</x:v>
      </x:c>
      <x:c r="B622" s="30" t="str">
        <x:v>滑坡/泥石流/地面塌陷受灾区</x:v>
      </x:c>
      <x:c r="C622" s="30" t="str">
        <x:v>T026</x:v>
      </x:c>
      <x:c r="D622" s="30" t="str">
        <x:v>吊升/移置大块障碍</x:v>
      </x:c>
      <x:c r="E622" s="30" t="str">
        <x:v>可候选；Agent决定是否创建/执行</x:v>
      </x:c>
      <x:c r="F622" s="30" t="str">
        <x:v>条件扩展：明确设备/专业服务后启用</x:v>
      </x:c>
    </x:row>
    <x:row r="623" ht="40" customHeight="1">
      <x:c r="A623" s="30" t="str">
        <x:v>SC08</x:v>
      </x:c>
      <x:c r="B623" s="30" t="str">
        <x:v>滑坡/泥石流/地面塌陷受灾区</x:v>
      </x:c>
      <x:c r="C623" s="30" t="str">
        <x:v>T027</x:v>
      </x:c>
      <x:c r="D623" s="30" t="str">
        <x:v>建立联系并确认需求</x:v>
      </x:c>
      <x:c r="E623" s="30" t="str">
        <x:v>可候选；Agent决定是否创建/执行</x:v>
      </x:c>
      <x:c r="F623" s="30" t="str">
        <x:v>基线：依实际装配启用</x:v>
      </x:c>
    </x:row>
    <x:row r="624" ht="40" customHeight="1">
      <x:c r="A624" s="30" t="str">
        <x:v>SC08</x:v>
      </x:c>
      <x:c r="B624" s="30" t="str">
        <x:v>滑坡/泥石流/地面塌陷受灾区</x:v>
      </x:c>
      <x:c r="C624" s="30" t="str">
        <x:v>T028</x:v>
      </x:c>
      <x:c r="D624" s="30" t="str">
        <x:v>安全警示与避险引导</x:v>
      </x:c>
      <x:c r="E624" s="30" t="str">
        <x:v>可候选；Agent决定是否创建/执行</x:v>
      </x:c>
      <x:c r="F624" s="30" t="str">
        <x:v>基线：依实际装配启用</x:v>
      </x:c>
    </x:row>
    <x:row r="625" ht="40" customHeight="1">
      <x:c r="A625" s="30" t="str">
        <x:v>SC08</x:v>
      </x:c>
      <x:c r="B625" s="30" t="str">
        <x:v>滑坡/泥石流/地面塌陷受灾区</x:v>
      </x:c>
      <x:c r="C625" s="30" t="str">
        <x:v>T029</x:v>
      </x:c>
      <x:c r="D625" s="30" t="str">
        <x:v>专业伤员评估与分级</x:v>
      </x:c>
      <x:c r="E625" s="30" t="str">
        <x:v>可候选；Agent决定是否创建/执行</x:v>
      </x:c>
      <x:c r="F625" s="30" t="str">
        <x:v>条件扩展：明确设备/专业服务后启用</x:v>
      </x:c>
    </x:row>
    <x:row r="626" ht="40" customHeight="1">
      <x:c r="A626" s="30" t="str">
        <x:v>SC08</x:v>
      </x:c>
      <x:c r="B626" s="30" t="str">
        <x:v>滑坡/泥石流/地面塌陷受灾区</x:v>
      </x:c>
      <x:c r="C626" s="30" t="str">
        <x:v>T030</x:v>
      </x:c>
      <x:c r="D626" s="30" t="str">
        <x:v>人员基础物资支援</x:v>
      </x:c>
      <x:c r="E626" s="30" t="str">
        <x:v>可候选；Agent决定是否创建/执行</x:v>
      </x:c>
      <x:c r="F626" s="30" t="str">
        <x:v>基线：依实际装配启用</x:v>
      </x:c>
    </x:row>
    <x:row r="627" ht="40" customHeight="1">
      <x:c r="A627" s="30" t="str">
        <x:v>SC08</x:v>
      </x:c>
      <x:c r="B627" s="30" t="str">
        <x:v>滑坡/泥石流/地面塌陷受灾区</x:v>
      </x:c>
      <x:c r="C627" s="30" t="str">
        <x:v>T031</x:v>
      </x:c>
      <x:c r="D627" s="30" t="str">
        <x:v>专业初步救护</x:v>
      </x:c>
      <x:c r="E627" s="30" t="str">
        <x:v>可候选；Agent决定是否创建/执行</x:v>
      </x:c>
      <x:c r="F627" s="30" t="str">
        <x:v>条件扩展：明确设备/专业服务后启用</x:v>
      </x:c>
    </x:row>
    <x:row r="628" ht="40" customHeight="1">
      <x:c r="A628" s="30" t="str">
        <x:v>SC08</x:v>
      </x:c>
      <x:c r="B628" s="30" t="str">
        <x:v>滑坡/泥石流/地面塌陷受灾区</x:v>
      </x:c>
      <x:c r="C628" s="30" t="str">
        <x:v>T032</x:v>
      </x:c>
      <x:c r="D628" s="30" t="str">
        <x:v>受困解除/解困</x:v>
      </x:c>
      <x:c r="E628" s="30" t="str">
        <x:v>可候选；Agent决定是否创建/执行</x:v>
      </x:c>
      <x:c r="F628" s="30" t="str">
        <x:v>条件扩展：明确设备/专业服务后启用</x:v>
      </x:c>
    </x:row>
    <x:row r="629" ht="40" customHeight="1">
      <x:c r="A629" s="30" t="str">
        <x:v>SC08</x:v>
      </x:c>
      <x:c r="B629" s="30" t="str">
        <x:v>滑坡/泥石流/地面塌陷受灾区</x:v>
      </x:c>
      <x:c r="C629" s="30" t="str">
        <x:v>T033</x:v>
      </x:c>
      <x:c r="D629" s="30" t="str">
        <x:v>人员装载</x:v>
      </x:c>
      <x:c r="E629" s="30" t="str">
        <x:v>可候选；Agent决定是否创建/执行</x:v>
      </x:c>
      <x:c r="F629" s="30" t="str">
        <x:v>条件扩展：明确设备/专业服务后启用</x:v>
      </x:c>
    </x:row>
    <x:row r="630" ht="40" customHeight="1">
      <x:c r="A630" s="30" t="str">
        <x:v>SC08</x:v>
      </x:c>
      <x:c r="B630" s="30" t="str">
        <x:v>滑坡/泥石流/地面塌陷受灾区</x:v>
      </x:c>
      <x:c r="C630" s="30" t="str">
        <x:v>T034</x:v>
      </x:c>
      <x:c r="D630" s="30" t="str">
        <x:v>人员转运</x:v>
      </x:c>
      <x:c r="E630" s="30" t="str">
        <x:v>可候选；Agent决定是否创建/执行</x:v>
      </x:c>
      <x:c r="F630" s="30" t="str">
        <x:v>条件扩展：明确设备/专业服务后启用</x:v>
      </x:c>
    </x:row>
    <x:row r="631" ht="40" customHeight="1">
      <x:c r="A631" s="30" t="str">
        <x:v>SC08</x:v>
      </x:c>
      <x:c r="B631" s="30" t="str">
        <x:v>滑坡/泥石流/地面塌陷受灾区</x:v>
      </x:c>
      <x:c r="C631" s="30" t="str">
        <x:v>T035</x:v>
      </x:c>
      <x:c r="D631" s="30" t="str">
        <x:v>救援/医疗最终移交</x:v>
      </x:c>
      <x:c r="E631" s="30" t="str">
        <x:v>可候选；Agent决定是否创建/执行</x:v>
      </x:c>
      <x:c r="F631" s="30" t="str">
        <x:v>条件扩展：明确设备/专业服务后启用</x:v>
      </x:c>
    </x:row>
    <x:row r="632" ht="40" customHeight="1">
      <x:c r="A632" s="30" t="str">
        <x:v>SC08</x:v>
      </x:c>
      <x:c r="B632" s="30" t="str">
        <x:v>滑坡/泥石流/地面塌陷受灾区</x:v>
      </x:c>
      <x:c r="C632" s="30" t="str">
        <x:v>T036</x:v>
      </x:c>
      <x:c r="D632" s="30" t="str">
        <x:v>水中人员救助回收</x:v>
      </x:c>
      <x:c r="E632" s="30" t="str">
        <x:v>可候选；Agent决定是否创建/执行</x:v>
      </x:c>
      <x:c r="F632" s="30" t="str">
        <x:v>条件扩展：明确设备/专业服务后启用</x:v>
      </x:c>
    </x:row>
    <x:row r="633" ht="40" customHeight="1">
      <x:c r="A633" s="30" t="str">
        <x:v>SC08</x:v>
      </x:c>
      <x:c r="B633" s="30" t="str">
        <x:v>滑坡/泥石流/地面塌陷受灾区</x:v>
      </x:c>
      <x:c r="C633" s="30" t="str">
        <x:v>T037</x:v>
      </x:c>
      <x:c r="D633" s="30" t="str">
        <x:v>救援转恢复阶段的遗体移交</x:v>
      </x:c>
      <x:c r="E633" s="30" t="str">
        <x:v>可候选；Agent决定是否创建/执行</x:v>
      </x:c>
      <x:c r="F633" s="30" t="str">
        <x:v>条件扩展：明确设备/专业服务后启用</x:v>
      </x:c>
    </x:row>
    <x:row r="634" ht="40" customHeight="1">
      <x:c r="A634" s="30" t="str">
        <x:v>SC08</x:v>
      </x:c>
      <x:c r="B634" s="30" t="str">
        <x:v>滑坡/泥石流/地面塌陷受灾区</x:v>
      </x:c>
      <x:c r="C634" s="30" t="str">
        <x:v>T038</x:v>
      </x:c>
      <x:c r="D634" s="30" t="str">
        <x:v>货物取用与挂载</x:v>
      </x:c>
      <x:c r="E634" s="30" t="str">
        <x:v>可候选；Agent决定是否创建/执行</x:v>
      </x:c>
      <x:c r="F634" s="30" t="str">
        <x:v>基线：依实际装配启用</x:v>
      </x:c>
    </x:row>
    <x:row r="635" ht="40" customHeight="1">
      <x:c r="A635" s="30" t="str">
        <x:v>SC08</x:v>
      </x:c>
      <x:c r="B635" s="30" t="str">
        <x:v>滑坡/泥石流/地面塌陷受灾区</x:v>
      </x:c>
      <x:c r="C635" s="30" t="str">
        <x:v>T039</x:v>
      </x:c>
      <x:c r="D635" s="30" t="str">
        <x:v>无人机精确物资投送</x:v>
      </x:c>
      <x:c r="E635" s="30" t="str">
        <x:v>可候选；Agent决定是否创建/执行</x:v>
      </x:c>
      <x:c r="F635" s="30" t="str">
        <x:v>基线：依实际装配启用</x:v>
      </x:c>
    </x:row>
    <x:row r="636" ht="40" customHeight="1">
      <x:c r="A636" s="30" t="str">
        <x:v>SC08</x:v>
      </x:c>
      <x:c r="B636" s="30" t="str">
        <x:v>滑坡/泥石流/地面塌陷受灾区</x:v>
      </x:c>
      <x:c r="C636" s="30" t="str">
        <x:v>T040</x:v>
      </x:c>
      <x:c r="D636" s="30" t="str">
        <x:v>地面物资送达与卸放</x:v>
      </x:c>
      <x:c r="E636" s="30" t="str">
        <x:v>可候选；Agent决定是否创建/执行</x:v>
      </x:c>
      <x:c r="F636" s="30" t="str">
        <x:v>基线：依实际装配启用</x:v>
      </x:c>
    </x:row>
    <x:row r="637" ht="40" customHeight="1">
      <x:c r="A637" s="30" t="str">
        <x:v>SC08</x:v>
      </x:c>
      <x:c r="B637" s="30" t="str">
        <x:v>滑坡/泥石流/地面塌陷受灾区</x:v>
      </x:c>
      <x:c r="C637" s="30" t="str">
        <x:v>T041</x:v>
      </x:c>
      <x:c r="D637" s="30" t="str">
        <x:v>交付复核与收货报告</x:v>
      </x:c>
      <x:c r="E637" s="30" t="str">
        <x:v>可候选；Agent决定是否创建/执行</x:v>
      </x:c>
      <x:c r="F637" s="30" t="str">
        <x:v>基线：依实际装配启用</x:v>
      </x:c>
    </x:row>
    <x:row r="638" ht="40" customHeight="1">
      <x:c r="A638" s="30" t="str">
        <x:v>SC08</x:v>
      </x:c>
      <x:c r="B638" s="30" t="str">
        <x:v>滑坡/泥石流/地面塌陷受灾区</x:v>
      </x:c>
      <x:c r="C638" s="30" t="str">
        <x:v>T042</x:v>
      </x:c>
      <x:c r="D638" s="30" t="str">
        <x:v>物资/器材补给</x:v>
      </x:c>
      <x:c r="E638" s="30" t="str">
        <x:v>可候选；Agent决定是否创建/执行</x:v>
      </x:c>
      <x:c r="F638" s="30" t="str">
        <x:v>基线：依实际装配启用</x:v>
      </x:c>
    </x:row>
    <x:row r="639" ht="40" customHeight="1">
      <x:c r="A639" s="30" t="str">
        <x:v>SC08</x:v>
      </x:c>
      <x:c r="B639" s="30" t="str">
        <x:v>滑坡/泥石流/地面塌陷受灾区</x:v>
      </x:c>
      <x:c r="C639" s="30" t="str">
        <x:v>T043</x:v>
      </x:c>
      <x:c r="D639" s="30" t="str">
        <x:v>平台充电</x:v>
      </x:c>
      <x:c r="E639" s="30" t="str">
        <x:v>可候选；Agent决定是否创建/执行</x:v>
      </x:c>
      <x:c r="F639" s="30" t="str">
        <x:v>基线：依实际装配启用</x:v>
      </x:c>
    </x:row>
    <x:row r="640" ht="40" customHeight="1">
      <x:c r="A640" s="30" t="str">
        <x:v>SC08</x:v>
      </x:c>
      <x:c r="B640" s="30" t="str">
        <x:v>滑坡/泥石流/地面塌陷受灾区</x:v>
      </x:c>
      <x:c r="C640" s="30" t="str">
        <x:v>T044</x:v>
      </x:c>
      <x:c r="D640" s="30" t="str">
        <x:v>平台换电</x:v>
      </x:c>
      <x:c r="E640" s="30" t="str">
        <x:v>可候选；Agent决定是否创建/执行</x:v>
      </x:c>
      <x:c r="F640" s="30" t="str">
        <x:v>基线：依实际装配启用</x:v>
      </x:c>
    </x:row>
    <x:row r="641" ht="40" customHeight="1">
      <x:c r="A641" s="30" t="str">
        <x:v>SC08</x:v>
      </x:c>
      <x:c r="B641" s="30" t="str">
        <x:v>滑坡/泥石流/地面塌陷受灾区</x:v>
      </x:c>
      <x:c r="C641" s="30" t="str">
        <x:v>T045</x:v>
      </x:c>
      <x:c r="D641" s="30" t="str">
        <x:v>返航/返站与安全撤离</x:v>
      </x:c>
      <x:c r="E641" s="30" t="str">
        <x:v>可候选；Agent决定是否创建/执行</x:v>
      </x:c>
      <x:c r="F641" s="30" t="str">
        <x:v>基线：依实际装配启用</x:v>
      </x:c>
    </x:row>
    <x:row r="642" ht="40" customHeight="1">
      <x:c r="A642" s="30" t="str">
        <x:v>SC08</x:v>
      </x:c>
      <x:c r="B642" s="30" t="str">
        <x:v>滑坡/泥石流/地面塌陷受灾区</x:v>
      </x:c>
      <x:c r="C642" s="30" t="str">
        <x:v>T046</x:v>
      </x:c>
      <x:c r="D642" s="30" t="str">
        <x:v>失效平台回收</x:v>
      </x:c>
      <x:c r="E642" s="30" t="str">
        <x:v>可候选；Agent决定是否创建/执行</x:v>
      </x:c>
      <x:c r="F642" s="30" t="str">
        <x:v>条件扩展：明确设备/专业服务后启用</x:v>
      </x:c>
    </x:row>
    <x:row r="643" ht="40" customHeight="1">
      <x:c r="A643" s="30" t="str">
        <x:v>SC08</x:v>
      </x:c>
      <x:c r="B643" s="30" t="str">
        <x:v>滑坡/泥石流/地面塌陷受灾区</x:v>
      </x:c>
      <x:c r="C643" s="30" t="str">
        <x:v>T047</x:v>
      </x:c>
      <x:c r="D643" s="30" t="str">
        <x:v>链路探测与质量估计</x:v>
      </x:c>
      <x:c r="E643" s="30" t="str">
        <x:v>可候选；Agent决定是否创建/执行</x:v>
      </x:c>
      <x:c r="F643" s="30" t="str">
        <x:v>基线：依实际装配启用</x:v>
      </x:c>
    </x:row>
    <x:row r="644" ht="40" customHeight="1">
      <x:c r="A644" s="30" t="str">
        <x:v>SC08</x:v>
      </x:c>
      <x:c r="B644" s="30" t="str">
        <x:v>滑坡/泥石流/地面塌陷受灾区</x:v>
      </x:c>
      <x:c r="C644" s="30" t="str">
        <x:v>T048</x:v>
      </x:c>
      <x:c r="D644" s="30" t="str">
        <x:v>通信会合与重定位</x:v>
      </x:c>
      <x:c r="E644" s="30" t="str">
        <x:v>可候选；Agent决定是否创建/执行</x:v>
      </x:c>
      <x:c r="F644" s="30" t="str">
        <x:v>基线：依实际装配启用</x:v>
      </x:c>
    </x:row>
    <x:row r="645" ht="40" customHeight="1">
      <x:c r="A645" s="30" t="str">
        <x:v>SC08</x:v>
      </x:c>
      <x:c r="B645" s="30" t="str">
        <x:v>滑坡/泥石流/地面塌陷受灾区</x:v>
      </x:c>
      <x:c r="C645" s="30" t="str">
        <x:v>T049</x:v>
      </x:c>
      <x:c r="D645" s="30" t="str">
        <x:v>空中中继保持</x:v>
      </x:c>
      <x:c r="E645" s="30" t="str">
        <x:v>可候选；Agent决定是否创建/执行</x:v>
      </x:c>
      <x:c r="F645" s="30" t="str">
        <x:v>基线：依实际装配启用</x:v>
      </x:c>
    </x:row>
    <x:row r="646" ht="40" customHeight="1">
      <x:c r="A646" s="30" t="str">
        <x:v>SC08</x:v>
      </x:c>
      <x:c r="B646" s="30" t="str">
        <x:v>滑坡/泥石流/地面塌陷受灾区</x:v>
      </x:c>
      <x:c r="C646" s="30" t="str">
        <x:v>T050</x:v>
      </x:c>
      <x:c r="D646" s="30" t="str">
        <x:v>通信节点布放</x:v>
      </x:c>
      <x:c r="E646" s="30" t="str">
        <x:v>可候选；Agent决定是否创建/执行</x:v>
      </x:c>
      <x:c r="F646" s="30" t="str">
        <x:v>条件扩展：明确设备/专业服务后启用</x:v>
      </x:c>
    </x:row>
    <x:row r="647" ht="40" customHeight="1">
      <x:c r="A647" s="30" t="str">
        <x:v>SC08</x:v>
      </x:c>
      <x:c r="B647" s="30" t="str">
        <x:v>滑坡/泥石流/地面塌陷受灾区</x:v>
      </x:c>
      <x:c r="C647" s="30" t="str">
        <x:v>T051</x:v>
      </x:c>
      <x:c r="D647" s="30" t="str">
        <x:v>多跳业务转发</x:v>
      </x:c>
      <x:c r="E647" s="30" t="str">
        <x:v>可候选；Agent决定是否创建/执行</x:v>
      </x:c>
      <x:c r="F647" s="30" t="str">
        <x:v>基线：依实际装配启用</x:v>
      </x:c>
    </x:row>
    <x:row r="648" ht="40" customHeight="1">
      <x:c r="A648" s="30" t="str">
        <x:v>SC08</x:v>
      </x:c>
      <x:c r="B648" s="30" t="str">
        <x:v>滑坡/泥石流/地面塌陷受灾区</x:v>
      </x:c>
      <x:c r="C648" s="30" t="str">
        <x:v>T052</x:v>
      </x:c>
      <x:c r="D648" s="30" t="str">
        <x:v>图像/证据数据上传</x:v>
      </x:c>
      <x:c r="E648" s="30" t="str">
        <x:v>可候选；Agent决定是否创建/执行</x:v>
      </x:c>
      <x:c r="F648" s="30" t="str">
        <x:v>基线：依实际装配启用</x:v>
      </x:c>
    </x:row>
    <x:row r="649" ht="40" customHeight="1">
      <x:c r="A649" s="30" t="str">
        <x:v>SC08</x:v>
      </x:c>
      <x:c r="B649" s="30" t="str">
        <x:v>滑坡/泥石流/地面塌陷受灾区</x:v>
      </x:c>
      <x:c r="C649" s="30" t="str">
        <x:v>T053</x:v>
      </x:c>
      <x:c r="D649" s="30" t="str">
        <x:v>可靠回执与超时重传</x:v>
      </x:c>
      <x:c r="E649" s="30" t="str">
        <x:v>可候选；Agent决定是否创建/执行</x:v>
      </x:c>
      <x:c r="F649" s="30" t="str">
        <x:v>基线：依实际装配启用</x:v>
      </x:c>
    </x:row>
    <x:row r="650" ht="40" customHeight="1">
      <x:c r="A650" s="30" t="str">
        <x:v>SC08</x:v>
      </x:c>
      <x:c r="B650" s="30" t="str">
        <x:v>滑坡/泥石流/地面塌陷受灾区</x:v>
      </x:c>
      <x:c r="C650" s="30" t="str">
        <x:v>T054</x:v>
      </x:c>
      <x:c r="D650" s="30" t="str">
        <x:v>断联存储-携带-转发</x:v>
      </x:c>
      <x:c r="E650" s="30" t="str">
        <x:v>可候选；Agent决定是否创建/执行</x:v>
      </x:c>
      <x:c r="F650" s="30" t="str">
        <x:v>基线：依实际装配启用</x:v>
      </x:c>
    </x:row>
    <x:row r="651" ht="40" customHeight="1">
      <x:c r="A651" s="30" t="str">
        <x:v>SC08</x:v>
      </x:c>
      <x:c r="B651" s="30" t="str">
        <x:v>滑坡/泥石流/地面塌陷受灾区</x:v>
      </x:c>
      <x:c r="C651" s="30" t="str">
        <x:v>T055</x:v>
      </x:c>
      <x:c r="D651" s="30" t="str">
        <x:v>信道/功率/传输优先级调整</x:v>
      </x:c>
      <x:c r="E651" s="30" t="str">
        <x:v>可候选；Agent决定是否创建/执行</x:v>
      </x:c>
      <x:c r="F651" s="30" t="str">
        <x:v>基线：依实际装配启用</x:v>
      </x:c>
    </x:row>
    <x:row r="652" ht="40" customHeight="1">
      <x:c r="A652" s="30" t="str">
        <x:v>SC08</x:v>
      </x:c>
      <x:c r="B652" s="30" t="str">
        <x:v>滑坡/泥石流/地面塌陷受灾区</x:v>
      </x:c>
      <x:c r="C652" s="30" t="str">
        <x:v>T056</x:v>
      </x:c>
      <x:c r="D652" s="30" t="str">
        <x:v>失联后的连接恢复</x:v>
      </x:c>
      <x:c r="E652" s="30" t="str">
        <x:v>可候选；Agent决定是否创建/执行</x:v>
      </x:c>
      <x:c r="F652" s="30" t="str">
        <x:v>基线：依实际装配启用</x:v>
      </x:c>
    </x:row>
    <x:row r="653" ht="40" customHeight="1">
      <x:c r="A653" s="30" t="str">
        <x:v>SC08</x:v>
      </x:c>
      <x:c r="B653" s="30" t="str">
        <x:v>滑坡/泥石流/地面塌陷受灾区</x:v>
      </x:c>
      <x:c r="C653" s="30" t="str">
        <x:v>T057</x:v>
      </x:c>
      <x:c r="D653" s="30" t="str">
        <x:v>计算与模型服务发现</x:v>
      </x:c>
      <x:c r="E653" s="30" t="str">
        <x:v>可候选；Agent决定是否创建/执行</x:v>
      </x:c>
      <x:c r="F653" s="30" t="str">
        <x:v>基线：依实际装配启用</x:v>
      </x:c>
    </x:row>
    <x:row r="654" ht="40" customHeight="1">
      <x:c r="A654" s="30" t="str">
        <x:v>SC08</x:v>
      </x:c>
      <x:c r="B654" s="30" t="str">
        <x:v>滑坡/泥石流/地面塌陷受灾区</x:v>
      </x:c>
      <x:c r="C654" s="30" t="str">
        <x:v>T058</x:v>
      </x:c>
      <x:c r="D654" s="30" t="str">
        <x:v>本地视觉检测</x:v>
      </x:c>
      <x:c r="E654" s="30" t="str">
        <x:v>可候选；Agent决定是否创建/执行</x:v>
      </x:c>
      <x:c r="F654" s="30" t="str">
        <x:v>基线：依实际装配启用</x:v>
      </x:c>
    </x:row>
    <x:row r="655" ht="40" customHeight="1">
      <x:c r="A655" s="30" t="str">
        <x:v>SC08</x:v>
      </x:c>
      <x:c r="B655" s="30" t="str">
        <x:v>滑坡/泥石流/地面塌陷受灾区</x:v>
      </x:c>
      <x:c r="C655" s="30" t="str">
        <x:v>T059</x:v>
      </x:c>
      <x:c r="D655" s="30" t="str">
        <x:v>本地语义/任务推理</x:v>
      </x:c>
      <x:c r="E655" s="30" t="str">
        <x:v>可候选；Agent决定是否创建/执行</x:v>
      </x:c>
      <x:c r="F655" s="30" t="str">
        <x:v>基线：依实际装配启用</x:v>
      </x:c>
    </x:row>
    <x:row r="656" ht="40" customHeight="1">
      <x:c r="A656" s="30" t="str">
        <x:v>SC08</x:v>
      </x:c>
      <x:c r="B656" s="30" t="str">
        <x:v>滑坡/泥石流/地面塌陷受灾区</x:v>
      </x:c>
      <x:c r="C656" s="30" t="str">
        <x:v>T060</x:v>
      </x:c>
      <x:c r="D656" s="30" t="str">
        <x:v>远程视觉复核/推理卸载</x:v>
      </x:c>
      <x:c r="E656" s="30" t="str">
        <x:v>可候选；Agent决定是否创建/执行</x:v>
      </x:c>
      <x:c r="F656" s="30" t="str">
        <x:v>基线：依实际装配启用</x:v>
      </x:c>
    </x:row>
    <x:row r="657" ht="40" customHeight="1">
      <x:c r="A657" s="30" t="str">
        <x:v>SC08</x:v>
      </x:c>
      <x:c r="B657" s="30" t="str">
        <x:v>滑坡/泥石流/地面塌陷受灾区</x:v>
      </x:c>
      <x:c r="C657" s="30" t="str">
        <x:v>T061</x:v>
      </x:c>
      <x:c r="D657" s="30" t="str">
        <x:v>执行节点与模型选择</x:v>
      </x:c>
      <x:c r="E657" s="30" t="str">
        <x:v>可候选；Agent决定是否创建/执行</x:v>
      </x:c>
      <x:c r="F657" s="30" t="str">
        <x:v>基线：依实际装配启用</x:v>
      </x:c>
    </x:row>
    <x:row r="658" ht="40" customHeight="1">
      <x:c r="A658" s="30" t="str">
        <x:v>SC08</x:v>
      </x:c>
      <x:c r="B658" s="30" t="str">
        <x:v>滑坡/泥石流/地面塌陷受灾区</x:v>
      </x:c>
      <x:c r="C658" s="30" t="str">
        <x:v>T062</x:v>
      </x:c>
      <x:c r="D658" s="30" t="str">
        <x:v>计算作业准入与排队</x:v>
      </x:c>
      <x:c r="E658" s="30" t="str">
        <x:v>可候选；Agent决定是否创建/执行</x:v>
      </x:c>
      <x:c r="F658" s="30" t="str">
        <x:v>基线：依实际装配启用</x:v>
      </x:c>
    </x:row>
    <x:row r="659" ht="40" customHeight="1">
      <x:c r="A659" s="30" t="str">
        <x:v>SC08</x:v>
      </x:c>
      <x:c r="B659" s="30" t="str">
        <x:v>滑坡/泥石流/地面塌陷受灾区</x:v>
      </x:c>
      <x:c r="C659" s="30" t="str">
        <x:v>T063</x:v>
      </x:c>
      <x:c r="D659" s="30" t="str">
        <x:v>模型服务加载/卸载</x:v>
      </x:c>
      <x:c r="E659" s="30" t="str">
        <x:v>可候选；Agent决定是否创建/执行</x:v>
      </x:c>
      <x:c r="F659" s="30" t="str">
        <x:v>基线：依实际装配启用</x:v>
      </x:c>
    </x:row>
    <x:row r="660" ht="40" customHeight="1">
      <x:c r="A660" s="30" t="str">
        <x:v>SC08</x:v>
      </x:c>
      <x:c r="B660" s="30" t="str">
        <x:v>滑坡/泥石流/地面塌陷受灾区</x:v>
      </x:c>
      <x:c r="C660" s="30" t="str">
        <x:v>T064</x:v>
      </x:c>
      <x:c r="D660" s="30" t="str">
        <x:v>上下文/表示缓存复用</x:v>
      </x:c>
      <x:c r="E660" s="30" t="str">
        <x:v>可候选；Agent决定是否创建/执行</x:v>
      </x:c>
      <x:c r="F660" s="30" t="str">
        <x:v>基线：依实际装配启用</x:v>
      </x:c>
    </x:row>
    <x:row r="661" ht="40" customHeight="1">
      <x:c r="A661" s="30" t="str">
        <x:v>SC08</x:v>
      </x:c>
      <x:c r="B661" s="30" t="str">
        <x:v>滑坡/泥石流/地面塌陷受灾区</x:v>
      </x:c>
      <x:c r="C661" s="30" t="str">
        <x:v>T065</x:v>
      </x:c>
      <x:c r="D661" s="30" t="str">
        <x:v>服务/作业迁移与恢复</x:v>
      </x:c>
      <x:c r="E661" s="30" t="str">
        <x:v>可候选；Agent决定是否创建/执行</x:v>
      </x:c>
      <x:c r="F661" s="30" t="str">
        <x:v>条件扩展：明确设备/专业服务后启用</x:v>
      </x:c>
    </x:row>
    <x:row r="662" ht="40" customHeight="1">
      <x:c r="A662" s="30" t="str">
        <x:v>SC08</x:v>
      </x:c>
      <x:c r="B662" s="30" t="str">
        <x:v>滑坡/泥石流/地面塌陷受灾区</x:v>
      </x:c>
      <x:c r="C662" s="30" t="str">
        <x:v>T066</x:v>
      </x:c>
      <x:c r="D662" s="30" t="str">
        <x:v>预算耗尽/失败作业取消重试</x:v>
      </x:c>
      <x:c r="E662" s="30" t="str">
        <x:v>可候选；Agent决定是否创建/执行</x:v>
      </x:c>
      <x:c r="F662" s="30" t="str">
        <x:v>基线：依实际装配启用</x:v>
      </x:c>
    </x:row>
    <x:row r="663" ht="40" customHeight="1">
      <x:c r="A663" s="30" t="str">
        <x:v>SC08</x:v>
      </x:c>
      <x:c r="B663" s="30" t="str">
        <x:v>滑坡/泥石流/地面塌陷受灾区</x:v>
      </x:c>
      <x:c r="C663" s="30" t="str">
        <x:v>T067</x:v>
      </x:c>
      <x:c r="D663" s="30" t="str">
        <x:v>批处理/多源联合推理</x:v>
      </x:c>
      <x:c r="E663" s="30" t="str">
        <x:v>可候选；Agent决定是否创建/执行</x:v>
      </x:c>
      <x:c r="F663" s="30" t="str">
        <x:v>基线：依实际装配启用</x:v>
      </x:c>
    </x:row>
    <x:row r="664" ht="40" customHeight="1">
      <x:c r="A664" s="30" t="str">
        <x:v>SC08</x:v>
      </x:c>
      <x:c r="B664" s="30" t="str">
        <x:v>滑坡/泥石流/地面塌陷受灾区</x:v>
      </x:c>
      <x:c r="C664" s="30" t="str">
        <x:v>T068</x:v>
      </x:c>
      <x:c r="D664" s="30" t="str">
        <x:v>计算资源释放与缓存清理</x:v>
      </x:c>
      <x:c r="E664" s="30" t="str">
        <x:v>可候选；Agent决定是否创建/执行</x:v>
      </x:c>
      <x:c r="F664" s="30" t="str">
        <x:v>基线：依实际装配启用</x:v>
      </x:c>
    </x:row>
    <x:row r="665" ht="40" customHeight="1">
      <x:c r="A665" s="30" t="str">
        <x:v>SC08</x:v>
      </x:c>
      <x:c r="B665" s="30" t="str">
        <x:v>滑坡/泥石流/地面塌陷受灾区</x:v>
      </x:c>
      <x:c r="C665" s="30" t="str">
        <x:v>T069</x:v>
      </x:c>
      <x:c r="D665" s="30" t="str">
        <x:v>跨源时间坐标对齐</x:v>
      </x:c>
      <x:c r="E665" s="30" t="str">
        <x:v>可候选；Agent决定是否创建/执行</x:v>
      </x:c>
      <x:c r="F665" s="30" t="str">
        <x:v>基线：依实际装配启用</x:v>
      </x:c>
    </x:row>
    <x:row r="666" ht="40" customHeight="1">
      <x:c r="A666" s="30" t="str">
        <x:v>SC08</x:v>
      </x:c>
      <x:c r="B666" s="30" t="str">
        <x:v>滑坡/泥石流/地面塌陷受灾区</x:v>
      </x:c>
      <x:c r="C666" s="30" t="str">
        <x:v>T070</x:v>
      </x:c>
      <x:c r="D666" s="30" t="str">
        <x:v>任务条件化本地历史检索</x:v>
      </x:c>
      <x:c r="E666" s="30" t="str">
        <x:v>可候选；Agent决定是否创建/执行</x:v>
      </x:c>
      <x:c r="F666" s="30" t="str">
        <x:v>基线：依实际装配启用</x:v>
      </x:c>
    </x:row>
    <x:row r="667" ht="40" customHeight="1">
      <x:c r="A667" s="30" t="str">
        <x:v>SC08</x:v>
      </x:c>
      <x:c r="B667" s="30" t="str">
        <x:v>滑坡/泥石流/地面塌陷受灾区</x:v>
      </x:c>
      <x:c r="C667" s="30" t="str">
        <x:v>T071</x:v>
      </x:c>
      <x:c r="D667" s="30" t="str">
        <x:v>图像裁剪/编码/证据打包</x:v>
      </x:c>
      <x:c r="E667" s="30" t="str">
        <x:v>可候选；Agent决定是否创建/执行</x:v>
      </x:c>
      <x:c r="F667" s="30" t="str">
        <x:v>基线：依实际装配启用</x:v>
      </x:c>
    </x:row>
    <x:row r="668" ht="40" customHeight="1">
      <x:c r="A668" s="30" t="str">
        <x:v>SC08</x:v>
      </x:c>
      <x:c r="B668" s="30" t="str">
        <x:v>滑坡/泥石流/地面塌陷受灾区</x:v>
      </x:c>
      <x:c r="C668" s="30" t="str">
        <x:v>T072</x:v>
      </x:c>
      <x:c r="D668" s="30" t="str">
        <x:v>置信度与证据充分性判断</x:v>
      </x:c>
      <x:c r="E668" s="30" t="str">
        <x:v>可候选；Agent决定是否创建/执行</x:v>
      </x:c>
      <x:c r="F668" s="30" t="str">
        <x:v>基线：依实际装配启用</x:v>
      </x:c>
    </x:row>
    <x:row r="669" ht="40" customHeight="1">
      <x:c r="A669" s="30" t="str">
        <x:v>SC08</x:v>
      </x:c>
      <x:c r="B669" s="30" t="str">
        <x:v>滑坡/泥石流/地面塌陷受灾区</x:v>
      </x:c>
      <x:c r="C669" s="30" t="str">
        <x:v>T073</x:v>
      </x:c>
      <x:c r="D669" s="30" t="str">
        <x:v>多源融合与冲突更正</x:v>
      </x:c>
      <x:c r="E669" s="30" t="str">
        <x:v>可候选；Agent决定是否创建/执行</x:v>
      </x:c>
      <x:c r="F669" s="30" t="str">
        <x:v>基线：依实际装配启用</x:v>
      </x:c>
    </x:row>
    <x:row r="670" ht="40" customHeight="1">
      <x:c r="A670" s="30" t="str">
        <x:v>SC08</x:v>
      </x:c>
      <x:c r="B670" s="30" t="str">
        <x:v>滑坡/泥石流/地面塌陷受灾区</x:v>
      </x:c>
      <x:c r="C670" s="30" t="str">
        <x:v>T074</x:v>
      </x:c>
      <x:c r="D670" s="30" t="str">
        <x:v>面向任务的信息选择与共享</x:v>
      </x:c>
      <x:c r="E670" s="30" t="str">
        <x:v>可候选；Agent决定是否创建/执行</x:v>
      </x:c>
      <x:c r="F670" s="30" t="str">
        <x:v>基线：依实际装配启用</x:v>
      </x:c>
    </x:row>
    <x:row r="671" ht="40" customHeight="1">
      <x:c r="A671" s="30" t="str">
        <x:v>SC08</x:v>
      </x:c>
      <x:c r="B671" s="30" t="str">
        <x:v>滑坡/泥石流/地面塌陷受灾区</x:v>
      </x:c>
      <x:c r="C671" s="30" t="str">
        <x:v>T075</x:v>
      </x:c>
      <x:c r="D671" s="30" t="str">
        <x:v>局部信念与过时信息维护</x:v>
      </x:c>
      <x:c r="E671" s="30" t="str">
        <x:v>可候选；Agent决定是否创建/执行</x:v>
      </x:c>
      <x:c r="F671" s="30" t="str">
        <x:v>基线：依实际装配启用</x:v>
      </x:c>
    </x:row>
    <x:row r="672" ht="40" customHeight="1">
      <x:c r="A672" s="30" t="str">
        <x:v>SC08</x:v>
      </x:c>
      <x:c r="B672" s="30" t="str">
        <x:v>滑坡/泥石流/地面塌陷受灾区</x:v>
      </x:c>
      <x:c r="C672" s="30" t="str">
        <x:v>T076</x:v>
      </x:c>
      <x:c r="D672" s="30" t="str">
        <x:v>轨迹/证据归档与回放</x:v>
      </x:c>
      <x:c r="E672" s="30" t="str">
        <x:v>可候选；Agent决定是否创建/执行</x:v>
      </x:c>
      <x:c r="F672" s="30" t="str">
        <x:v>基线：依实际装配启用</x:v>
      </x:c>
    </x:row>
    <x:row r="673" ht="40" customHeight="1">
      <x:c r="A673" s="30" t="str">
        <x:v>SC08</x:v>
      </x:c>
      <x:c r="B673" s="30" t="str">
        <x:v>滑坡/泥石流/地面塌陷受灾区</x:v>
      </x:c>
      <x:c r="C673" s="30" t="str">
        <x:v>T077</x:v>
      </x:c>
      <x:c r="D673" s="30" t="str">
        <x:v>接收并解释当前使命</x:v>
      </x:c>
      <x:c r="E673" s="30" t="str">
        <x:v>可候选；Agent决定是否创建/执行</x:v>
      </x:c>
      <x:c r="F673" s="30" t="str">
        <x:v>基线：依实际装配启用</x:v>
      </x:c>
    </x:row>
    <x:row r="674" ht="40" customHeight="1">
      <x:c r="A674" s="30" t="str">
        <x:v>SC08</x:v>
      </x:c>
      <x:c r="B674" s="30" t="str">
        <x:v>滑坡/泥石流/地面塌陷受灾区</x:v>
      </x:c>
      <x:c r="C674" s="30" t="str">
        <x:v>T078</x:v>
      </x:c>
      <x:c r="D674" s="30" t="str">
        <x:v>自主任务分解与候选生成</x:v>
      </x:c>
      <x:c r="E674" s="30" t="str">
        <x:v>可候选；Agent决定是否创建/执行</x:v>
      </x:c>
      <x:c r="F674" s="30" t="str">
        <x:v>基线：依实际装配启用</x:v>
      </x:c>
    </x:row>
    <x:row r="675" ht="40" customHeight="1">
      <x:c r="A675" s="30" t="str">
        <x:v>SC08</x:v>
      </x:c>
      <x:c r="B675" s="30" t="str">
        <x:v>滑坡/泥石流/地面塌陷受灾区</x:v>
      </x:c>
      <x:c r="C675" s="30" t="str">
        <x:v>T079</x:v>
      </x:c>
      <x:c r="D675" s="30" t="str">
        <x:v>本机参与筛选与出价</x:v>
      </x:c>
      <x:c r="E675" s="30" t="str">
        <x:v>可候选；Agent决定是否创建/执行</x:v>
      </x:c>
      <x:c r="F675" s="30" t="str">
        <x:v>基线：依实际装配启用</x:v>
      </x:c>
    </x:row>
    <x:row r="676" ht="40" customHeight="1">
      <x:c r="A676" s="30" t="str">
        <x:v>SC08</x:v>
      </x:c>
      <x:c r="B676" s="30" t="str">
        <x:v>滑坡/泥石流/地面塌陷受灾区</x:v>
      </x:c>
      <x:c r="C676" s="30" t="str">
        <x:v>T080</x:v>
      </x:c>
      <x:c r="D676" s="30" t="str">
        <x:v>多平台任务分配与协调</x:v>
      </x:c>
      <x:c r="E676" s="30" t="str">
        <x:v>可候选；Agent决定是否创建/执行</x:v>
      </x:c>
      <x:c r="F676" s="30" t="str">
        <x:v>基线：依实际装配启用</x:v>
      </x:c>
    </x:row>
    <x:row r="677" ht="40" customHeight="1">
      <x:c r="A677" s="30" t="str">
        <x:v>SC08</x:v>
      </x:c>
      <x:c r="B677" s="30" t="str">
        <x:v>滑坡/泥石流/地面塌陷受灾区</x:v>
      </x:c>
      <x:c r="C677" s="30" t="str">
        <x:v>T081</x:v>
      </x:c>
      <x:c r="D677" s="30" t="str">
        <x:v>任务接受/拒绝与承诺</x:v>
      </x:c>
      <x:c r="E677" s="30" t="str">
        <x:v>可候选；Agent决定是否创建/执行</x:v>
      </x:c>
      <x:c r="F677" s="30" t="str">
        <x:v>基线：依实际装配启用</x:v>
      </x:c>
    </x:row>
    <x:row r="678" ht="40" customHeight="1">
      <x:c r="A678" s="30" t="str">
        <x:v>SC08</x:v>
      </x:c>
      <x:c r="B678" s="30" t="str">
        <x:v>滑坡/泥石流/地面塌陷受灾区</x:v>
      </x:c>
      <x:c r="C678" s="30" t="str">
        <x:v>T082</x:v>
      </x:c>
      <x:c r="D678" s="30" t="str">
        <x:v>进度监控与完成确认</x:v>
      </x:c>
      <x:c r="E678" s="30" t="str">
        <x:v>可候选；Agent决定是否创建/执行</x:v>
      </x:c>
      <x:c r="F678" s="30" t="str">
        <x:v>基线：依实际装配启用</x:v>
      </x:c>
    </x:row>
    <x:row r="679" ht="40" customHeight="1">
      <x:c r="A679" s="30" t="str">
        <x:v>SC08</x:v>
      </x:c>
      <x:c r="B679" s="30" t="str">
        <x:v>滑坡/泥石流/地面塌陷受灾区</x:v>
      </x:c>
      <x:c r="C679" s="30" t="str">
        <x:v>T083</x:v>
      </x:c>
      <x:c r="D679" s="30" t="str">
        <x:v>任务取消/抢占</x:v>
      </x:c>
      <x:c r="E679" s="30" t="str">
        <x:v>可候选；Agent决定是否创建/执行</x:v>
      </x:c>
      <x:c r="F679" s="30" t="str">
        <x:v>基线：依实际装配启用</x:v>
      </x:c>
    </x:row>
    <x:row r="680" ht="40" customHeight="1">
      <x:c r="A680" s="30" t="str">
        <x:v>SC08</x:v>
      </x:c>
      <x:c r="B680" s="30" t="str">
        <x:v>滑坡/泥石流/地面塌陷受灾区</x:v>
      </x:c>
      <x:c r="C680" s="30" t="str">
        <x:v>T084</x:v>
      </x:c>
      <x:c r="D680" s="30" t="str">
        <x:v>恢复原任务</x:v>
      </x:c>
      <x:c r="E680" s="30" t="str">
        <x:v>可候选；Agent决定是否创建/执行</x:v>
      </x:c>
      <x:c r="F680" s="30" t="str">
        <x:v>基线：依实际装配启用</x:v>
      </x:c>
    </x:row>
    <x:row r="681" ht="40" customHeight="1">
      <x:c r="A681" s="30" t="str">
        <x:v>SC08</x:v>
      </x:c>
      <x:c r="B681" s="30" t="str">
        <x:v>滑坡/泥石流/地面塌陷受灾区</x:v>
      </x:c>
      <x:c r="C681" s="30" t="str">
        <x:v>T085</x:v>
      </x:c>
      <x:c r="D681" s="30" t="str">
        <x:v>跨Agent任务与证据交接</x:v>
      </x:c>
      <x:c r="E681" s="30" t="str">
        <x:v>可候选；Agent决定是否创建/执行</x:v>
      </x:c>
      <x:c r="F681" s="30" t="str">
        <x:v>基线：依实际装配启用</x:v>
      </x:c>
    </x:row>
    <x:row r="682" ht="40" customHeight="1">
      <x:c r="A682" s="30" t="str">
        <x:v>SC08</x:v>
      </x:c>
      <x:c r="B682" s="30" t="str">
        <x:v>滑坡/泥石流/地面塌陷受灾区</x:v>
      </x:c>
      <x:c r="C682" s="30" t="str">
        <x:v>T086</x:v>
      </x:c>
      <x:c r="D682" s="30" t="str">
        <x:v>失败重规划与重派</x:v>
      </x:c>
      <x:c r="E682" s="30" t="str">
        <x:v>可候选；Agent决定是否创建/执行</x:v>
      </x:c>
      <x:c r="F682" s="30" t="str">
        <x:v>基线：依实际装配启用</x:v>
      </x:c>
    </x:row>
    <x:row r="683" ht="40" customHeight="1">
      <x:c r="A683" s="30" t="str">
        <x:v>SC08</x:v>
      </x:c>
      <x:c r="B683" s="30" t="str">
        <x:v>滑坡/泥石流/地面塌陷受灾区</x:v>
      </x:c>
      <x:c r="C683" s="30" t="str">
        <x:v>T087</x:v>
      </x:c>
      <x:c r="D683" s="30" t="str">
        <x:v>请求专业救援/工程力量</x:v>
      </x:c>
      <x:c r="E683" s="30" t="str">
        <x:v>可候选；Agent决定是否创建/执行</x:v>
      </x:c>
      <x:c r="F683" s="30" t="str">
        <x:v>基线：依实际装配启用</x:v>
      </x:c>
    </x:row>
    <x:row r="684" ht="40" customHeight="1">
      <x:c r="A684" s="30" t="str">
        <x:v>SC08</x:v>
      </x:c>
      <x:c r="B684" s="30" t="str">
        <x:v>滑坡/泥石流/地面塌陷受灾区</x:v>
      </x:c>
      <x:c r="C684" s="30" t="str">
        <x:v>T088</x:v>
      </x:c>
      <x:c r="D684" s="30" t="str">
        <x:v>工作现场闭合与阶段移交</x:v>
      </x:c>
      <x:c r="E684" s="30" t="str">
        <x:v>可候选；Agent决定是否创建/执行</x:v>
      </x:c>
      <x:c r="F684" s="30" t="str">
        <x:v>基线：依实际装配启用</x:v>
      </x:c>
    </x:row>
    <x:row r="685" ht="40" customHeight="1">
      <x:c r="A685" s="30" t="str">
        <x:v>SC08</x:v>
      </x:c>
      <x:c r="B685" s="30" t="str">
        <x:v>滑坡/泥石流/地面塌陷受灾区</x:v>
      </x:c>
      <x:c r="C685" s="30" t="str">
        <x:v>T089</x:v>
      </x:c>
      <x:c r="D685" s="30" t="str">
        <x:v>次生危险动态监视</x:v>
      </x:c>
      <x:c r="E685" s="30" t="str">
        <x:v>可候选；Agent决定是否创建/执行</x:v>
      </x:c>
      <x:c r="F685" s="30" t="str">
        <x:v>基线：依实际装配启用</x:v>
      </x:c>
    </x:row>
    <x:row r="686" ht="40" customHeight="1">
      <x:c r="A686" s="30" t="str">
        <x:v>SC08</x:v>
      </x:c>
      <x:c r="B686" s="30" t="str">
        <x:v>滑坡/泥石流/地面塌陷受灾区</x:v>
      </x:c>
      <x:c r="C686" s="30" t="str">
        <x:v>T090</x:v>
      </x:c>
      <x:c r="D686" s="30" t="str">
        <x:v>平台/能源/服务健康监视</x:v>
      </x:c>
      <x:c r="E686" s="30" t="str">
        <x:v>可候选；Agent决定是否创建/执行</x:v>
      </x:c>
      <x:c r="F686" s="30" t="str">
        <x:v>基线：依实际装配启用</x:v>
      </x:c>
    </x:row>
    <x:row r="687" ht="40" customHeight="1">
      <x:c r="A687" s="30" t="str">
        <x:v>SC08</x:v>
      </x:c>
      <x:c r="B687" s="30" t="str">
        <x:v>滑坡/泥石流/地面塌陷受灾区</x:v>
      </x:c>
      <x:c r="C687" s="30" t="str">
        <x:v>T091</x:v>
      </x:c>
      <x:c r="D687" s="30" t="str">
        <x:v>安全等待与驻留观察</x:v>
      </x:c>
      <x:c r="E687" s="30" t="str">
        <x:v>可候选；Agent决定是否创建/执行</x:v>
      </x:c>
      <x:c r="F687" s="30" t="str">
        <x:v>基线：依实际装配启用</x:v>
      </x:c>
    </x:row>
    <x:row r="688" ht="40" customHeight="1">
      <x:c r="A688" s="30" t="str">
        <x:v>SC08</x:v>
      </x:c>
      <x:c r="B688" s="30" t="str">
        <x:v>滑坡/泥石流/地面塌陷受灾区</x:v>
      </x:c>
      <x:c r="C688" s="30" t="str">
        <x:v>T092</x:v>
      </x:c>
      <x:c r="D688" s="30" t="str">
        <x:v>设备/传感器/服务故障诊断</x:v>
      </x:c>
      <x:c r="E688" s="30" t="str">
        <x:v>可候选；Agent决定是否创建/执行</x:v>
      </x:c>
      <x:c r="F688" s="30" t="str">
        <x:v>基线：依实际装配启用</x:v>
      </x:c>
    </x:row>
    <x:row r="689" ht="40" customHeight="1">
      <x:c r="A689" s="30" t="str">
        <x:v>SC08</x:v>
      </x:c>
      <x:c r="B689" s="30" t="str">
        <x:v>滑坡/泥石流/地面塌陷受灾区</x:v>
      </x:c>
      <x:c r="C689" s="30" t="str">
        <x:v>T095</x:v>
      </x:c>
      <x:c r="D689" s="30" t="str">
        <x:v>危险源隔离/警戒区建立</x:v>
      </x:c>
      <x:c r="E689" s="30" t="str">
        <x:v>可候选；Agent决定是否创建/执行</x:v>
      </x:c>
      <x:c r="F689" s="30" t="str">
        <x:v>条件扩展：明确设备/专业服务后启用</x:v>
      </x:c>
    </x:row>
    <x:row r="690" ht="40" customHeight="1">
      <x:c r="A690" s="30" t="str">
        <x:v>SC08</x:v>
      </x:c>
      <x:c r="B690" s="30" t="str">
        <x:v>滑坡/泥石流/地面塌陷受灾区</x:v>
      </x:c>
      <x:c r="C690" s="30" t="str">
        <x:v>T096</x:v>
      </x:c>
      <x:c r="D690" s="30" t="str">
        <x:v>跨模型特征/潜表示适配</x:v>
      </x:c>
      <x:c r="E690" s="30" t="str">
        <x:v>可候选；Agent决定是否创建/执行</x:v>
      </x:c>
      <x:c r="F690" s="30" t="str">
        <x:v>条件扩展：明确设备/专业服务后启用</x:v>
      </x:c>
    </x:row>
    <x:row r="691" ht="40" customHeight="1">
      <x:c r="A691" s="30" t="str">
        <x:v>SC09</x:v>
      </x:c>
      <x:c r="B691" s="30" t="str">
        <x:v>火山灰/喷发后影响区</x:v>
      </x:c>
      <x:c r="C691" s="30" t="str">
        <x:v>T001</x:v>
      </x:c>
      <x:c r="D691" s="30" t="str">
        <x:v>区域快速普查</x:v>
      </x:c>
      <x:c r="E691" s="30" t="str">
        <x:v>可候选；Agent决定是否创建/执行</x:v>
      </x:c>
      <x:c r="F691" s="30" t="str">
        <x:v>基线：依实际装配启用</x:v>
      </x:c>
    </x:row>
    <x:row r="692" ht="40" customHeight="1">
      <x:c r="A692" s="30" t="str">
        <x:v>SC09</x:v>
      </x:c>
      <x:c r="B692" s="30" t="str">
        <x:v>火山灰/喷发后影响区</x:v>
      </x:c>
      <x:c r="C692" s="30" t="str">
        <x:v>T002</x:v>
      </x:c>
      <x:c r="D692" s="30" t="str">
        <x:v>建筑外部损毁评估</x:v>
      </x:c>
      <x:c r="E692" s="30" t="str">
        <x:v>可候选；Agent决定是否创建/执行</x:v>
      </x:c>
      <x:c r="F692" s="30" t="str">
        <x:v>基线：依实际装配启用</x:v>
      </x:c>
    </x:row>
    <x:row r="693" ht="40" customHeight="1">
      <x:c r="A693" s="30" t="str">
        <x:v>SC09</x:v>
      </x:c>
      <x:c r="B693" s="30" t="str">
        <x:v>火山灰/喷发后影响区</x:v>
      </x:c>
      <x:c r="C693" s="30" t="str">
        <x:v>T003</x:v>
      </x:c>
      <x:c r="D693" s="30" t="str">
        <x:v>道路与通路灾后评估</x:v>
      </x:c>
      <x:c r="E693" s="30" t="str">
        <x:v>可候选；Agent决定是否创建/执行</x:v>
      </x:c>
      <x:c r="F693" s="30" t="str">
        <x:v>基线：依实际装配启用</x:v>
      </x:c>
    </x:row>
    <x:row r="694" ht="40" customHeight="1">
      <x:c r="A694" s="30" t="str">
        <x:v>SC09</x:v>
      </x:c>
      <x:c r="B694" s="30" t="str">
        <x:v>火山灰/喷发后影响区</x:v>
      </x:c>
      <x:c r="C694" s="30" t="str">
        <x:v>T004</x:v>
      </x:c>
      <x:c r="D694" s="30" t="str">
        <x:v>入口与屋顶交付区检查</x:v>
      </x:c>
      <x:c r="E694" s="30" t="str">
        <x:v>可候选；Agent决定是否创建/执行</x:v>
      </x:c>
      <x:c r="F694" s="30" t="str">
        <x:v>基线：依实际装配启用</x:v>
      </x:c>
    </x:row>
    <x:row r="695" ht="40" customHeight="1">
      <x:c r="A695" s="30" t="str">
        <x:v>SC09</x:v>
      </x:c>
      <x:c r="B695" s="30" t="str">
        <x:v>火山灰/喷发后影响区</x:v>
      </x:c>
      <x:c r="C695" s="30" t="str">
        <x:v>T006</x:v>
      </x:c>
      <x:c r="D695" s="30" t="str">
        <x:v>火烟与危险源侦察</x:v>
      </x:c>
      <x:c r="E695" s="30" t="str">
        <x:v>可候选；Agent决定是否创建/执行</x:v>
      </x:c>
      <x:c r="F695" s="30" t="str">
        <x:v>基线：依实际装配启用</x:v>
      </x:c>
    </x:row>
    <x:row r="696" ht="40" customHeight="1">
      <x:c r="A696" s="30" t="str">
        <x:v>SC09</x:v>
      </x:c>
      <x:c r="B696" s="30" t="str">
        <x:v>火山灰/喷发后影响区</x:v>
      </x:c>
      <x:c r="C696" s="30" t="str">
        <x:v>T007</x:v>
      </x:c>
      <x:c r="D696" s="30" t="str">
        <x:v>灾前灾后变化与地图更新</x:v>
      </x:c>
      <x:c r="E696" s="30" t="str">
        <x:v>可候选；Agent决定是否创建/执行</x:v>
      </x:c>
      <x:c r="F696" s="30" t="str">
        <x:v>基线：依实际装配启用</x:v>
      </x:c>
    </x:row>
    <x:row r="697" ht="40" customHeight="1">
      <x:c r="A697" s="30" t="str">
        <x:v>SC09</x:v>
      </x:c>
      <x:c r="B697" s="30" t="str">
        <x:v>火山灰/喷发后影响区</x:v>
      </x:c>
      <x:c r="C697" s="30" t="str">
        <x:v>T008</x:v>
      </x:c>
      <x:c r="D697" s="30" t="str">
        <x:v>建筑/区域覆盖登记</x:v>
      </x:c>
      <x:c r="E697" s="30" t="str">
        <x:v>可候选；Agent决定是否创建/执行</x:v>
      </x:c>
      <x:c r="F697" s="30" t="str">
        <x:v>基线：依实际装配启用</x:v>
      </x:c>
    </x:row>
    <x:row r="698" ht="40" customHeight="1">
      <x:c r="A698" s="30" t="str">
        <x:v>SC09</x:v>
      </x:c>
      <x:c r="B698" s="30" t="str">
        <x:v>火山灰/喷发后影响区</x:v>
      </x:c>
      <x:c r="C698" s="30" t="str">
        <x:v>T009</x:v>
      </x:c>
      <x:c r="D698" s="30" t="str">
        <x:v>系统空中人员搜索</x:v>
      </x:c>
      <x:c r="E698" s="30" t="str">
        <x:v>可候选；Agent决定是否创建/执行</x:v>
      </x:c>
      <x:c r="F698" s="30" t="str">
        <x:v>基线：依实际装配启用</x:v>
      </x:c>
    </x:row>
    <x:row r="699" ht="40" customHeight="1">
      <x:c r="A699" s="30" t="str">
        <x:v>SC09</x:v>
      </x:c>
      <x:c r="B699" s="30" t="str">
        <x:v>火山灰/喷发后影响区</x:v>
      </x:c>
      <x:c r="C699" s="30" t="str">
        <x:v>T010</x:v>
      </x:c>
      <x:c r="D699" s="30" t="str">
        <x:v>线索发现与语义解读</x:v>
      </x:c>
      <x:c r="E699" s="30" t="str">
        <x:v>可候选；Agent决定是否创建/执行</x:v>
      </x:c>
      <x:c r="F699" s="30" t="str">
        <x:v>基线：依实际装配启用</x:v>
      </x:c>
    </x:row>
    <x:row r="700" ht="40" customHeight="1">
      <x:c r="A700" s="30" t="str">
        <x:v>SC09</x:v>
      </x:c>
      <x:c r="B700" s="30" t="str">
        <x:v>火山灰/喷发后影响区</x:v>
      </x:c>
      <x:c r="C700" s="30" t="str">
        <x:v>T011</x:v>
      </x:c>
      <x:c r="D700" s="30" t="str">
        <x:v>疑似目标多视角复核</x:v>
      </x:c>
      <x:c r="E700" s="30" t="str">
        <x:v>可候选；Agent决定是否创建/执行</x:v>
      </x:c>
      <x:c r="F700" s="30" t="str">
        <x:v>基线：依实际装配启用</x:v>
      </x:c>
    </x:row>
    <x:row r="701" ht="40" customHeight="1">
      <x:c r="A701" s="30" t="str">
        <x:v>SC09</x:v>
      </x:c>
      <x:c r="B701" s="30" t="str">
        <x:v>火山灰/喷发后影响区</x:v>
      </x:c>
      <x:c r="C701" s="30" t="str">
        <x:v>T012</x:v>
      </x:c>
      <x:c r="D701" s="30" t="str">
        <x:v>目标定位跟踪与跨视角关联</x:v>
      </x:c>
      <x:c r="E701" s="30" t="str">
        <x:v>可候选；Agent决定是否创建/执行</x:v>
      </x:c>
      <x:c r="F701" s="30" t="str">
        <x:v>基线：依实际装配启用</x:v>
      </x:c>
    </x:row>
    <x:row r="702" ht="40" customHeight="1">
      <x:c r="A702" s="30" t="str">
        <x:v>SC09</x:v>
      </x:c>
      <x:c r="B702" s="30" t="str">
        <x:v>火山灰/喷发后影响区</x:v>
      </x:c>
      <x:c r="C702" s="30" t="str">
        <x:v>T013</x:v>
      </x:c>
      <x:c r="D702" s="30" t="str">
        <x:v>近地外部与狭窄区搜索</x:v>
      </x:c>
      <x:c r="E702" s="30" t="str">
        <x:v>可候选；Agent决定是否创建/执行</x:v>
      </x:c>
      <x:c r="F702" s="30" t="str">
        <x:v>基线：依实际装配启用</x:v>
      </x:c>
    </x:row>
    <x:row r="703" ht="40" customHeight="1">
      <x:c r="A703" s="30" t="str">
        <x:v>SC09</x:v>
      </x:c>
      <x:c r="B703" s="30" t="str">
        <x:v>火山灰/喷发后影响区</x:v>
      </x:c>
      <x:c r="C703" s="30" t="str">
        <x:v>T014</x:v>
      </x:c>
      <x:c r="D703" s="30" t="str">
        <x:v>建筑内部初次抽象搜索</x:v>
      </x:c>
      <x:c r="E703" s="30" t="str">
        <x:v>可候选；Agent决定是否创建/执行</x:v>
      </x:c>
      <x:c r="F703" s="30" t="str">
        <x:v>基线：依实际装配启用</x:v>
      </x:c>
    </x:row>
    <x:row r="704" ht="40" customHeight="1">
      <x:c r="A704" s="30" t="str">
        <x:v>SC09</x:v>
      </x:c>
      <x:c r="B704" s="30" t="str">
        <x:v>火山灰/喷发后影响区</x:v>
      </x:c>
      <x:c r="C704" s="30" t="str">
        <x:v>T015</x:v>
      </x:c>
      <x:c r="D704" s="30" t="str">
        <x:v>建筑内部复搜/完整搜索</x:v>
      </x:c>
      <x:c r="E704" s="30" t="str">
        <x:v>可候选；Agent决定是否创建/执行</x:v>
      </x:c>
      <x:c r="F704" s="30" t="str">
        <x:v>基线：依实际装配启用</x:v>
      </x:c>
    </x:row>
    <x:row r="705" ht="40" customHeight="1">
      <x:c r="A705" s="30" t="str">
        <x:v>SC09</x:v>
      </x:c>
      <x:c r="B705" s="30" t="str">
        <x:v>火山灰/喷发后影响区</x:v>
      </x:c>
      <x:c r="C705" s="30" t="str">
        <x:v>T016</x:v>
      </x:c>
      <x:c r="D705" s="30" t="str">
        <x:v>热成像补充搜索</x:v>
      </x:c>
      <x:c r="E705" s="30" t="str">
        <x:v>可候选；Agent决定是否创建/执行</x:v>
      </x:c>
      <x:c r="F705" s="30" t="str">
        <x:v>条件扩展：明确设备/专业服务后启用</x:v>
      </x:c>
    </x:row>
    <x:row r="706" ht="40" customHeight="1">
      <x:c r="A706" s="30" t="str">
        <x:v>SC09</x:v>
      </x:c>
      <x:c r="B706" s="30" t="str">
        <x:v>火山灰/喷发后影响区</x:v>
      </x:c>
      <x:c r="C706" s="30" t="str">
        <x:v>T017</x:v>
      </x:c>
      <x:c r="D706" s="30" t="str">
        <x:v>声音线索搜索</x:v>
      </x:c>
      <x:c r="E706" s="30" t="str">
        <x:v>可候选；Agent决定是否创建/执行</x:v>
      </x:c>
      <x:c r="F706" s="30" t="str">
        <x:v>条件扩展：明确设备/专业服务后启用</x:v>
      </x:c>
    </x:row>
    <x:row r="707" ht="40" customHeight="1">
      <x:c r="A707" s="30" t="str">
        <x:v>SC09</x:v>
      </x:c>
      <x:c r="B707" s="30" t="str">
        <x:v>火山灰/喷发后影响区</x:v>
      </x:c>
      <x:c r="C707" s="30" t="str">
        <x:v>T018</x:v>
      </x:c>
      <x:c r="D707" s="30" t="str">
        <x:v>RF/手机线索搜索</x:v>
      </x:c>
      <x:c r="E707" s="30" t="str">
        <x:v>可候选；Agent决定是否创建/执行</x:v>
      </x:c>
      <x:c r="F707" s="30" t="str">
        <x:v>条件扩展：明确设备/专业服务后启用</x:v>
      </x:c>
    </x:row>
    <x:row r="708" ht="40" customHeight="1">
      <x:c r="A708" s="30" t="str">
        <x:v>SC09</x:v>
      </x:c>
      <x:c r="B708" s="30" t="str">
        <x:v>火山灰/喷发后影响区</x:v>
      </x:c>
      <x:c r="C708" s="30" t="str">
        <x:v>T019</x:v>
      </x:c>
      <x:c r="D708" s="30" t="str">
        <x:v>空中转场与观察点到达</x:v>
      </x:c>
      <x:c r="E708" s="30" t="str">
        <x:v>可候选；Agent决定是否创建/执行</x:v>
      </x:c>
      <x:c r="F708" s="30" t="str">
        <x:v>基线：依实际装配启用</x:v>
      </x:c>
    </x:row>
    <x:row r="709" ht="40" customHeight="1">
      <x:c r="A709" s="30" t="str">
        <x:v>SC09</x:v>
      </x:c>
      <x:c r="B709" s="30" t="str">
        <x:v>火山灰/喷发后影响区</x:v>
      </x:c>
      <x:c r="C709" s="30" t="str">
        <x:v>T020</x:v>
      </x:c>
      <x:c r="D709" s="30" t="str">
        <x:v>地面转场与绕行</x:v>
      </x:c>
      <x:c r="E709" s="30" t="str">
        <x:v>可候选；Agent决定是否创建/执行</x:v>
      </x:c>
      <x:c r="F709" s="30" t="str">
        <x:v>基线：依实际装配启用</x:v>
      </x:c>
    </x:row>
    <x:row r="710" ht="40" customHeight="1">
      <x:c r="A710" s="30" t="str">
        <x:v>SC09</x:v>
      </x:c>
      <x:c r="B710" s="30" t="str">
        <x:v>火山灰/喷发后影响区</x:v>
      </x:c>
      <x:c r="C710" s="30" t="str">
        <x:v>T021</x:v>
      </x:c>
      <x:c r="D710" s="30" t="str">
        <x:v>障碍接近探测与路径验证</x:v>
      </x:c>
      <x:c r="E710" s="30" t="str">
        <x:v>可候选；Agent决定是否创建/执行</x:v>
      </x:c>
      <x:c r="F710" s="30" t="str">
        <x:v>基线：依实际装配启用</x:v>
      </x:c>
    </x:row>
    <x:row r="711" ht="40" customHeight="1">
      <x:c r="A711" s="30" t="str">
        <x:v>SC09</x:v>
      </x:c>
      <x:c r="B711" s="30" t="str">
        <x:v>火山灰/喷发后影响区</x:v>
      </x:c>
      <x:c r="C711" s="30" t="str">
        <x:v>T022</x:v>
      </x:c>
      <x:c r="D711" s="30" t="str">
        <x:v>轻型残骸移除</x:v>
      </x:c>
      <x:c r="E711" s="30" t="str">
        <x:v>可候选；Agent决定是否创建/执行</x:v>
      </x:c>
      <x:c r="F711" s="30" t="str">
        <x:v>条件扩展：明确设备/专业服务后启用</x:v>
      </x:c>
    </x:row>
    <x:row r="712" ht="40" customHeight="1">
      <x:c r="A712" s="30" t="str">
        <x:v>SC09</x:v>
      </x:c>
      <x:c r="B712" s="30" t="str">
        <x:v>火山灰/喷发后影响区</x:v>
      </x:c>
      <x:c r="C712" s="30" t="str">
        <x:v>T023</x:v>
      </x:c>
      <x:c r="D712" s="30" t="str">
        <x:v>重型道路清障</x:v>
      </x:c>
      <x:c r="E712" s="30" t="str">
        <x:v>可候选；Agent决定是否创建/执行</x:v>
      </x:c>
      <x:c r="F712" s="30" t="str">
        <x:v>条件扩展：明确设备/专业服务后启用</x:v>
      </x:c>
    </x:row>
    <x:row r="713" ht="40" customHeight="1">
      <x:c r="A713" s="30" t="str">
        <x:v>SC09</x:v>
      </x:c>
      <x:c r="B713" s="30" t="str">
        <x:v>火山灰/喷发后影响区</x:v>
      </x:c>
      <x:c r="C713" s="30" t="str">
        <x:v>T024</x:v>
      </x:c>
      <x:c r="D713" s="30" t="str">
        <x:v>入口开辟与局部破拆</x:v>
      </x:c>
      <x:c r="E713" s="30" t="str">
        <x:v>可候选；Agent决定是否创建/执行</x:v>
      </x:c>
      <x:c r="F713" s="30" t="str">
        <x:v>条件扩展：明确设备/专业服务后启用</x:v>
      </x:c>
    </x:row>
    <x:row r="714" ht="40" customHeight="1">
      <x:c r="A714" s="30" t="str">
        <x:v>SC09</x:v>
      </x:c>
      <x:c r="B714" s="30" t="str">
        <x:v>火山灰/喷发后影响区</x:v>
      </x:c>
      <x:c r="C714" s="30" t="str">
        <x:v>T025</x:v>
      </x:c>
      <x:c r="D714" s="30" t="str">
        <x:v>危险结构临时支撑</x:v>
      </x:c>
      <x:c r="E714" s="30" t="str">
        <x:v>可候选；Agent决定是否创建/执行</x:v>
      </x:c>
      <x:c r="F714" s="30" t="str">
        <x:v>条件扩展：明确设备/专业服务后启用</x:v>
      </x:c>
    </x:row>
    <x:row r="715" ht="40" customHeight="1">
      <x:c r="A715" s="30" t="str">
        <x:v>SC09</x:v>
      </x:c>
      <x:c r="B715" s="30" t="str">
        <x:v>火山灰/喷发后影响区</x:v>
      </x:c>
      <x:c r="C715" s="30" t="str">
        <x:v>T026</x:v>
      </x:c>
      <x:c r="D715" s="30" t="str">
        <x:v>吊升/移置大块障碍</x:v>
      </x:c>
      <x:c r="E715" s="30" t="str">
        <x:v>可候选；Agent决定是否创建/执行</x:v>
      </x:c>
      <x:c r="F715" s="30" t="str">
        <x:v>条件扩展：明确设备/专业服务后启用</x:v>
      </x:c>
    </x:row>
    <x:row r="716" ht="40" customHeight="1">
      <x:c r="A716" s="30" t="str">
        <x:v>SC09</x:v>
      </x:c>
      <x:c r="B716" s="30" t="str">
        <x:v>火山灰/喷发后影响区</x:v>
      </x:c>
      <x:c r="C716" s="30" t="str">
        <x:v>T027</x:v>
      </x:c>
      <x:c r="D716" s="30" t="str">
        <x:v>建立联系并确认需求</x:v>
      </x:c>
      <x:c r="E716" s="30" t="str">
        <x:v>可候选；Agent决定是否创建/执行</x:v>
      </x:c>
      <x:c r="F716" s="30" t="str">
        <x:v>基线：依实际装配启用</x:v>
      </x:c>
    </x:row>
    <x:row r="717" ht="40" customHeight="1">
      <x:c r="A717" s="30" t="str">
        <x:v>SC09</x:v>
      </x:c>
      <x:c r="B717" s="30" t="str">
        <x:v>火山灰/喷发后影响区</x:v>
      </x:c>
      <x:c r="C717" s="30" t="str">
        <x:v>T028</x:v>
      </x:c>
      <x:c r="D717" s="30" t="str">
        <x:v>安全警示与避险引导</x:v>
      </x:c>
      <x:c r="E717" s="30" t="str">
        <x:v>可候选；Agent决定是否创建/执行</x:v>
      </x:c>
      <x:c r="F717" s="30" t="str">
        <x:v>基线：依实际装配启用</x:v>
      </x:c>
    </x:row>
    <x:row r="718" ht="40" customHeight="1">
      <x:c r="A718" s="30" t="str">
        <x:v>SC09</x:v>
      </x:c>
      <x:c r="B718" s="30" t="str">
        <x:v>火山灰/喷发后影响区</x:v>
      </x:c>
      <x:c r="C718" s="30" t="str">
        <x:v>T029</x:v>
      </x:c>
      <x:c r="D718" s="30" t="str">
        <x:v>专业伤员评估与分级</x:v>
      </x:c>
      <x:c r="E718" s="30" t="str">
        <x:v>可候选；Agent决定是否创建/执行</x:v>
      </x:c>
      <x:c r="F718" s="30" t="str">
        <x:v>条件扩展：明确设备/专业服务后启用</x:v>
      </x:c>
    </x:row>
    <x:row r="719" ht="40" customHeight="1">
      <x:c r="A719" s="30" t="str">
        <x:v>SC09</x:v>
      </x:c>
      <x:c r="B719" s="30" t="str">
        <x:v>火山灰/喷发后影响区</x:v>
      </x:c>
      <x:c r="C719" s="30" t="str">
        <x:v>T030</x:v>
      </x:c>
      <x:c r="D719" s="30" t="str">
        <x:v>人员基础物资支援</x:v>
      </x:c>
      <x:c r="E719" s="30" t="str">
        <x:v>可候选；Agent决定是否创建/执行</x:v>
      </x:c>
      <x:c r="F719" s="30" t="str">
        <x:v>基线：依实际装配启用</x:v>
      </x:c>
    </x:row>
    <x:row r="720" ht="40" customHeight="1">
      <x:c r="A720" s="30" t="str">
        <x:v>SC09</x:v>
      </x:c>
      <x:c r="B720" s="30" t="str">
        <x:v>火山灰/喷发后影响区</x:v>
      </x:c>
      <x:c r="C720" s="30" t="str">
        <x:v>T031</x:v>
      </x:c>
      <x:c r="D720" s="30" t="str">
        <x:v>专业初步救护</x:v>
      </x:c>
      <x:c r="E720" s="30" t="str">
        <x:v>可候选；Agent决定是否创建/执行</x:v>
      </x:c>
      <x:c r="F720" s="30" t="str">
        <x:v>条件扩展：明确设备/专业服务后启用</x:v>
      </x:c>
    </x:row>
    <x:row r="721" ht="40" customHeight="1">
      <x:c r="A721" s="30" t="str">
        <x:v>SC09</x:v>
      </x:c>
      <x:c r="B721" s="30" t="str">
        <x:v>火山灰/喷发后影响区</x:v>
      </x:c>
      <x:c r="C721" s="30" t="str">
        <x:v>T032</x:v>
      </x:c>
      <x:c r="D721" s="30" t="str">
        <x:v>受困解除/解困</x:v>
      </x:c>
      <x:c r="E721" s="30" t="str">
        <x:v>可候选；Agent决定是否创建/执行</x:v>
      </x:c>
      <x:c r="F721" s="30" t="str">
        <x:v>条件扩展：明确设备/专业服务后启用</x:v>
      </x:c>
    </x:row>
    <x:row r="722" ht="40" customHeight="1">
      <x:c r="A722" s="30" t="str">
        <x:v>SC09</x:v>
      </x:c>
      <x:c r="B722" s="30" t="str">
        <x:v>火山灰/喷发后影响区</x:v>
      </x:c>
      <x:c r="C722" s="30" t="str">
        <x:v>T033</x:v>
      </x:c>
      <x:c r="D722" s="30" t="str">
        <x:v>人员装载</x:v>
      </x:c>
      <x:c r="E722" s="30" t="str">
        <x:v>可候选；Agent决定是否创建/执行</x:v>
      </x:c>
      <x:c r="F722" s="30" t="str">
        <x:v>条件扩展：明确设备/专业服务后启用</x:v>
      </x:c>
    </x:row>
    <x:row r="723" ht="40" customHeight="1">
      <x:c r="A723" s="30" t="str">
        <x:v>SC09</x:v>
      </x:c>
      <x:c r="B723" s="30" t="str">
        <x:v>火山灰/喷发后影响区</x:v>
      </x:c>
      <x:c r="C723" s="30" t="str">
        <x:v>T034</x:v>
      </x:c>
      <x:c r="D723" s="30" t="str">
        <x:v>人员转运</x:v>
      </x:c>
      <x:c r="E723" s="30" t="str">
        <x:v>可候选；Agent决定是否创建/执行</x:v>
      </x:c>
      <x:c r="F723" s="30" t="str">
        <x:v>条件扩展：明确设备/专业服务后启用</x:v>
      </x:c>
    </x:row>
    <x:row r="724" ht="40" customHeight="1">
      <x:c r="A724" s="30" t="str">
        <x:v>SC09</x:v>
      </x:c>
      <x:c r="B724" s="30" t="str">
        <x:v>火山灰/喷发后影响区</x:v>
      </x:c>
      <x:c r="C724" s="30" t="str">
        <x:v>T035</x:v>
      </x:c>
      <x:c r="D724" s="30" t="str">
        <x:v>救援/医疗最终移交</x:v>
      </x:c>
      <x:c r="E724" s="30" t="str">
        <x:v>可候选；Agent决定是否创建/执行</x:v>
      </x:c>
      <x:c r="F724" s="30" t="str">
        <x:v>条件扩展：明确设备/专业服务后启用</x:v>
      </x:c>
    </x:row>
    <x:row r="725" ht="40" customHeight="1">
      <x:c r="A725" s="30" t="str">
        <x:v>SC09</x:v>
      </x:c>
      <x:c r="B725" s="30" t="str">
        <x:v>火山灰/喷发后影响区</x:v>
      </x:c>
      <x:c r="C725" s="30" t="str">
        <x:v>T038</x:v>
      </x:c>
      <x:c r="D725" s="30" t="str">
        <x:v>货物取用与挂载</x:v>
      </x:c>
      <x:c r="E725" s="30" t="str">
        <x:v>可候选；Agent决定是否创建/执行</x:v>
      </x:c>
      <x:c r="F725" s="30" t="str">
        <x:v>基线：依实际装配启用</x:v>
      </x:c>
    </x:row>
    <x:row r="726" ht="40" customHeight="1">
      <x:c r="A726" s="30" t="str">
        <x:v>SC09</x:v>
      </x:c>
      <x:c r="B726" s="30" t="str">
        <x:v>火山灰/喷发后影响区</x:v>
      </x:c>
      <x:c r="C726" s="30" t="str">
        <x:v>T039</x:v>
      </x:c>
      <x:c r="D726" s="30" t="str">
        <x:v>无人机精确物资投送</x:v>
      </x:c>
      <x:c r="E726" s="30" t="str">
        <x:v>可候选；Agent决定是否创建/执行</x:v>
      </x:c>
      <x:c r="F726" s="30" t="str">
        <x:v>基线：依实际装配启用</x:v>
      </x:c>
    </x:row>
    <x:row r="727" ht="40" customHeight="1">
      <x:c r="A727" s="30" t="str">
        <x:v>SC09</x:v>
      </x:c>
      <x:c r="B727" s="30" t="str">
        <x:v>火山灰/喷发后影响区</x:v>
      </x:c>
      <x:c r="C727" s="30" t="str">
        <x:v>T040</x:v>
      </x:c>
      <x:c r="D727" s="30" t="str">
        <x:v>地面物资送达与卸放</x:v>
      </x:c>
      <x:c r="E727" s="30" t="str">
        <x:v>可候选；Agent决定是否创建/执行</x:v>
      </x:c>
      <x:c r="F727" s="30" t="str">
        <x:v>基线：依实际装配启用</x:v>
      </x:c>
    </x:row>
    <x:row r="728" ht="40" customHeight="1">
      <x:c r="A728" s="30" t="str">
        <x:v>SC09</x:v>
      </x:c>
      <x:c r="B728" s="30" t="str">
        <x:v>火山灰/喷发后影响区</x:v>
      </x:c>
      <x:c r="C728" s="30" t="str">
        <x:v>T041</x:v>
      </x:c>
      <x:c r="D728" s="30" t="str">
        <x:v>交付复核与收货报告</x:v>
      </x:c>
      <x:c r="E728" s="30" t="str">
        <x:v>可候选；Agent决定是否创建/执行</x:v>
      </x:c>
      <x:c r="F728" s="30" t="str">
        <x:v>基线：依实际装配启用</x:v>
      </x:c>
    </x:row>
    <x:row r="729" ht="40" customHeight="1">
      <x:c r="A729" s="30" t="str">
        <x:v>SC09</x:v>
      </x:c>
      <x:c r="B729" s="30" t="str">
        <x:v>火山灰/喷发后影响区</x:v>
      </x:c>
      <x:c r="C729" s="30" t="str">
        <x:v>T042</x:v>
      </x:c>
      <x:c r="D729" s="30" t="str">
        <x:v>物资/器材补给</x:v>
      </x:c>
      <x:c r="E729" s="30" t="str">
        <x:v>可候选；Agent决定是否创建/执行</x:v>
      </x:c>
      <x:c r="F729" s="30" t="str">
        <x:v>基线：依实际装配启用</x:v>
      </x:c>
    </x:row>
    <x:row r="730" ht="40" customHeight="1">
      <x:c r="A730" s="30" t="str">
        <x:v>SC09</x:v>
      </x:c>
      <x:c r="B730" s="30" t="str">
        <x:v>火山灰/喷发后影响区</x:v>
      </x:c>
      <x:c r="C730" s="30" t="str">
        <x:v>T043</x:v>
      </x:c>
      <x:c r="D730" s="30" t="str">
        <x:v>平台充电</x:v>
      </x:c>
      <x:c r="E730" s="30" t="str">
        <x:v>可候选；Agent决定是否创建/执行</x:v>
      </x:c>
      <x:c r="F730" s="30" t="str">
        <x:v>基线：依实际装配启用</x:v>
      </x:c>
    </x:row>
    <x:row r="731" ht="40" customHeight="1">
      <x:c r="A731" s="30" t="str">
        <x:v>SC09</x:v>
      </x:c>
      <x:c r="B731" s="30" t="str">
        <x:v>火山灰/喷发后影响区</x:v>
      </x:c>
      <x:c r="C731" s="30" t="str">
        <x:v>T044</x:v>
      </x:c>
      <x:c r="D731" s="30" t="str">
        <x:v>平台换电</x:v>
      </x:c>
      <x:c r="E731" s="30" t="str">
        <x:v>可候选；Agent决定是否创建/执行</x:v>
      </x:c>
      <x:c r="F731" s="30" t="str">
        <x:v>基线：依实际装配启用</x:v>
      </x:c>
    </x:row>
    <x:row r="732" ht="40" customHeight="1">
      <x:c r="A732" s="30" t="str">
        <x:v>SC09</x:v>
      </x:c>
      <x:c r="B732" s="30" t="str">
        <x:v>火山灰/喷发后影响区</x:v>
      </x:c>
      <x:c r="C732" s="30" t="str">
        <x:v>T045</x:v>
      </x:c>
      <x:c r="D732" s="30" t="str">
        <x:v>返航/返站与安全撤离</x:v>
      </x:c>
      <x:c r="E732" s="30" t="str">
        <x:v>可候选；Agent决定是否创建/执行</x:v>
      </x:c>
      <x:c r="F732" s="30" t="str">
        <x:v>基线：依实际装配启用</x:v>
      </x:c>
    </x:row>
    <x:row r="733" ht="40" customHeight="1">
      <x:c r="A733" s="30" t="str">
        <x:v>SC09</x:v>
      </x:c>
      <x:c r="B733" s="30" t="str">
        <x:v>火山灰/喷发后影响区</x:v>
      </x:c>
      <x:c r="C733" s="30" t="str">
        <x:v>T046</x:v>
      </x:c>
      <x:c r="D733" s="30" t="str">
        <x:v>失效平台回收</x:v>
      </x:c>
      <x:c r="E733" s="30" t="str">
        <x:v>可候选；Agent决定是否创建/执行</x:v>
      </x:c>
      <x:c r="F733" s="30" t="str">
        <x:v>条件扩展：明确设备/专业服务后启用</x:v>
      </x:c>
    </x:row>
    <x:row r="734" ht="40" customHeight="1">
      <x:c r="A734" s="30" t="str">
        <x:v>SC09</x:v>
      </x:c>
      <x:c r="B734" s="30" t="str">
        <x:v>火山灰/喷发后影响区</x:v>
      </x:c>
      <x:c r="C734" s="30" t="str">
        <x:v>T047</x:v>
      </x:c>
      <x:c r="D734" s="30" t="str">
        <x:v>链路探测与质量估计</x:v>
      </x:c>
      <x:c r="E734" s="30" t="str">
        <x:v>可候选；Agent决定是否创建/执行</x:v>
      </x:c>
      <x:c r="F734" s="30" t="str">
        <x:v>基线：依实际装配启用</x:v>
      </x:c>
    </x:row>
    <x:row r="735" ht="40" customHeight="1">
      <x:c r="A735" s="30" t="str">
        <x:v>SC09</x:v>
      </x:c>
      <x:c r="B735" s="30" t="str">
        <x:v>火山灰/喷发后影响区</x:v>
      </x:c>
      <x:c r="C735" s="30" t="str">
        <x:v>T048</x:v>
      </x:c>
      <x:c r="D735" s="30" t="str">
        <x:v>通信会合与重定位</x:v>
      </x:c>
      <x:c r="E735" s="30" t="str">
        <x:v>可候选；Agent决定是否创建/执行</x:v>
      </x:c>
      <x:c r="F735" s="30" t="str">
        <x:v>基线：依实际装配启用</x:v>
      </x:c>
    </x:row>
    <x:row r="736" ht="40" customHeight="1">
      <x:c r="A736" s="30" t="str">
        <x:v>SC09</x:v>
      </x:c>
      <x:c r="B736" s="30" t="str">
        <x:v>火山灰/喷发后影响区</x:v>
      </x:c>
      <x:c r="C736" s="30" t="str">
        <x:v>T049</x:v>
      </x:c>
      <x:c r="D736" s="30" t="str">
        <x:v>空中中继保持</x:v>
      </x:c>
      <x:c r="E736" s="30" t="str">
        <x:v>可候选；Agent决定是否创建/执行</x:v>
      </x:c>
      <x:c r="F736" s="30" t="str">
        <x:v>基线：依实际装配启用</x:v>
      </x:c>
    </x:row>
    <x:row r="737" ht="40" customHeight="1">
      <x:c r="A737" s="30" t="str">
        <x:v>SC09</x:v>
      </x:c>
      <x:c r="B737" s="30" t="str">
        <x:v>火山灰/喷发后影响区</x:v>
      </x:c>
      <x:c r="C737" s="30" t="str">
        <x:v>T050</x:v>
      </x:c>
      <x:c r="D737" s="30" t="str">
        <x:v>通信节点布放</x:v>
      </x:c>
      <x:c r="E737" s="30" t="str">
        <x:v>可候选；Agent决定是否创建/执行</x:v>
      </x:c>
      <x:c r="F737" s="30" t="str">
        <x:v>条件扩展：明确设备/专业服务后启用</x:v>
      </x:c>
    </x:row>
    <x:row r="738" ht="40" customHeight="1">
      <x:c r="A738" s="30" t="str">
        <x:v>SC09</x:v>
      </x:c>
      <x:c r="B738" s="30" t="str">
        <x:v>火山灰/喷发后影响区</x:v>
      </x:c>
      <x:c r="C738" s="30" t="str">
        <x:v>T051</x:v>
      </x:c>
      <x:c r="D738" s="30" t="str">
        <x:v>多跳业务转发</x:v>
      </x:c>
      <x:c r="E738" s="30" t="str">
        <x:v>可候选；Agent决定是否创建/执行</x:v>
      </x:c>
      <x:c r="F738" s="30" t="str">
        <x:v>基线：依实际装配启用</x:v>
      </x:c>
    </x:row>
    <x:row r="739" ht="40" customHeight="1">
      <x:c r="A739" s="30" t="str">
        <x:v>SC09</x:v>
      </x:c>
      <x:c r="B739" s="30" t="str">
        <x:v>火山灰/喷发后影响区</x:v>
      </x:c>
      <x:c r="C739" s="30" t="str">
        <x:v>T052</x:v>
      </x:c>
      <x:c r="D739" s="30" t="str">
        <x:v>图像/证据数据上传</x:v>
      </x:c>
      <x:c r="E739" s="30" t="str">
        <x:v>可候选；Agent决定是否创建/执行</x:v>
      </x:c>
      <x:c r="F739" s="30" t="str">
        <x:v>基线：依实际装配启用</x:v>
      </x:c>
    </x:row>
    <x:row r="740" ht="40" customHeight="1">
      <x:c r="A740" s="30" t="str">
        <x:v>SC09</x:v>
      </x:c>
      <x:c r="B740" s="30" t="str">
        <x:v>火山灰/喷发后影响区</x:v>
      </x:c>
      <x:c r="C740" s="30" t="str">
        <x:v>T053</x:v>
      </x:c>
      <x:c r="D740" s="30" t="str">
        <x:v>可靠回执与超时重传</x:v>
      </x:c>
      <x:c r="E740" s="30" t="str">
        <x:v>可候选；Agent决定是否创建/执行</x:v>
      </x:c>
      <x:c r="F740" s="30" t="str">
        <x:v>基线：依实际装配启用</x:v>
      </x:c>
    </x:row>
    <x:row r="741" ht="40" customHeight="1">
      <x:c r="A741" s="30" t="str">
        <x:v>SC09</x:v>
      </x:c>
      <x:c r="B741" s="30" t="str">
        <x:v>火山灰/喷发后影响区</x:v>
      </x:c>
      <x:c r="C741" s="30" t="str">
        <x:v>T054</x:v>
      </x:c>
      <x:c r="D741" s="30" t="str">
        <x:v>断联存储-携带-转发</x:v>
      </x:c>
      <x:c r="E741" s="30" t="str">
        <x:v>可候选；Agent决定是否创建/执行</x:v>
      </x:c>
      <x:c r="F741" s="30" t="str">
        <x:v>基线：依实际装配启用</x:v>
      </x:c>
    </x:row>
    <x:row r="742" ht="40" customHeight="1">
      <x:c r="A742" s="30" t="str">
        <x:v>SC09</x:v>
      </x:c>
      <x:c r="B742" s="30" t="str">
        <x:v>火山灰/喷发后影响区</x:v>
      </x:c>
      <x:c r="C742" s="30" t="str">
        <x:v>T055</x:v>
      </x:c>
      <x:c r="D742" s="30" t="str">
        <x:v>信道/功率/传输优先级调整</x:v>
      </x:c>
      <x:c r="E742" s="30" t="str">
        <x:v>可候选；Agent决定是否创建/执行</x:v>
      </x:c>
      <x:c r="F742" s="30" t="str">
        <x:v>基线：依实际装配启用</x:v>
      </x:c>
    </x:row>
    <x:row r="743" ht="40" customHeight="1">
      <x:c r="A743" s="30" t="str">
        <x:v>SC09</x:v>
      </x:c>
      <x:c r="B743" s="30" t="str">
        <x:v>火山灰/喷发后影响区</x:v>
      </x:c>
      <x:c r="C743" s="30" t="str">
        <x:v>T056</x:v>
      </x:c>
      <x:c r="D743" s="30" t="str">
        <x:v>失联后的连接恢复</x:v>
      </x:c>
      <x:c r="E743" s="30" t="str">
        <x:v>可候选；Agent决定是否创建/执行</x:v>
      </x:c>
      <x:c r="F743" s="30" t="str">
        <x:v>基线：依实际装配启用</x:v>
      </x:c>
    </x:row>
    <x:row r="744" ht="40" customHeight="1">
      <x:c r="A744" s="30" t="str">
        <x:v>SC09</x:v>
      </x:c>
      <x:c r="B744" s="30" t="str">
        <x:v>火山灰/喷发后影响区</x:v>
      </x:c>
      <x:c r="C744" s="30" t="str">
        <x:v>T057</x:v>
      </x:c>
      <x:c r="D744" s="30" t="str">
        <x:v>计算与模型服务发现</x:v>
      </x:c>
      <x:c r="E744" s="30" t="str">
        <x:v>可候选；Agent决定是否创建/执行</x:v>
      </x:c>
      <x:c r="F744" s="30" t="str">
        <x:v>基线：依实际装配启用</x:v>
      </x:c>
    </x:row>
    <x:row r="745" ht="40" customHeight="1">
      <x:c r="A745" s="30" t="str">
        <x:v>SC09</x:v>
      </x:c>
      <x:c r="B745" s="30" t="str">
        <x:v>火山灰/喷发后影响区</x:v>
      </x:c>
      <x:c r="C745" s="30" t="str">
        <x:v>T058</x:v>
      </x:c>
      <x:c r="D745" s="30" t="str">
        <x:v>本地视觉检测</x:v>
      </x:c>
      <x:c r="E745" s="30" t="str">
        <x:v>可候选；Agent决定是否创建/执行</x:v>
      </x:c>
      <x:c r="F745" s="30" t="str">
        <x:v>基线：依实际装配启用</x:v>
      </x:c>
    </x:row>
    <x:row r="746" ht="40" customHeight="1">
      <x:c r="A746" s="30" t="str">
        <x:v>SC09</x:v>
      </x:c>
      <x:c r="B746" s="30" t="str">
        <x:v>火山灰/喷发后影响区</x:v>
      </x:c>
      <x:c r="C746" s="30" t="str">
        <x:v>T059</x:v>
      </x:c>
      <x:c r="D746" s="30" t="str">
        <x:v>本地语义/任务推理</x:v>
      </x:c>
      <x:c r="E746" s="30" t="str">
        <x:v>可候选；Agent决定是否创建/执行</x:v>
      </x:c>
      <x:c r="F746" s="30" t="str">
        <x:v>基线：依实际装配启用</x:v>
      </x:c>
    </x:row>
    <x:row r="747" ht="40" customHeight="1">
      <x:c r="A747" s="30" t="str">
        <x:v>SC09</x:v>
      </x:c>
      <x:c r="B747" s="30" t="str">
        <x:v>火山灰/喷发后影响区</x:v>
      </x:c>
      <x:c r="C747" s="30" t="str">
        <x:v>T060</x:v>
      </x:c>
      <x:c r="D747" s="30" t="str">
        <x:v>远程视觉复核/推理卸载</x:v>
      </x:c>
      <x:c r="E747" s="30" t="str">
        <x:v>可候选；Agent决定是否创建/执行</x:v>
      </x:c>
      <x:c r="F747" s="30" t="str">
        <x:v>基线：依实际装配启用</x:v>
      </x:c>
    </x:row>
    <x:row r="748" ht="40" customHeight="1">
      <x:c r="A748" s="30" t="str">
        <x:v>SC09</x:v>
      </x:c>
      <x:c r="B748" s="30" t="str">
        <x:v>火山灰/喷发后影响区</x:v>
      </x:c>
      <x:c r="C748" s="30" t="str">
        <x:v>T061</x:v>
      </x:c>
      <x:c r="D748" s="30" t="str">
        <x:v>执行节点与模型选择</x:v>
      </x:c>
      <x:c r="E748" s="30" t="str">
        <x:v>可候选；Agent决定是否创建/执行</x:v>
      </x:c>
      <x:c r="F748" s="30" t="str">
        <x:v>基线：依实际装配启用</x:v>
      </x:c>
    </x:row>
    <x:row r="749" ht="40" customHeight="1">
      <x:c r="A749" s="30" t="str">
        <x:v>SC09</x:v>
      </x:c>
      <x:c r="B749" s="30" t="str">
        <x:v>火山灰/喷发后影响区</x:v>
      </x:c>
      <x:c r="C749" s="30" t="str">
        <x:v>T062</x:v>
      </x:c>
      <x:c r="D749" s="30" t="str">
        <x:v>计算作业准入与排队</x:v>
      </x:c>
      <x:c r="E749" s="30" t="str">
        <x:v>可候选；Agent决定是否创建/执行</x:v>
      </x:c>
      <x:c r="F749" s="30" t="str">
        <x:v>基线：依实际装配启用</x:v>
      </x:c>
    </x:row>
    <x:row r="750" ht="40" customHeight="1">
      <x:c r="A750" s="30" t="str">
        <x:v>SC09</x:v>
      </x:c>
      <x:c r="B750" s="30" t="str">
        <x:v>火山灰/喷发后影响区</x:v>
      </x:c>
      <x:c r="C750" s="30" t="str">
        <x:v>T063</x:v>
      </x:c>
      <x:c r="D750" s="30" t="str">
        <x:v>模型服务加载/卸载</x:v>
      </x:c>
      <x:c r="E750" s="30" t="str">
        <x:v>可候选；Agent决定是否创建/执行</x:v>
      </x:c>
      <x:c r="F750" s="30" t="str">
        <x:v>基线：依实际装配启用</x:v>
      </x:c>
    </x:row>
    <x:row r="751" ht="40" customHeight="1">
      <x:c r="A751" s="30" t="str">
        <x:v>SC09</x:v>
      </x:c>
      <x:c r="B751" s="30" t="str">
        <x:v>火山灰/喷发后影响区</x:v>
      </x:c>
      <x:c r="C751" s="30" t="str">
        <x:v>T064</x:v>
      </x:c>
      <x:c r="D751" s="30" t="str">
        <x:v>上下文/表示缓存复用</x:v>
      </x:c>
      <x:c r="E751" s="30" t="str">
        <x:v>可候选；Agent决定是否创建/执行</x:v>
      </x:c>
      <x:c r="F751" s="30" t="str">
        <x:v>基线：依实际装配启用</x:v>
      </x:c>
    </x:row>
    <x:row r="752" ht="40" customHeight="1">
      <x:c r="A752" s="30" t="str">
        <x:v>SC09</x:v>
      </x:c>
      <x:c r="B752" s="30" t="str">
        <x:v>火山灰/喷发后影响区</x:v>
      </x:c>
      <x:c r="C752" s="30" t="str">
        <x:v>T065</x:v>
      </x:c>
      <x:c r="D752" s="30" t="str">
        <x:v>服务/作业迁移与恢复</x:v>
      </x:c>
      <x:c r="E752" s="30" t="str">
        <x:v>可候选；Agent决定是否创建/执行</x:v>
      </x:c>
      <x:c r="F752" s="30" t="str">
        <x:v>条件扩展：明确设备/专业服务后启用</x:v>
      </x:c>
    </x:row>
    <x:row r="753" ht="40" customHeight="1">
      <x:c r="A753" s="30" t="str">
        <x:v>SC09</x:v>
      </x:c>
      <x:c r="B753" s="30" t="str">
        <x:v>火山灰/喷发后影响区</x:v>
      </x:c>
      <x:c r="C753" s="30" t="str">
        <x:v>T066</x:v>
      </x:c>
      <x:c r="D753" s="30" t="str">
        <x:v>预算耗尽/失败作业取消重试</x:v>
      </x:c>
      <x:c r="E753" s="30" t="str">
        <x:v>可候选；Agent决定是否创建/执行</x:v>
      </x:c>
      <x:c r="F753" s="30" t="str">
        <x:v>基线：依实际装配启用</x:v>
      </x:c>
    </x:row>
    <x:row r="754" ht="40" customHeight="1">
      <x:c r="A754" s="30" t="str">
        <x:v>SC09</x:v>
      </x:c>
      <x:c r="B754" s="30" t="str">
        <x:v>火山灰/喷发后影响区</x:v>
      </x:c>
      <x:c r="C754" s="30" t="str">
        <x:v>T067</x:v>
      </x:c>
      <x:c r="D754" s="30" t="str">
        <x:v>批处理/多源联合推理</x:v>
      </x:c>
      <x:c r="E754" s="30" t="str">
        <x:v>可候选；Agent决定是否创建/执行</x:v>
      </x:c>
      <x:c r="F754" s="30" t="str">
        <x:v>基线：依实际装配启用</x:v>
      </x:c>
    </x:row>
    <x:row r="755" ht="40" customHeight="1">
      <x:c r="A755" s="30" t="str">
        <x:v>SC09</x:v>
      </x:c>
      <x:c r="B755" s="30" t="str">
        <x:v>火山灰/喷发后影响区</x:v>
      </x:c>
      <x:c r="C755" s="30" t="str">
        <x:v>T068</x:v>
      </x:c>
      <x:c r="D755" s="30" t="str">
        <x:v>计算资源释放与缓存清理</x:v>
      </x:c>
      <x:c r="E755" s="30" t="str">
        <x:v>可候选；Agent决定是否创建/执行</x:v>
      </x:c>
      <x:c r="F755" s="30" t="str">
        <x:v>基线：依实际装配启用</x:v>
      </x:c>
    </x:row>
    <x:row r="756" ht="40" customHeight="1">
      <x:c r="A756" s="30" t="str">
        <x:v>SC09</x:v>
      </x:c>
      <x:c r="B756" s="30" t="str">
        <x:v>火山灰/喷发后影响区</x:v>
      </x:c>
      <x:c r="C756" s="30" t="str">
        <x:v>T069</x:v>
      </x:c>
      <x:c r="D756" s="30" t="str">
        <x:v>跨源时间坐标对齐</x:v>
      </x:c>
      <x:c r="E756" s="30" t="str">
        <x:v>可候选；Agent决定是否创建/执行</x:v>
      </x:c>
      <x:c r="F756" s="30" t="str">
        <x:v>基线：依实际装配启用</x:v>
      </x:c>
    </x:row>
    <x:row r="757" ht="40" customHeight="1">
      <x:c r="A757" s="30" t="str">
        <x:v>SC09</x:v>
      </x:c>
      <x:c r="B757" s="30" t="str">
        <x:v>火山灰/喷发后影响区</x:v>
      </x:c>
      <x:c r="C757" s="30" t="str">
        <x:v>T070</x:v>
      </x:c>
      <x:c r="D757" s="30" t="str">
        <x:v>任务条件化本地历史检索</x:v>
      </x:c>
      <x:c r="E757" s="30" t="str">
        <x:v>可候选；Agent决定是否创建/执行</x:v>
      </x:c>
      <x:c r="F757" s="30" t="str">
        <x:v>基线：依实际装配启用</x:v>
      </x:c>
    </x:row>
    <x:row r="758" ht="40" customHeight="1">
      <x:c r="A758" s="30" t="str">
        <x:v>SC09</x:v>
      </x:c>
      <x:c r="B758" s="30" t="str">
        <x:v>火山灰/喷发后影响区</x:v>
      </x:c>
      <x:c r="C758" s="30" t="str">
        <x:v>T071</x:v>
      </x:c>
      <x:c r="D758" s="30" t="str">
        <x:v>图像裁剪/编码/证据打包</x:v>
      </x:c>
      <x:c r="E758" s="30" t="str">
        <x:v>可候选；Agent决定是否创建/执行</x:v>
      </x:c>
      <x:c r="F758" s="30" t="str">
        <x:v>基线：依实际装配启用</x:v>
      </x:c>
    </x:row>
    <x:row r="759" ht="40" customHeight="1">
      <x:c r="A759" s="30" t="str">
        <x:v>SC09</x:v>
      </x:c>
      <x:c r="B759" s="30" t="str">
        <x:v>火山灰/喷发后影响区</x:v>
      </x:c>
      <x:c r="C759" s="30" t="str">
        <x:v>T072</x:v>
      </x:c>
      <x:c r="D759" s="30" t="str">
        <x:v>置信度与证据充分性判断</x:v>
      </x:c>
      <x:c r="E759" s="30" t="str">
        <x:v>可候选；Agent决定是否创建/执行</x:v>
      </x:c>
      <x:c r="F759" s="30" t="str">
        <x:v>基线：依实际装配启用</x:v>
      </x:c>
    </x:row>
    <x:row r="760" ht="40" customHeight="1">
      <x:c r="A760" s="30" t="str">
        <x:v>SC09</x:v>
      </x:c>
      <x:c r="B760" s="30" t="str">
        <x:v>火山灰/喷发后影响区</x:v>
      </x:c>
      <x:c r="C760" s="30" t="str">
        <x:v>T073</x:v>
      </x:c>
      <x:c r="D760" s="30" t="str">
        <x:v>多源融合与冲突更正</x:v>
      </x:c>
      <x:c r="E760" s="30" t="str">
        <x:v>可候选；Agent决定是否创建/执行</x:v>
      </x:c>
      <x:c r="F760" s="30" t="str">
        <x:v>基线：依实际装配启用</x:v>
      </x:c>
    </x:row>
    <x:row r="761" ht="40" customHeight="1">
      <x:c r="A761" s="30" t="str">
        <x:v>SC09</x:v>
      </x:c>
      <x:c r="B761" s="30" t="str">
        <x:v>火山灰/喷发后影响区</x:v>
      </x:c>
      <x:c r="C761" s="30" t="str">
        <x:v>T074</x:v>
      </x:c>
      <x:c r="D761" s="30" t="str">
        <x:v>面向任务的信息选择与共享</x:v>
      </x:c>
      <x:c r="E761" s="30" t="str">
        <x:v>可候选；Agent决定是否创建/执行</x:v>
      </x:c>
      <x:c r="F761" s="30" t="str">
        <x:v>基线：依实际装配启用</x:v>
      </x:c>
    </x:row>
    <x:row r="762" ht="40" customHeight="1">
      <x:c r="A762" s="30" t="str">
        <x:v>SC09</x:v>
      </x:c>
      <x:c r="B762" s="30" t="str">
        <x:v>火山灰/喷发后影响区</x:v>
      </x:c>
      <x:c r="C762" s="30" t="str">
        <x:v>T075</x:v>
      </x:c>
      <x:c r="D762" s="30" t="str">
        <x:v>局部信念与过时信息维护</x:v>
      </x:c>
      <x:c r="E762" s="30" t="str">
        <x:v>可候选；Agent决定是否创建/执行</x:v>
      </x:c>
      <x:c r="F762" s="30" t="str">
        <x:v>基线：依实际装配启用</x:v>
      </x:c>
    </x:row>
    <x:row r="763" ht="40" customHeight="1">
      <x:c r="A763" s="30" t="str">
        <x:v>SC09</x:v>
      </x:c>
      <x:c r="B763" s="30" t="str">
        <x:v>火山灰/喷发后影响区</x:v>
      </x:c>
      <x:c r="C763" s="30" t="str">
        <x:v>T076</x:v>
      </x:c>
      <x:c r="D763" s="30" t="str">
        <x:v>轨迹/证据归档与回放</x:v>
      </x:c>
      <x:c r="E763" s="30" t="str">
        <x:v>可候选；Agent决定是否创建/执行</x:v>
      </x:c>
      <x:c r="F763" s="30" t="str">
        <x:v>基线：依实际装配启用</x:v>
      </x:c>
    </x:row>
    <x:row r="764" ht="40" customHeight="1">
      <x:c r="A764" s="30" t="str">
        <x:v>SC09</x:v>
      </x:c>
      <x:c r="B764" s="30" t="str">
        <x:v>火山灰/喷发后影响区</x:v>
      </x:c>
      <x:c r="C764" s="30" t="str">
        <x:v>T077</x:v>
      </x:c>
      <x:c r="D764" s="30" t="str">
        <x:v>接收并解释当前使命</x:v>
      </x:c>
      <x:c r="E764" s="30" t="str">
        <x:v>可候选；Agent决定是否创建/执行</x:v>
      </x:c>
      <x:c r="F764" s="30" t="str">
        <x:v>基线：依实际装配启用</x:v>
      </x:c>
    </x:row>
    <x:row r="765" ht="40" customHeight="1">
      <x:c r="A765" s="30" t="str">
        <x:v>SC09</x:v>
      </x:c>
      <x:c r="B765" s="30" t="str">
        <x:v>火山灰/喷发后影响区</x:v>
      </x:c>
      <x:c r="C765" s="30" t="str">
        <x:v>T078</x:v>
      </x:c>
      <x:c r="D765" s="30" t="str">
        <x:v>自主任务分解与候选生成</x:v>
      </x:c>
      <x:c r="E765" s="30" t="str">
        <x:v>可候选；Agent决定是否创建/执行</x:v>
      </x:c>
      <x:c r="F765" s="30" t="str">
        <x:v>基线：依实际装配启用</x:v>
      </x:c>
    </x:row>
    <x:row r="766" ht="40" customHeight="1">
      <x:c r="A766" s="30" t="str">
        <x:v>SC09</x:v>
      </x:c>
      <x:c r="B766" s="30" t="str">
        <x:v>火山灰/喷发后影响区</x:v>
      </x:c>
      <x:c r="C766" s="30" t="str">
        <x:v>T079</x:v>
      </x:c>
      <x:c r="D766" s="30" t="str">
        <x:v>本机参与筛选与出价</x:v>
      </x:c>
      <x:c r="E766" s="30" t="str">
        <x:v>可候选；Agent决定是否创建/执行</x:v>
      </x:c>
      <x:c r="F766" s="30" t="str">
        <x:v>基线：依实际装配启用</x:v>
      </x:c>
    </x:row>
    <x:row r="767" ht="40" customHeight="1">
      <x:c r="A767" s="30" t="str">
        <x:v>SC09</x:v>
      </x:c>
      <x:c r="B767" s="30" t="str">
        <x:v>火山灰/喷发后影响区</x:v>
      </x:c>
      <x:c r="C767" s="30" t="str">
        <x:v>T080</x:v>
      </x:c>
      <x:c r="D767" s="30" t="str">
        <x:v>多平台任务分配与协调</x:v>
      </x:c>
      <x:c r="E767" s="30" t="str">
        <x:v>可候选；Agent决定是否创建/执行</x:v>
      </x:c>
      <x:c r="F767" s="30" t="str">
        <x:v>基线：依实际装配启用</x:v>
      </x:c>
    </x:row>
    <x:row r="768" ht="40" customHeight="1">
      <x:c r="A768" s="30" t="str">
        <x:v>SC09</x:v>
      </x:c>
      <x:c r="B768" s="30" t="str">
        <x:v>火山灰/喷发后影响区</x:v>
      </x:c>
      <x:c r="C768" s="30" t="str">
        <x:v>T081</x:v>
      </x:c>
      <x:c r="D768" s="30" t="str">
        <x:v>任务接受/拒绝与承诺</x:v>
      </x:c>
      <x:c r="E768" s="30" t="str">
        <x:v>可候选；Agent决定是否创建/执行</x:v>
      </x:c>
      <x:c r="F768" s="30" t="str">
        <x:v>基线：依实际装配启用</x:v>
      </x:c>
    </x:row>
    <x:row r="769" ht="40" customHeight="1">
      <x:c r="A769" s="30" t="str">
        <x:v>SC09</x:v>
      </x:c>
      <x:c r="B769" s="30" t="str">
        <x:v>火山灰/喷发后影响区</x:v>
      </x:c>
      <x:c r="C769" s="30" t="str">
        <x:v>T082</x:v>
      </x:c>
      <x:c r="D769" s="30" t="str">
        <x:v>进度监控与完成确认</x:v>
      </x:c>
      <x:c r="E769" s="30" t="str">
        <x:v>可候选；Agent决定是否创建/执行</x:v>
      </x:c>
      <x:c r="F769" s="30" t="str">
        <x:v>基线：依实际装配启用</x:v>
      </x:c>
    </x:row>
    <x:row r="770" ht="40" customHeight="1">
      <x:c r="A770" s="30" t="str">
        <x:v>SC09</x:v>
      </x:c>
      <x:c r="B770" s="30" t="str">
        <x:v>火山灰/喷发后影响区</x:v>
      </x:c>
      <x:c r="C770" s="30" t="str">
        <x:v>T083</x:v>
      </x:c>
      <x:c r="D770" s="30" t="str">
        <x:v>任务取消/抢占</x:v>
      </x:c>
      <x:c r="E770" s="30" t="str">
        <x:v>可候选；Agent决定是否创建/执行</x:v>
      </x:c>
      <x:c r="F770" s="30" t="str">
        <x:v>基线：依实际装配启用</x:v>
      </x:c>
    </x:row>
    <x:row r="771" ht="40" customHeight="1">
      <x:c r="A771" s="30" t="str">
        <x:v>SC09</x:v>
      </x:c>
      <x:c r="B771" s="30" t="str">
        <x:v>火山灰/喷发后影响区</x:v>
      </x:c>
      <x:c r="C771" s="30" t="str">
        <x:v>T084</x:v>
      </x:c>
      <x:c r="D771" s="30" t="str">
        <x:v>恢复原任务</x:v>
      </x:c>
      <x:c r="E771" s="30" t="str">
        <x:v>可候选；Agent决定是否创建/执行</x:v>
      </x:c>
      <x:c r="F771" s="30" t="str">
        <x:v>基线：依实际装配启用</x:v>
      </x:c>
    </x:row>
    <x:row r="772" ht="40" customHeight="1">
      <x:c r="A772" s="30" t="str">
        <x:v>SC09</x:v>
      </x:c>
      <x:c r="B772" s="30" t="str">
        <x:v>火山灰/喷发后影响区</x:v>
      </x:c>
      <x:c r="C772" s="30" t="str">
        <x:v>T085</x:v>
      </x:c>
      <x:c r="D772" s="30" t="str">
        <x:v>跨Agent任务与证据交接</x:v>
      </x:c>
      <x:c r="E772" s="30" t="str">
        <x:v>可候选；Agent决定是否创建/执行</x:v>
      </x:c>
      <x:c r="F772" s="30" t="str">
        <x:v>基线：依实际装配启用</x:v>
      </x:c>
    </x:row>
    <x:row r="773" ht="40" customHeight="1">
      <x:c r="A773" s="30" t="str">
        <x:v>SC09</x:v>
      </x:c>
      <x:c r="B773" s="30" t="str">
        <x:v>火山灰/喷发后影响区</x:v>
      </x:c>
      <x:c r="C773" s="30" t="str">
        <x:v>T086</x:v>
      </x:c>
      <x:c r="D773" s="30" t="str">
        <x:v>失败重规划与重派</x:v>
      </x:c>
      <x:c r="E773" s="30" t="str">
        <x:v>可候选；Agent决定是否创建/执行</x:v>
      </x:c>
      <x:c r="F773" s="30" t="str">
        <x:v>基线：依实际装配启用</x:v>
      </x:c>
    </x:row>
    <x:row r="774" ht="40" customHeight="1">
      <x:c r="A774" s="30" t="str">
        <x:v>SC09</x:v>
      </x:c>
      <x:c r="B774" s="30" t="str">
        <x:v>火山灰/喷发后影响区</x:v>
      </x:c>
      <x:c r="C774" s="30" t="str">
        <x:v>T087</x:v>
      </x:c>
      <x:c r="D774" s="30" t="str">
        <x:v>请求专业救援/工程力量</x:v>
      </x:c>
      <x:c r="E774" s="30" t="str">
        <x:v>可候选；Agent决定是否创建/执行</x:v>
      </x:c>
      <x:c r="F774" s="30" t="str">
        <x:v>基线：依实际装配启用</x:v>
      </x:c>
    </x:row>
    <x:row r="775" ht="40" customHeight="1">
      <x:c r="A775" s="30" t="str">
        <x:v>SC09</x:v>
      </x:c>
      <x:c r="B775" s="30" t="str">
        <x:v>火山灰/喷发后影响区</x:v>
      </x:c>
      <x:c r="C775" s="30" t="str">
        <x:v>T088</x:v>
      </x:c>
      <x:c r="D775" s="30" t="str">
        <x:v>工作现场闭合与阶段移交</x:v>
      </x:c>
      <x:c r="E775" s="30" t="str">
        <x:v>可候选；Agent决定是否创建/执行</x:v>
      </x:c>
      <x:c r="F775" s="30" t="str">
        <x:v>基线：依实际装配启用</x:v>
      </x:c>
    </x:row>
    <x:row r="776" ht="40" customHeight="1">
      <x:c r="A776" s="30" t="str">
        <x:v>SC09</x:v>
      </x:c>
      <x:c r="B776" s="30" t="str">
        <x:v>火山灰/喷发后影响区</x:v>
      </x:c>
      <x:c r="C776" s="30" t="str">
        <x:v>T089</x:v>
      </x:c>
      <x:c r="D776" s="30" t="str">
        <x:v>次生危险动态监视</x:v>
      </x:c>
      <x:c r="E776" s="30" t="str">
        <x:v>可候选；Agent决定是否创建/执行</x:v>
      </x:c>
      <x:c r="F776" s="30" t="str">
        <x:v>基线：依实际装配启用</x:v>
      </x:c>
    </x:row>
    <x:row r="777" ht="40" customHeight="1">
      <x:c r="A777" s="30" t="str">
        <x:v>SC09</x:v>
      </x:c>
      <x:c r="B777" s="30" t="str">
        <x:v>火山灰/喷发后影响区</x:v>
      </x:c>
      <x:c r="C777" s="30" t="str">
        <x:v>T090</x:v>
      </x:c>
      <x:c r="D777" s="30" t="str">
        <x:v>平台/能源/服务健康监视</x:v>
      </x:c>
      <x:c r="E777" s="30" t="str">
        <x:v>可候选；Agent决定是否创建/执行</x:v>
      </x:c>
      <x:c r="F777" s="30" t="str">
        <x:v>基线：依实际装配启用</x:v>
      </x:c>
    </x:row>
    <x:row r="778" ht="40" customHeight="1">
      <x:c r="A778" s="30" t="str">
        <x:v>SC09</x:v>
      </x:c>
      <x:c r="B778" s="30" t="str">
        <x:v>火山灰/喷发后影响区</x:v>
      </x:c>
      <x:c r="C778" s="30" t="str">
        <x:v>T091</x:v>
      </x:c>
      <x:c r="D778" s="30" t="str">
        <x:v>安全等待与驻留观察</x:v>
      </x:c>
      <x:c r="E778" s="30" t="str">
        <x:v>可候选；Agent决定是否创建/执行</x:v>
      </x:c>
      <x:c r="F778" s="30" t="str">
        <x:v>基线：依实际装配启用</x:v>
      </x:c>
    </x:row>
    <x:row r="779" ht="40" customHeight="1">
      <x:c r="A779" s="30" t="str">
        <x:v>SC09</x:v>
      </x:c>
      <x:c r="B779" s="30" t="str">
        <x:v>火山灰/喷发后影响区</x:v>
      </x:c>
      <x:c r="C779" s="30" t="str">
        <x:v>T092</x:v>
      </x:c>
      <x:c r="D779" s="30" t="str">
        <x:v>设备/传感器/服务故障诊断</x:v>
      </x:c>
      <x:c r="E779" s="30" t="str">
        <x:v>可候选；Agent决定是否创建/执行</x:v>
      </x:c>
      <x:c r="F779" s="30" t="str">
        <x:v>基线：依实际装配启用</x:v>
      </x:c>
    </x:row>
    <x:row r="780" ht="40" customHeight="1">
      <x:c r="A780" s="30" t="str">
        <x:v>SC09</x:v>
      </x:c>
      <x:c r="B780" s="30" t="str">
        <x:v>火山灰/喷发后影响区</x:v>
      </x:c>
      <x:c r="C780" s="30" t="str">
        <x:v>T095</x:v>
      </x:c>
      <x:c r="D780" s="30" t="str">
        <x:v>危险源隔离/警戒区建立</x:v>
      </x:c>
      <x:c r="E780" s="30" t="str">
        <x:v>可候选；Agent决定是否创建/执行</x:v>
      </x:c>
      <x:c r="F780" s="30" t="str">
        <x:v>条件扩展：明确设备/专业服务后启用</x:v>
      </x:c>
    </x:row>
    <x:row r="781" ht="40" customHeight="1">
      <x:c r="A781" s="30" t="str">
        <x:v>SC09</x:v>
      </x:c>
      <x:c r="B781" s="30" t="str">
        <x:v>火山灰/喷发后影响区</x:v>
      </x:c>
      <x:c r="C781" s="30" t="str">
        <x:v>T096</x:v>
      </x:c>
      <x:c r="D781" s="30" t="str">
        <x:v>跨模型特征/潜表示适配</x:v>
      </x:c>
      <x:c r="E781" s="30" t="str">
        <x:v>可候选；Agent决定是否创建/执行</x:v>
      </x:c>
      <x:c r="F781" s="30" t="str">
        <x:v>条件扩展：明确设备/专业服务后启用</x:v>
      </x:c>
    </x:row>
    <x:row r="782" ht="40" customHeight="1">
      <x:c r="A782" s="30" t="str">
        <x:v>SC10</x:v>
      </x:c>
      <x:c r="B782" s="30" t="str">
        <x:v>山地林区/郊野失踪搜索</x:v>
      </x:c>
      <x:c r="C782" s="30" t="str">
        <x:v>T001</x:v>
      </x:c>
      <x:c r="D782" s="30" t="str">
        <x:v>区域快速普查</x:v>
      </x:c>
      <x:c r="E782" s="30" t="str">
        <x:v>可候选；Agent决定是否创建/执行</x:v>
      </x:c>
      <x:c r="F782" s="30" t="str">
        <x:v>基线：依实际装配启用</x:v>
      </x:c>
    </x:row>
    <x:row r="783" ht="40" customHeight="1">
      <x:c r="A783" s="30" t="str">
        <x:v>SC10</x:v>
      </x:c>
      <x:c r="B783" s="30" t="str">
        <x:v>山地林区/郊野失踪搜索</x:v>
      </x:c>
      <x:c r="C783" s="30" t="str">
        <x:v>T003</x:v>
      </x:c>
      <x:c r="D783" s="30" t="str">
        <x:v>道路与通路灾后评估</x:v>
      </x:c>
      <x:c r="E783" s="30" t="str">
        <x:v>可候选；Agent决定是否创建/执行</x:v>
      </x:c>
      <x:c r="F783" s="30" t="str">
        <x:v>基线：依实际装配启用</x:v>
      </x:c>
    </x:row>
    <x:row r="784" ht="40" customHeight="1">
      <x:c r="A784" s="30" t="str">
        <x:v>SC10</x:v>
      </x:c>
      <x:c r="B784" s="30" t="str">
        <x:v>山地林区/郊野失踪搜索</x:v>
      </x:c>
      <x:c r="C784" s="30" t="str">
        <x:v>T008</x:v>
      </x:c>
      <x:c r="D784" s="30" t="str">
        <x:v>建筑/区域覆盖登记</x:v>
      </x:c>
      <x:c r="E784" s="30" t="str">
        <x:v>可候选；Agent决定是否创建/执行</x:v>
      </x:c>
      <x:c r="F784" s="30" t="str">
        <x:v>基线：依实际装配启用</x:v>
      </x:c>
    </x:row>
    <x:row r="785" ht="40" customHeight="1">
      <x:c r="A785" s="30" t="str">
        <x:v>SC10</x:v>
      </x:c>
      <x:c r="B785" s="30" t="str">
        <x:v>山地林区/郊野失踪搜索</x:v>
      </x:c>
      <x:c r="C785" s="30" t="str">
        <x:v>T009</x:v>
      </x:c>
      <x:c r="D785" s="30" t="str">
        <x:v>系统空中人员搜索</x:v>
      </x:c>
      <x:c r="E785" s="30" t="str">
        <x:v>可候选；Agent决定是否创建/执行</x:v>
      </x:c>
      <x:c r="F785" s="30" t="str">
        <x:v>基线：依实际装配启用</x:v>
      </x:c>
    </x:row>
    <x:row r="786" ht="40" customHeight="1">
      <x:c r="A786" s="30" t="str">
        <x:v>SC10</x:v>
      </x:c>
      <x:c r="B786" s="30" t="str">
        <x:v>山地林区/郊野失踪搜索</x:v>
      </x:c>
      <x:c r="C786" s="30" t="str">
        <x:v>T010</x:v>
      </x:c>
      <x:c r="D786" s="30" t="str">
        <x:v>线索发现与语义解读</x:v>
      </x:c>
      <x:c r="E786" s="30" t="str">
        <x:v>可候选；Agent决定是否创建/执行</x:v>
      </x:c>
      <x:c r="F786" s="30" t="str">
        <x:v>基线：依实际装配启用</x:v>
      </x:c>
    </x:row>
    <x:row r="787" ht="40" customHeight="1">
      <x:c r="A787" s="30" t="str">
        <x:v>SC10</x:v>
      </x:c>
      <x:c r="B787" s="30" t="str">
        <x:v>山地林区/郊野失踪搜索</x:v>
      </x:c>
      <x:c r="C787" s="30" t="str">
        <x:v>T011</x:v>
      </x:c>
      <x:c r="D787" s="30" t="str">
        <x:v>疑似目标多视角复核</x:v>
      </x:c>
      <x:c r="E787" s="30" t="str">
        <x:v>可候选；Agent决定是否创建/执行</x:v>
      </x:c>
      <x:c r="F787" s="30" t="str">
        <x:v>基线：依实际装配启用</x:v>
      </x:c>
    </x:row>
    <x:row r="788" ht="40" customHeight="1">
      <x:c r="A788" s="30" t="str">
        <x:v>SC10</x:v>
      </x:c>
      <x:c r="B788" s="30" t="str">
        <x:v>山地林区/郊野失踪搜索</x:v>
      </x:c>
      <x:c r="C788" s="30" t="str">
        <x:v>T012</x:v>
      </x:c>
      <x:c r="D788" s="30" t="str">
        <x:v>目标定位跟踪与跨视角关联</x:v>
      </x:c>
      <x:c r="E788" s="30" t="str">
        <x:v>可候选；Agent决定是否创建/执行</x:v>
      </x:c>
      <x:c r="F788" s="30" t="str">
        <x:v>基线：依实际装配启用</x:v>
      </x:c>
    </x:row>
    <x:row r="789" ht="40" customHeight="1">
      <x:c r="A789" s="30" t="str">
        <x:v>SC10</x:v>
      </x:c>
      <x:c r="B789" s="30" t="str">
        <x:v>山地林区/郊野失踪搜索</x:v>
      </x:c>
      <x:c r="C789" s="30" t="str">
        <x:v>T013</x:v>
      </x:c>
      <x:c r="D789" s="30" t="str">
        <x:v>近地外部与狭窄区搜索</x:v>
      </x:c>
      <x:c r="E789" s="30" t="str">
        <x:v>可候选；Agent决定是否创建/执行</x:v>
      </x:c>
      <x:c r="F789" s="30" t="str">
        <x:v>基线：依实际装配启用</x:v>
      </x:c>
    </x:row>
    <x:row r="790" ht="40" customHeight="1">
      <x:c r="A790" s="30" t="str">
        <x:v>SC10</x:v>
      </x:c>
      <x:c r="B790" s="30" t="str">
        <x:v>山地林区/郊野失踪搜索</x:v>
      </x:c>
      <x:c r="C790" s="30" t="str">
        <x:v>T016</x:v>
      </x:c>
      <x:c r="D790" s="30" t="str">
        <x:v>热成像补充搜索</x:v>
      </x:c>
      <x:c r="E790" s="30" t="str">
        <x:v>可候选；Agent决定是否创建/执行</x:v>
      </x:c>
      <x:c r="F790" s="30" t="str">
        <x:v>条件扩展：明确设备/专业服务后启用</x:v>
      </x:c>
    </x:row>
    <x:row r="791" ht="40" customHeight="1">
      <x:c r="A791" s="30" t="str">
        <x:v>SC10</x:v>
      </x:c>
      <x:c r="B791" s="30" t="str">
        <x:v>山地林区/郊野失踪搜索</x:v>
      </x:c>
      <x:c r="C791" s="30" t="str">
        <x:v>T017</x:v>
      </x:c>
      <x:c r="D791" s="30" t="str">
        <x:v>声音线索搜索</x:v>
      </x:c>
      <x:c r="E791" s="30" t="str">
        <x:v>可候选；Agent决定是否创建/执行</x:v>
      </x:c>
      <x:c r="F791" s="30" t="str">
        <x:v>条件扩展：明确设备/专业服务后启用</x:v>
      </x:c>
    </x:row>
    <x:row r="792" ht="40" customHeight="1">
      <x:c r="A792" s="30" t="str">
        <x:v>SC10</x:v>
      </x:c>
      <x:c r="B792" s="30" t="str">
        <x:v>山地林区/郊野失踪搜索</x:v>
      </x:c>
      <x:c r="C792" s="30" t="str">
        <x:v>T018</x:v>
      </x:c>
      <x:c r="D792" s="30" t="str">
        <x:v>RF/手机线索搜索</x:v>
      </x:c>
      <x:c r="E792" s="30" t="str">
        <x:v>可候选；Agent决定是否创建/执行</x:v>
      </x:c>
      <x:c r="F792" s="30" t="str">
        <x:v>条件扩展：明确设备/专业服务后启用</x:v>
      </x:c>
    </x:row>
    <x:row r="793" ht="40" customHeight="1">
      <x:c r="A793" s="30" t="str">
        <x:v>SC10</x:v>
      </x:c>
      <x:c r="B793" s="30" t="str">
        <x:v>山地林区/郊野失踪搜索</x:v>
      </x:c>
      <x:c r="C793" s="30" t="str">
        <x:v>T019</x:v>
      </x:c>
      <x:c r="D793" s="30" t="str">
        <x:v>空中转场与观察点到达</x:v>
      </x:c>
      <x:c r="E793" s="30" t="str">
        <x:v>可候选；Agent决定是否创建/执行</x:v>
      </x:c>
      <x:c r="F793" s="30" t="str">
        <x:v>基线：依实际装配启用</x:v>
      </x:c>
    </x:row>
    <x:row r="794" ht="40" customHeight="1">
      <x:c r="A794" s="30" t="str">
        <x:v>SC10</x:v>
      </x:c>
      <x:c r="B794" s="30" t="str">
        <x:v>山地林区/郊野失踪搜索</x:v>
      </x:c>
      <x:c r="C794" s="30" t="str">
        <x:v>T020</x:v>
      </x:c>
      <x:c r="D794" s="30" t="str">
        <x:v>地面转场与绕行</x:v>
      </x:c>
      <x:c r="E794" s="30" t="str">
        <x:v>可候选；Agent决定是否创建/执行</x:v>
      </x:c>
      <x:c r="F794" s="30" t="str">
        <x:v>基线：依实际装配启用</x:v>
      </x:c>
    </x:row>
    <x:row r="795" ht="40" customHeight="1">
      <x:c r="A795" s="30" t="str">
        <x:v>SC10</x:v>
      </x:c>
      <x:c r="B795" s="30" t="str">
        <x:v>山地林区/郊野失踪搜索</x:v>
      </x:c>
      <x:c r="C795" s="30" t="str">
        <x:v>T021</x:v>
      </x:c>
      <x:c r="D795" s="30" t="str">
        <x:v>障碍接近探测与路径验证</x:v>
      </x:c>
      <x:c r="E795" s="30" t="str">
        <x:v>可候选；Agent决定是否创建/执行</x:v>
      </x:c>
      <x:c r="F795" s="30" t="str">
        <x:v>基线：依实际装配启用</x:v>
      </x:c>
    </x:row>
    <x:row r="796" ht="40" customHeight="1">
      <x:c r="A796" s="30" t="str">
        <x:v>SC10</x:v>
      </x:c>
      <x:c r="B796" s="30" t="str">
        <x:v>山地林区/郊野失踪搜索</x:v>
      </x:c>
      <x:c r="C796" s="30" t="str">
        <x:v>T022</x:v>
      </x:c>
      <x:c r="D796" s="30" t="str">
        <x:v>轻型残骸移除</x:v>
      </x:c>
      <x:c r="E796" s="30" t="str">
        <x:v>可候选；Agent决定是否创建/执行</x:v>
      </x:c>
      <x:c r="F796" s="30" t="str">
        <x:v>条件扩展：明确设备/专业服务后启用</x:v>
      </x:c>
    </x:row>
    <x:row r="797" ht="40" customHeight="1">
      <x:c r="A797" s="30" t="str">
        <x:v>SC10</x:v>
      </x:c>
      <x:c r="B797" s="30" t="str">
        <x:v>山地林区/郊野失踪搜索</x:v>
      </x:c>
      <x:c r="C797" s="30" t="str">
        <x:v>T027</x:v>
      </x:c>
      <x:c r="D797" s="30" t="str">
        <x:v>建立联系并确认需求</x:v>
      </x:c>
      <x:c r="E797" s="30" t="str">
        <x:v>可候选；Agent决定是否创建/执行</x:v>
      </x:c>
      <x:c r="F797" s="30" t="str">
        <x:v>基线：依实际装配启用</x:v>
      </x:c>
    </x:row>
    <x:row r="798" ht="40" customHeight="1">
      <x:c r="A798" s="30" t="str">
        <x:v>SC10</x:v>
      </x:c>
      <x:c r="B798" s="30" t="str">
        <x:v>山地林区/郊野失踪搜索</x:v>
      </x:c>
      <x:c r="C798" s="30" t="str">
        <x:v>T028</x:v>
      </x:c>
      <x:c r="D798" s="30" t="str">
        <x:v>安全警示与避险引导</x:v>
      </x:c>
      <x:c r="E798" s="30" t="str">
        <x:v>可候选；Agent决定是否创建/执行</x:v>
      </x:c>
      <x:c r="F798" s="30" t="str">
        <x:v>基线：依实际装配启用</x:v>
      </x:c>
    </x:row>
    <x:row r="799" ht="40" customHeight="1">
      <x:c r="A799" s="30" t="str">
        <x:v>SC10</x:v>
      </x:c>
      <x:c r="B799" s="30" t="str">
        <x:v>山地林区/郊野失踪搜索</x:v>
      </x:c>
      <x:c r="C799" s="30" t="str">
        <x:v>T029</x:v>
      </x:c>
      <x:c r="D799" s="30" t="str">
        <x:v>专业伤员评估与分级</x:v>
      </x:c>
      <x:c r="E799" s="30" t="str">
        <x:v>可候选；Agent决定是否创建/执行</x:v>
      </x:c>
      <x:c r="F799" s="30" t="str">
        <x:v>条件扩展：明确设备/专业服务后启用</x:v>
      </x:c>
    </x:row>
    <x:row r="800" ht="40" customHeight="1">
      <x:c r="A800" s="30" t="str">
        <x:v>SC10</x:v>
      </x:c>
      <x:c r="B800" s="30" t="str">
        <x:v>山地林区/郊野失踪搜索</x:v>
      </x:c>
      <x:c r="C800" s="30" t="str">
        <x:v>T030</x:v>
      </x:c>
      <x:c r="D800" s="30" t="str">
        <x:v>人员基础物资支援</x:v>
      </x:c>
      <x:c r="E800" s="30" t="str">
        <x:v>可候选；Agent决定是否创建/执行</x:v>
      </x:c>
      <x:c r="F800" s="30" t="str">
        <x:v>基线：依实际装配启用</x:v>
      </x:c>
    </x:row>
    <x:row r="801" ht="40" customHeight="1">
      <x:c r="A801" s="30" t="str">
        <x:v>SC10</x:v>
      </x:c>
      <x:c r="B801" s="30" t="str">
        <x:v>山地林区/郊野失踪搜索</x:v>
      </x:c>
      <x:c r="C801" s="30" t="str">
        <x:v>T031</x:v>
      </x:c>
      <x:c r="D801" s="30" t="str">
        <x:v>专业初步救护</x:v>
      </x:c>
      <x:c r="E801" s="30" t="str">
        <x:v>可候选；Agent决定是否创建/执行</x:v>
      </x:c>
      <x:c r="F801" s="30" t="str">
        <x:v>条件扩展：明确设备/专业服务后启用</x:v>
      </x:c>
    </x:row>
    <x:row r="802" ht="40" customHeight="1">
      <x:c r="A802" s="30" t="str">
        <x:v>SC10</x:v>
      </x:c>
      <x:c r="B802" s="30" t="str">
        <x:v>山地林区/郊野失踪搜索</x:v>
      </x:c>
      <x:c r="C802" s="30" t="str">
        <x:v>T032</x:v>
      </x:c>
      <x:c r="D802" s="30" t="str">
        <x:v>受困解除/解困</x:v>
      </x:c>
      <x:c r="E802" s="30" t="str">
        <x:v>可候选；Agent决定是否创建/执行</x:v>
      </x:c>
      <x:c r="F802" s="30" t="str">
        <x:v>条件扩展：明确设备/专业服务后启用</x:v>
      </x:c>
    </x:row>
    <x:row r="803" ht="40" customHeight="1">
      <x:c r="A803" s="30" t="str">
        <x:v>SC10</x:v>
      </x:c>
      <x:c r="B803" s="30" t="str">
        <x:v>山地林区/郊野失踪搜索</x:v>
      </x:c>
      <x:c r="C803" s="30" t="str">
        <x:v>T033</x:v>
      </x:c>
      <x:c r="D803" s="30" t="str">
        <x:v>人员装载</x:v>
      </x:c>
      <x:c r="E803" s="30" t="str">
        <x:v>可候选；Agent决定是否创建/执行</x:v>
      </x:c>
      <x:c r="F803" s="30" t="str">
        <x:v>条件扩展：明确设备/专业服务后启用</x:v>
      </x:c>
    </x:row>
    <x:row r="804" ht="40" customHeight="1">
      <x:c r="A804" s="30" t="str">
        <x:v>SC10</x:v>
      </x:c>
      <x:c r="B804" s="30" t="str">
        <x:v>山地林区/郊野失踪搜索</x:v>
      </x:c>
      <x:c r="C804" s="30" t="str">
        <x:v>T034</x:v>
      </x:c>
      <x:c r="D804" s="30" t="str">
        <x:v>人员转运</x:v>
      </x:c>
      <x:c r="E804" s="30" t="str">
        <x:v>可候选；Agent决定是否创建/执行</x:v>
      </x:c>
      <x:c r="F804" s="30" t="str">
        <x:v>条件扩展：明确设备/专业服务后启用</x:v>
      </x:c>
    </x:row>
    <x:row r="805" ht="40" customHeight="1">
      <x:c r="A805" s="30" t="str">
        <x:v>SC10</x:v>
      </x:c>
      <x:c r="B805" s="30" t="str">
        <x:v>山地林区/郊野失踪搜索</x:v>
      </x:c>
      <x:c r="C805" s="30" t="str">
        <x:v>T035</x:v>
      </x:c>
      <x:c r="D805" s="30" t="str">
        <x:v>救援/医疗最终移交</x:v>
      </x:c>
      <x:c r="E805" s="30" t="str">
        <x:v>可候选；Agent决定是否创建/执行</x:v>
      </x:c>
      <x:c r="F805" s="30" t="str">
        <x:v>条件扩展：明确设备/专业服务后启用</x:v>
      </x:c>
    </x:row>
    <x:row r="806" ht="40" customHeight="1">
      <x:c r="A806" s="30" t="str">
        <x:v>SC10</x:v>
      </x:c>
      <x:c r="B806" s="30" t="str">
        <x:v>山地林区/郊野失踪搜索</x:v>
      </x:c>
      <x:c r="C806" s="30" t="str">
        <x:v>T038</x:v>
      </x:c>
      <x:c r="D806" s="30" t="str">
        <x:v>货物取用与挂载</x:v>
      </x:c>
      <x:c r="E806" s="30" t="str">
        <x:v>可候选；Agent决定是否创建/执行</x:v>
      </x:c>
      <x:c r="F806" s="30" t="str">
        <x:v>基线：依实际装配启用</x:v>
      </x:c>
    </x:row>
    <x:row r="807" ht="40" customHeight="1">
      <x:c r="A807" s="30" t="str">
        <x:v>SC10</x:v>
      </x:c>
      <x:c r="B807" s="30" t="str">
        <x:v>山地林区/郊野失踪搜索</x:v>
      </x:c>
      <x:c r="C807" s="30" t="str">
        <x:v>T039</x:v>
      </x:c>
      <x:c r="D807" s="30" t="str">
        <x:v>无人机精确物资投送</x:v>
      </x:c>
      <x:c r="E807" s="30" t="str">
        <x:v>可候选；Agent决定是否创建/执行</x:v>
      </x:c>
      <x:c r="F807" s="30" t="str">
        <x:v>基线：依实际装配启用</x:v>
      </x:c>
    </x:row>
    <x:row r="808" ht="40" customHeight="1">
      <x:c r="A808" s="30" t="str">
        <x:v>SC10</x:v>
      </x:c>
      <x:c r="B808" s="30" t="str">
        <x:v>山地林区/郊野失踪搜索</x:v>
      </x:c>
      <x:c r="C808" s="30" t="str">
        <x:v>T040</x:v>
      </x:c>
      <x:c r="D808" s="30" t="str">
        <x:v>地面物资送达与卸放</x:v>
      </x:c>
      <x:c r="E808" s="30" t="str">
        <x:v>可候选；Agent决定是否创建/执行</x:v>
      </x:c>
      <x:c r="F808" s="30" t="str">
        <x:v>基线：依实际装配启用</x:v>
      </x:c>
    </x:row>
    <x:row r="809" ht="40" customHeight="1">
      <x:c r="A809" s="30" t="str">
        <x:v>SC10</x:v>
      </x:c>
      <x:c r="B809" s="30" t="str">
        <x:v>山地林区/郊野失踪搜索</x:v>
      </x:c>
      <x:c r="C809" s="30" t="str">
        <x:v>T041</x:v>
      </x:c>
      <x:c r="D809" s="30" t="str">
        <x:v>交付复核与收货报告</x:v>
      </x:c>
      <x:c r="E809" s="30" t="str">
        <x:v>可候选；Agent决定是否创建/执行</x:v>
      </x:c>
      <x:c r="F809" s="30" t="str">
        <x:v>基线：依实际装配启用</x:v>
      </x:c>
    </x:row>
    <x:row r="810" ht="40" customHeight="1">
      <x:c r="A810" s="30" t="str">
        <x:v>SC10</x:v>
      </x:c>
      <x:c r="B810" s="30" t="str">
        <x:v>山地林区/郊野失踪搜索</x:v>
      </x:c>
      <x:c r="C810" s="30" t="str">
        <x:v>T042</x:v>
      </x:c>
      <x:c r="D810" s="30" t="str">
        <x:v>物资/器材补给</x:v>
      </x:c>
      <x:c r="E810" s="30" t="str">
        <x:v>可候选；Agent决定是否创建/执行</x:v>
      </x:c>
      <x:c r="F810" s="30" t="str">
        <x:v>基线：依实际装配启用</x:v>
      </x:c>
    </x:row>
    <x:row r="811" ht="40" customHeight="1">
      <x:c r="A811" s="30" t="str">
        <x:v>SC10</x:v>
      </x:c>
      <x:c r="B811" s="30" t="str">
        <x:v>山地林区/郊野失踪搜索</x:v>
      </x:c>
      <x:c r="C811" s="30" t="str">
        <x:v>T043</x:v>
      </x:c>
      <x:c r="D811" s="30" t="str">
        <x:v>平台充电</x:v>
      </x:c>
      <x:c r="E811" s="30" t="str">
        <x:v>可候选；Agent决定是否创建/执行</x:v>
      </x:c>
      <x:c r="F811" s="30" t="str">
        <x:v>基线：依实际装配启用</x:v>
      </x:c>
    </x:row>
    <x:row r="812" ht="40" customHeight="1">
      <x:c r="A812" s="30" t="str">
        <x:v>SC10</x:v>
      </x:c>
      <x:c r="B812" s="30" t="str">
        <x:v>山地林区/郊野失踪搜索</x:v>
      </x:c>
      <x:c r="C812" s="30" t="str">
        <x:v>T044</x:v>
      </x:c>
      <x:c r="D812" s="30" t="str">
        <x:v>平台换电</x:v>
      </x:c>
      <x:c r="E812" s="30" t="str">
        <x:v>可候选；Agent决定是否创建/执行</x:v>
      </x:c>
      <x:c r="F812" s="30" t="str">
        <x:v>基线：依实际装配启用</x:v>
      </x:c>
    </x:row>
    <x:row r="813" ht="40" customHeight="1">
      <x:c r="A813" s="30" t="str">
        <x:v>SC10</x:v>
      </x:c>
      <x:c r="B813" s="30" t="str">
        <x:v>山地林区/郊野失踪搜索</x:v>
      </x:c>
      <x:c r="C813" s="30" t="str">
        <x:v>T045</x:v>
      </x:c>
      <x:c r="D813" s="30" t="str">
        <x:v>返航/返站与安全撤离</x:v>
      </x:c>
      <x:c r="E813" s="30" t="str">
        <x:v>可候选；Agent决定是否创建/执行</x:v>
      </x:c>
      <x:c r="F813" s="30" t="str">
        <x:v>基线：依实际装配启用</x:v>
      </x:c>
    </x:row>
    <x:row r="814" ht="40" customHeight="1">
      <x:c r="A814" s="30" t="str">
        <x:v>SC10</x:v>
      </x:c>
      <x:c r="B814" s="30" t="str">
        <x:v>山地林区/郊野失踪搜索</x:v>
      </x:c>
      <x:c r="C814" s="30" t="str">
        <x:v>T046</x:v>
      </x:c>
      <x:c r="D814" s="30" t="str">
        <x:v>失效平台回收</x:v>
      </x:c>
      <x:c r="E814" s="30" t="str">
        <x:v>可候选；Agent决定是否创建/执行</x:v>
      </x:c>
      <x:c r="F814" s="30" t="str">
        <x:v>条件扩展：明确设备/专业服务后启用</x:v>
      </x:c>
    </x:row>
    <x:row r="815" ht="40" customHeight="1">
      <x:c r="A815" s="30" t="str">
        <x:v>SC10</x:v>
      </x:c>
      <x:c r="B815" s="30" t="str">
        <x:v>山地林区/郊野失踪搜索</x:v>
      </x:c>
      <x:c r="C815" s="30" t="str">
        <x:v>T047</x:v>
      </x:c>
      <x:c r="D815" s="30" t="str">
        <x:v>链路探测与质量估计</x:v>
      </x:c>
      <x:c r="E815" s="30" t="str">
        <x:v>可候选；Agent决定是否创建/执行</x:v>
      </x:c>
      <x:c r="F815" s="30" t="str">
        <x:v>基线：依实际装配启用</x:v>
      </x:c>
    </x:row>
    <x:row r="816" ht="40" customHeight="1">
      <x:c r="A816" s="30" t="str">
        <x:v>SC10</x:v>
      </x:c>
      <x:c r="B816" s="30" t="str">
        <x:v>山地林区/郊野失踪搜索</x:v>
      </x:c>
      <x:c r="C816" s="30" t="str">
        <x:v>T048</x:v>
      </x:c>
      <x:c r="D816" s="30" t="str">
        <x:v>通信会合与重定位</x:v>
      </x:c>
      <x:c r="E816" s="30" t="str">
        <x:v>可候选；Agent决定是否创建/执行</x:v>
      </x:c>
      <x:c r="F816" s="30" t="str">
        <x:v>基线：依实际装配启用</x:v>
      </x:c>
    </x:row>
    <x:row r="817" ht="40" customHeight="1">
      <x:c r="A817" s="30" t="str">
        <x:v>SC10</x:v>
      </x:c>
      <x:c r="B817" s="30" t="str">
        <x:v>山地林区/郊野失踪搜索</x:v>
      </x:c>
      <x:c r="C817" s="30" t="str">
        <x:v>T049</x:v>
      </x:c>
      <x:c r="D817" s="30" t="str">
        <x:v>空中中继保持</x:v>
      </x:c>
      <x:c r="E817" s="30" t="str">
        <x:v>可候选；Agent决定是否创建/执行</x:v>
      </x:c>
      <x:c r="F817" s="30" t="str">
        <x:v>基线：依实际装配启用</x:v>
      </x:c>
    </x:row>
    <x:row r="818" ht="40" customHeight="1">
      <x:c r="A818" s="30" t="str">
        <x:v>SC10</x:v>
      </x:c>
      <x:c r="B818" s="30" t="str">
        <x:v>山地林区/郊野失踪搜索</x:v>
      </x:c>
      <x:c r="C818" s="30" t="str">
        <x:v>T050</x:v>
      </x:c>
      <x:c r="D818" s="30" t="str">
        <x:v>通信节点布放</x:v>
      </x:c>
      <x:c r="E818" s="30" t="str">
        <x:v>可候选；Agent决定是否创建/执行</x:v>
      </x:c>
      <x:c r="F818" s="30" t="str">
        <x:v>条件扩展：明确设备/专业服务后启用</x:v>
      </x:c>
    </x:row>
    <x:row r="819" ht="40" customHeight="1">
      <x:c r="A819" s="30" t="str">
        <x:v>SC10</x:v>
      </x:c>
      <x:c r="B819" s="30" t="str">
        <x:v>山地林区/郊野失踪搜索</x:v>
      </x:c>
      <x:c r="C819" s="30" t="str">
        <x:v>T051</x:v>
      </x:c>
      <x:c r="D819" s="30" t="str">
        <x:v>多跳业务转发</x:v>
      </x:c>
      <x:c r="E819" s="30" t="str">
        <x:v>可候选；Agent决定是否创建/执行</x:v>
      </x:c>
      <x:c r="F819" s="30" t="str">
        <x:v>基线：依实际装配启用</x:v>
      </x:c>
    </x:row>
    <x:row r="820" ht="40" customHeight="1">
      <x:c r="A820" s="30" t="str">
        <x:v>SC10</x:v>
      </x:c>
      <x:c r="B820" s="30" t="str">
        <x:v>山地林区/郊野失踪搜索</x:v>
      </x:c>
      <x:c r="C820" s="30" t="str">
        <x:v>T052</x:v>
      </x:c>
      <x:c r="D820" s="30" t="str">
        <x:v>图像/证据数据上传</x:v>
      </x:c>
      <x:c r="E820" s="30" t="str">
        <x:v>可候选；Agent决定是否创建/执行</x:v>
      </x:c>
      <x:c r="F820" s="30" t="str">
        <x:v>基线：依实际装配启用</x:v>
      </x:c>
    </x:row>
    <x:row r="821" ht="40" customHeight="1">
      <x:c r="A821" s="30" t="str">
        <x:v>SC10</x:v>
      </x:c>
      <x:c r="B821" s="30" t="str">
        <x:v>山地林区/郊野失踪搜索</x:v>
      </x:c>
      <x:c r="C821" s="30" t="str">
        <x:v>T053</x:v>
      </x:c>
      <x:c r="D821" s="30" t="str">
        <x:v>可靠回执与超时重传</x:v>
      </x:c>
      <x:c r="E821" s="30" t="str">
        <x:v>可候选；Agent决定是否创建/执行</x:v>
      </x:c>
      <x:c r="F821" s="30" t="str">
        <x:v>基线：依实际装配启用</x:v>
      </x:c>
    </x:row>
    <x:row r="822" ht="40" customHeight="1">
      <x:c r="A822" s="30" t="str">
        <x:v>SC10</x:v>
      </x:c>
      <x:c r="B822" s="30" t="str">
        <x:v>山地林区/郊野失踪搜索</x:v>
      </x:c>
      <x:c r="C822" s="30" t="str">
        <x:v>T054</x:v>
      </x:c>
      <x:c r="D822" s="30" t="str">
        <x:v>断联存储-携带-转发</x:v>
      </x:c>
      <x:c r="E822" s="30" t="str">
        <x:v>可候选；Agent决定是否创建/执行</x:v>
      </x:c>
      <x:c r="F822" s="30" t="str">
        <x:v>基线：依实际装配启用</x:v>
      </x:c>
    </x:row>
    <x:row r="823" ht="40" customHeight="1">
      <x:c r="A823" s="30" t="str">
        <x:v>SC10</x:v>
      </x:c>
      <x:c r="B823" s="30" t="str">
        <x:v>山地林区/郊野失踪搜索</x:v>
      </x:c>
      <x:c r="C823" s="30" t="str">
        <x:v>T055</x:v>
      </x:c>
      <x:c r="D823" s="30" t="str">
        <x:v>信道/功率/传输优先级调整</x:v>
      </x:c>
      <x:c r="E823" s="30" t="str">
        <x:v>可候选；Agent决定是否创建/执行</x:v>
      </x:c>
      <x:c r="F823" s="30" t="str">
        <x:v>基线：依实际装配启用</x:v>
      </x:c>
    </x:row>
    <x:row r="824" ht="40" customHeight="1">
      <x:c r="A824" s="30" t="str">
        <x:v>SC10</x:v>
      </x:c>
      <x:c r="B824" s="30" t="str">
        <x:v>山地林区/郊野失踪搜索</x:v>
      </x:c>
      <x:c r="C824" s="30" t="str">
        <x:v>T056</x:v>
      </x:c>
      <x:c r="D824" s="30" t="str">
        <x:v>失联后的连接恢复</x:v>
      </x:c>
      <x:c r="E824" s="30" t="str">
        <x:v>可候选；Agent决定是否创建/执行</x:v>
      </x:c>
      <x:c r="F824" s="30" t="str">
        <x:v>基线：依实际装配启用</x:v>
      </x:c>
    </x:row>
    <x:row r="825" ht="40" customHeight="1">
      <x:c r="A825" s="30" t="str">
        <x:v>SC10</x:v>
      </x:c>
      <x:c r="B825" s="30" t="str">
        <x:v>山地林区/郊野失踪搜索</x:v>
      </x:c>
      <x:c r="C825" s="30" t="str">
        <x:v>T057</x:v>
      </x:c>
      <x:c r="D825" s="30" t="str">
        <x:v>计算与模型服务发现</x:v>
      </x:c>
      <x:c r="E825" s="30" t="str">
        <x:v>可候选；Agent决定是否创建/执行</x:v>
      </x:c>
      <x:c r="F825" s="30" t="str">
        <x:v>基线：依实际装配启用</x:v>
      </x:c>
    </x:row>
    <x:row r="826" ht="40" customHeight="1">
      <x:c r="A826" s="30" t="str">
        <x:v>SC10</x:v>
      </x:c>
      <x:c r="B826" s="30" t="str">
        <x:v>山地林区/郊野失踪搜索</x:v>
      </x:c>
      <x:c r="C826" s="30" t="str">
        <x:v>T058</x:v>
      </x:c>
      <x:c r="D826" s="30" t="str">
        <x:v>本地视觉检测</x:v>
      </x:c>
      <x:c r="E826" s="30" t="str">
        <x:v>可候选；Agent决定是否创建/执行</x:v>
      </x:c>
      <x:c r="F826" s="30" t="str">
        <x:v>基线：依实际装配启用</x:v>
      </x:c>
    </x:row>
    <x:row r="827" ht="40" customHeight="1">
      <x:c r="A827" s="30" t="str">
        <x:v>SC10</x:v>
      </x:c>
      <x:c r="B827" s="30" t="str">
        <x:v>山地林区/郊野失踪搜索</x:v>
      </x:c>
      <x:c r="C827" s="30" t="str">
        <x:v>T059</x:v>
      </x:c>
      <x:c r="D827" s="30" t="str">
        <x:v>本地语义/任务推理</x:v>
      </x:c>
      <x:c r="E827" s="30" t="str">
        <x:v>可候选；Agent决定是否创建/执行</x:v>
      </x:c>
      <x:c r="F827" s="30" t="str">
        <x:v>基线：依实际装配启用</x:v>
      </x:c>
    </x:row>
    <x:row r="828" ht="40" customHeight="1">
      <x:c r="A828" s="30" t="str">
        <x:v>SC10</x:v>
      </x:c>
      <x:c r="B828" s="30" t="str">
        <x:v>山地林区/郊野失踪搜索</x:v>
      </x:c>
      <x:c r="C828" s="30" t="str">
        <x:v>T060</x:v>
      </x:c>
      <x:c r="D828" s="30" t="str">
        <x:v>远程视觉复核/推理卸载</x:v>
      </x:c>
      <x:c r="E828" s="30" t="str">
        <x:v>可候选；Agent决定是否创建/执行</x:v>
      </x:c>
      <x:c r="F828" s="30" t="str">
        <x:v>基线：依实际装配启用</x:v>
      </x:c>
    </x:row>
    <x:row r="829" ht="40" customHeight="1">
      <x:c r="A829" s="30" t="str">
        <x:v>SC10</x:v>
      </x:c>
      <x:c r="B829" s="30" t="str">
        <x:v>山地林区/郊野失踪搜索</x:v>
      </x:c>
      <x:c r="C829" s="30" t="str">
        <x:v>T061</x:v>
      </x:c>
      <x:c r="D829" s="30" t="str">
        <x:v>执行节点与模型选择</x:v>
      </x:c>
      <x:c r="E829" s="30" t="str">
        <x:v>可候选；Agent决定是否创建/执行</x:v>
      </x:c>
      <x:c r="F829" s="30" t="str">
        <x:v>基线：依实际装配启用</x:v>
      </x:c>
    </x:row>
    <x:row r="830" ht="40" customHeight="1">
      <x:c r="A830" s="30" t="str">
        <x:v>SC10</x:v>
      </x:c>
      <x:c r="B830" s="30" t="str">
        <x:v>山地林区/郊野失踪搜索</x:v>
      </x:c>
      <x:c r="C830" s="30" t="str">
        <x:v>T062</x:v>
      </x:c>
      <x:c r="D830" s="30" t="str">
        <x:v>计算作业准入与排队</x:v>
      </x:c>
      <x:c r="E830" s="30" t="str">
        <x:v>可候选；Agent决定是否创建/执行</x:v>
      </x:c>
      <x:c r="F830" s="30" t="str">
        <x:v>基线：依实际装配启用</x:v>
      </x:c>
    </x:row>
    <x:row r="831" ht="40" customHeight="1">
      <x:c r="A831" s="30" t="str">
        <x:v>SC10</x:v>
      </x:c>
      <x:c r="B831" s="30" t="str">
        <x:v>山地林区/郊野失踪搜索</x:v>
      </x:c>
      <x:c r="C831" s="30" t="str">
        <x:v>T063</x:v>
      </x:c>
      <x:c r="D831" s="30" t="str">
        <x:v>模型服务加载/卸载</x:v>
      </x:c>
      <x:c r="E831" s="30" t="str">
        <x:v>可候选；Agent决定是否创建/执行</x:v>
      </x:c>
      <x:c r="F831" s="30" t="str">
        <x:v>基线：依实际装配启用</x:v>
      </x:c>
    </x:row>
    <x:row r="832" ht="40" customHeight="1">
      <x:c r="A832" s="30" t="str">
        <x:v>SC10</x:v>
      </x:c>
      <x:c r="B832" s="30" t="str">
        <x:v>山地林区/郊野失踪搜索</x:v>
      </x:c>
      <x:c r="C832" s="30" t="str">
        <x:v>T064</x:v>
      </x:c>
      <x:c r="D832" s="30" t="str">
        <x:v>上下文/表示缓存复用</x:v>
      </x:c>
      <x:c r="E832" s="30" t="str">
        <x:v>可候选；Agent决定是否创建/执行</x:v>
      </x:c>
      <x:c r="F832" s="30" t="str">
        <x:v>基线：依实际装配启用</x:v>
      </x:c>
    </x:row>
    <x:row r="833" ht="40" customHeight="1">
      <x:c r="A833" s="30" t="str">
        <x:v>SC10</x:v>
      </x:c>
      <x:c r="B833" s="30" t="str">
        <x:v>山地林区/郊野失踪搜索</x:v>
      </x:c>
      <x:c r="C833" s="30" t="str">
        <x:v>T065</x:v>
      </x:c>
      <x:c r="D833" s="30" t="str">
        <x:v>服务/作业迁移与恢复</x:v>
      </x:c>
      <x:c r="E833" s="30" t="str">
        <x:v>可候选；Agent决定是否创建/执行</x:v>
      </x:c>
      <x:c r="F833" s="30" t="str">
        <x:v>条件扩展：明确设备/专业服务后启用</x:v>
      </x:c>
    </x:row>
    <x:row r="834" ht="40" customHeight="1">
      <x:c r="A834" s="30" t="str">
        <x:v>SC10</x:v>
      </x:c>
      <x:c r="B834" s="30" t="str">
        <x:v>山地林区/郊野失踪搜索</x:v>
      </x:c>
      <x:c r="C834" s="30" t="str">
        <x:v>T066</x:v>
      </x:c>
      <x:c r="D834" s="30" t="str">
        <x:v>预算耗尽/失败作业取消重试</x:v>
      </x:c>
      <x:c r="E834" s="30" t="str">
        <x:v>可候选；Agent决定是否创建/执行</x:v>
      </x:c>
      <x:c r="F834" s="30" t="str">
        <x:v>基线：依实际装配启用</x:v>
      </x:c>
    </x:row>
    <x:row r="835" ht="40" customHeight="1">
      <x:c r="A835" s="30" t="str">
        <x:v>SC10</x:v>
      </x:c>
      <x:c r="B835" s="30" t="str">
        <x:v>山地林区/郊野失踪搜索</x:v>
      </x:c>
      <x:c r="C835" s="30" t="str">
        <x:v>T067</x:v>
      </x:c>
      <x:c r="D835" s="30" t="str">
        <x:v>批处理/多源联合推理</x:v>
      </x:c>
      <x:c r="E835" s="30" t="str">
        <x:v>可候选；Agent决定是否创建/执行</x:v>
      </x:c>
      <x:c r="F835" s="30" t="str">
        <x:v>基线：依实际装配启用</x:v>
      </x:c>
    </x:row>
    <x:row r="836" ht="40" customHeight="1">
      <x:c r="A836" s="30" t="str">
        <x:v>SC10</x:v>
      </x:c>
      <x:c r="B836" s="30" t="str">
        <x:v>山地林区/郊野失踪搜索</x:v>
      </x:c>
      <x:c r="C836" s="30" t="str">
        <x:v>T068</x:v>
      </x:c>
      <x:c r="D836" s="30" t="str">
        <x:v>计算资源释放与缓存清理</x:v>
      </x:c>
      <x:c r="E836" s="30" t="str">
        <x:v>可候选；Agent决定是否创建/执行</x:v>
      </x:c>
      <x:c r="F836" s="30" t="str">
        <x:v>基线：依实际装配启用</x:v>
      </x:c>
    </x:row>
    <x:row r="837" ht="40" customHeight="1">
      <x:c r="A837" s="30" t="str">
        <x:v>SC10</x:v>
      </x:c>
      <x:c r="B837" s="30" t="str">
        <x:v>山地林区/郊野失踪搜索</x:v>
      </x:c>
      <x:c r="C837" s="30" t="str">
        <x:v>T069</x:v>
      </x:c>
      <x:c r="D837" s="30" t="str">
        <x:v>跨源时间坐标对齐</x:v>
      </x:c>
      <x:c r="E837" s="30" t="str">
        <x:v>可候选；Agent决定是否创建/执行</x:v>
      </x:c>
      <x:c r="F837" s="30" t="str">
        <x:v>基线：依实际装配启用</x:v>
      </x:c>
    </x:row>
    <x:row r="838" ht="40" customHeight="1">
      <x:c r="A838" s="30" t="str">
        <x:v>SC10</x:v>
      </x:c>
      <x:c r="B838" s="30" t="str">
        <x:v>山地林区/郊野失踪搜索</x:v>
      </x:c>
      <x:c r="C838" s="30" t="str">
        <x:v>T070</x:v>
      </x:c>
      <x:c r="D838" s="30" t="str">
        <x:v>任务条件化本地历史检索</x:v>
      </x:c>
      <x:c r="E838" s="30" t="str">
        <x:v>可候选；Agent决定是否创建/执行</x:v>
      </x:c>
      <x:c r="F838" s="30" t="str">
        <x:v>基线：依实际装配启用</x:v>
      </x:c>
    </x:row>
    <x:row r="839" ht="40" customHeight="1">
      <x:c r="A839" s="30" t="str">
        <x:v>SC10</x:v>
      </x:c>
      <x:c r="B839" s="30" t="str">
        <x:v>山地林区/郊野失踪搜索</x:v>
      </x:c>
      <x:c r="C839" s="30" t="str">
        <x:v>T071</x:v>
      </x:c>
      <x:c r="D839" s="30" t="str">
        <x:v>图像裁剪/编码/证据打包</x:v>
      </x:c>
      <x:c r="E839" s="30" t="str">
        <x:v>可候选；Agent决定是否创建/执行</x:v>
      </x:c>
      <x:c r="F839" s="30" t="str">
        <x:v>基线：依实际装配启用</x:v>
      </x:c>
    </x:row>
    <x:row r="840" ht="40" customHeight="1">
      <x:c r="A840" s="30" t="str">
        <x:v>SC10</x:v>
      </x:c>
      <x:c r="B840" s="30" t="str">
        <x:v>山地林区/郊野失踪搜索</x:v>
      </x:c>
      <x:c r="C840" s="30" t="str">
        <x:v>T072</x:v>
      </x:c>
      <x:c r="D840" s="30" t="str">
        <x:v>置信度与证据充分性判断</x:v>
      </x:c>
      <x:c r="E840" s="30" t="str">
        <x:v>可候选；Agent决定是否创建/执行</x:v>
      </x:c>
      <x:c r="F840" s="30" t="str">
        <x:v>基线：依实际装配启用</x:v>
      </x:c>
    </x:row>
    <x:row r="841" ht="40" customHeight="1">
      <x:c r="A841" s="30" t="str">
        <x:v>SC10</x:v>
      </x:c>
      <x:c r="B841" s="30" t="str">
        <x:v>山地林区/郊野失踪搜索</x:v>
      </x:c>
      <x:c r="C841" s="30" t="str">
        <x:v>T073</x:v>
      </x:c>
      <x:c r="D841" s="30" t="str">
        <x:v>多源融合与冲突更正</x:v>
      </x:c>
      <x:c r="E841" s="30" t="str">
        <x:v>可候选；Agent决定是否创建/执行</x:v>
      </x:c>
      <x:c r="F841" s="30" t="str">
        <x:v>基线：依实际装配启用</x:v>
      </x:c>
    </x:row>
    <x:row r="842" ht="40" customHeight="1">
      <x:c r="A842" s="30" t="str">
        <x:v>SC10</x:v>
      </x:c>
      <x:c r="B842" s="30" t="str">
        <x:v>山地林区/郊野失踪搜索</x:v>
      </x:c>
      <x:c r="C842" s="30" t="str">
        <x:v>T074</x:v>
      </x:c>
      <x:c r="D842" s="30" t="str">
        <x:v>面向任务的信息选择与共享</x:v>
      </x:c>
      <x:c r="E842" s="30" t="str">
        <x:v>可候选；Agent决定是否创建/执行</x:v>
      </x:c>
      <x:c r="F842" s="30" t="str">
        <x:v>基线：依实际装配启用</x:v>
      </x:c>
    </x:row>
    <x:row r="843" ht="40" customHeight="1">
      <x:c r="A843" s="30" t="str">
        <x:v>SC10</x:v>
      </x:c>
      <x:c r="B843" s="30" t="str">
        <x:v>山地林区/郊野失踪搜索</x:v>
      </x:c>
      <x:c r="C843" s="30" t="str">
        <x:v>T075</x:v>
      </x:c>
      <x:c r="D843" s="30" t="str">
        <x:v>局部信念与过时信息维护</x:v>
      </x:c>
      <x:c r="E843" s="30" t="str">
        <x:v>可候选；Agent决定是否创建/执行</x:v>
      </x:c>
      <x:c r="F843" s="30" t="str">
        <x:v>基线：依实际装配启用</x:v>
      </x:c>
    </x:row>
    <x:row r="844" ht="40" customHeight="1">
      <x:c r="A844" s="30" t="str">
        <x:v>SC10</x:v>
      </x:c>
      <x:c r="B844" s="30" t="str">
        <x:v>山地林区/郊野失踪搜索</x:v>
      </x:c>
      <x:c r="C844" s="30" t="str">
        <x:v>T076</x:v>
      </x:c>
      <x:c r="D844" s="30" t="str">
        <x:v>轨迹/证据归档与回放</x:v>
      </x:c>
      <x:c r="E844" s="30" t="str">
        <x:v>可候选；Agent决定是否创建/执行</x:v>
      </x:c>
      <x:c r="F844" s="30" t="str">
        <x:v>基线：依实际装配启用</x:v>
      </x:c>
    </x:row>
    <x:row r="845" ht="40" customHeight="1">
      <x:c r="A845" s="30" t="str">
        <x:v>SC10</x:v>
      </x:c>
      <x:c r="B845" s="30" t="str">
        <x:v>山地林区/郊野失踪搜索</x:v>
      </x:c>
      <x:c r="C845" s="30" t="str">
        <x:v>T077</x:v>
      </x:c>
      <x:c r="D845" s="30" t="str">
        <x:v>接收并解释当前使命</x:v>
      </x:c>
      <x:c r="E845" s="30" t="str">
        <x:v>可候选；Agent决定是否创建/执行</x:v>
      </x:c>
      <x:c r="F845" s="30" t="str">
        <x:v>基线：依实际装配启用</x:v>
      </x:c>
    </x:row>
    <x:row r="846" ht="40" customHeight="1">
      <x:c r="A846" s="30" t="str">
        <x:v>SC10</x:v>
      </x:c>
      <x:c r="B846" s="30" t="str">
        <x:v>山地林区/郊野失踪搜索</x:v>
      </x:c>
      <x:c r="C846" s="30" t="str">
        <x:v>T078</x:v>
      </x:c>
      <x:c r="D846" s="30" t="str">
        <x:v>自主任务分解与候选生成</x:v>
      </x:c>
      <x:c r="E846" s="30" t="str">
        <x:v>可候选；Agent决定是否创建/执行</x:v>
      </x:c>
      <x:c r="F846" s="30" t="str">
        <x:v>基线：依实际装配启用</x:v>
      </x:c>
    </x:row>
    <x:row r="847" ht="40" customHeight="1">
      <x:c r="A847" s="30" t="str">
        <x:v>SC10</x:v>
      </x:c>
      <x:c r="B847" s="30" t="str">
        <x:v>山地林区/郊野失踪搜索</x:v>
      </x:c>
      <x:c r="C847" s="30" t="str">
        <x:v>T079</x:v>
      </x:c>
      <x:c r="D847" s="30" t="str">
        <x:v>本机参与筛选与出价</x:v>
      </x:c>
      <x:c r="E847" s="30" t="str">
        <x:v>可候选；Agent决定是否创建/执行</x:v>
      </x:c>
      <x:c r="F847" s="30" t="str">
        <x:v>基线：依实际装配启用</x:v>
      </x:c>
    </x:row>
    <x:row r="848" ht="40" customHeight="1">
      <x:c r="A848" s="30" t="str">
        <x:v>SC10</x:v>
      </x:c>
      <x:c r="B848" s="30" t="str">
        <x:v>山地林区/郊野失踪搜索</x:v>
      </x:c>
      <x:c r="C848" s="30" t="str">
        <x:v>T080</x:v>
      </x:c>
      <x:c r="D848" s="30" t="str">
        <x:v>多平台任务分配与协调</x:v>
      </x:c>
      <x:c r="E848" s="30" t="str">
        <x:v>可候选；Agent决定是否创建/执行</x:v>
      </x:c>
      <x:c r="F848" s="30" t="str">
        <x:v>基线：依实际装配启用</x:v>
      </x:c>
    </x:row>
    <x:row r="849" ht="40" customHeight="1">
      <x:c r="A849" s="30" t="str">
        <x:v>SC10</x:v>
      </x:c>
      <x:c r="B849" s="30" t="str">
        <x:v>山地林区/郊野失踪搜索</x:v>
      </x:c>
      <x:c r="C849" s="30" t="str">
        <x:v>T081</x:v>
      </x:c>
      <x:c r="D849" s="30" t="str">
        <x:v>任务接受/拒绝与承诺</x:v>
      </x:c>
      <x:c r="E849" s="30" t="str">
        <x:v>可候选；Agent决定是否创建/执行</x:v>
      </x:c>
      <x:c r="F849" s="30" t="str">
        <x:v>基线：依实际装配启用</x:v>
      </x:c>
    </x:row>
    <x:row r="850" ht="40" customHeight="1">
      <x:c r="A850" s="30" t="str">
        <x:v>SC10</x:v>
      </x:c>
      <x:c r="B850" s="30" t="str">
        <x:v>山地林区/郊野失踪搜索</x:v>
      </x:c>
      <x:c r="C850" s="30" t="str">
        <x:v>T082</x:v>
      </x:c>
      <x:c r="D850" s="30" t="str">
        <x:v>进度监控与完成确认</x:v>
      </x:c>
      <x:c r="E850" s="30" t="str">
        <x:v>可候选；Agent决定是否创建/执行</x:v>
      </x:c>
      <x:c r="F850" s="30" t="str">
        <x:v>基线：依实际装配启用</x:v>
      </x:c>
    </x:row>
    <x:row r="851" ht="40" customHeight="1">
      <x:c r="A851" s="30" t="str">
        <x:v>SC10</x:v>
      </x:c>
      <x:c r="B851" s="30" t="str">
        <x:v>山地林区/郊野失踪搜索</x:v>
      </x:c>
      <x:c r="C851" s="30" t="str">
        <x:v>T083</x:v>
      </x:c>
      <x:c r="D851" s="30" t="str">
        <x:v>任务取消/抢占</x:v>
      </x:c>
      <x:c r="E851" s="30" t="str">
        <x:v>可候选；Agent决定是否创建/执行</x:v>
      </x:c>
      <x:c r="F851" s="30" t="str">
        <x:v>基线：依实际装配启用</x:v>
      </x:c>
    </x:row>
    <x:row r="852" ht="40" customHeight="1">
      <x:c r="A852" s="30" t="str">
        <x:v>SC10</x:v>
      </x:c>
      <x:c r="B852" s="30" t="str">
        <x:v>山地林区/郊野失踪搜索</x:v>
      </x:c>
      <x:c r="C852" s="30" t="str">
        <x:v>T084</x:v>
      </x:c>
      <x:c r="D852" s="30" t="str">
        <x:v>恢复原任务</x:v>
      </x:c>
      <x:c r="E852" s="30" t="str">
        <x:v>可候选；Agent决定是否创建/执行</x:v>
      </x:c>
      <x:c r="F852" s="30" t="str">
        <x:v>基线：依实际装配启用</x:v>
      </x:c>
    </x:row>
    <x:row r="853" ht="40" customHeight="1">
      <x:c r="A853" s="30" t="str">
        <x:v>SC10</x:v>
      </x:c>
      <x:c r="B853" s="30" t="str">
        <x:v>山地林区/郊野失踪搜索</x:v>
      </x:c>
      <x:c r="C853" s="30" t="str">
        <x:v>T085</x:v>
      </x:c>
      <x:c r="D853" s="30" t="str">
        <x:v>跨Agent任务与证据交接</x:v>
      </x:c>
      <x:c r="E853" s="30" t="str">
        <x:v>可候选；Agent决定是否创建/执行</x:v>
      </x:c>
      <x:c r="F853" s="30" t="str">
        <x:v>基线：依实际装配启用</x:v>
      </x:c>
    </x:row>
    <x:row r="854" ht="40" customHeight="1">
      <x:c r="A854" s="30" t="str">
        <x:v>SC10</x:v>
      </x:c>
      <x:c r="B854" s="30" t="str">
        <x:v>山地林区/郊野失踪搜索</x:v>
      </x:c>
      <x:c r="C854" s="30" t="str">
        <x:v>T086</x:v>
      </x:c>
      <x:c r="D854" s="30" t="str">
        <x:v>失败重规划与重派</x:v>
      </x:c>
      <x:c r="E854" s="30" t="str">
        <x:v>可候选；Agent决定是否创建/执行</x:v>
      </x:c>
      <x:c r="F854" s="30" t="str">
        <x:v>基线：依实际装配启用</x:v>
      </x:c>
    </x:row>
    <x:row r="855" ht="40" customHeight="1">
      <x:c r="A855" s="30" t="str">
        <x:v>SC10</x:v>
      </x:c>
      <x:c r="B855" s="30" t="str">
        <x:v>山地林区/郊野失踪搜索</x:v>
      </x:c>
      <x:c r="C855" s="30" t="str">
        <x:v>T087</x:v>
      </x:c>
      <x:c r="D855" s="30" t="str">
        <x:v>请求专业救援/工程力量</x:v>
      </x:c>
      <x:c r="E855" s="30" t="str">
        <x:v>可候选；Agent决定是否创建/执行</x:v>
      </x:c>
      <x:c r="F855" s="30" t="str">
        <x:v>基线：依实际装配启用</x:v>
      </x:c>
    </x:row>
    <x:row r="856" ht="40" customHeight="1">
      <x:c r="A856" s="30" t="str">
        <x:v>SC10</x:v>
      </x:c>
      <x:c r="B856" s="30" t="str">
        <x:v>山地林区/郊野失踪搜索</x:v>
      </x:c>
      <x:c r="C856" s="30" t="str">
        <x:v>T088</x:v>
      </x:c>
      <x:c r="D856" s="30" t="str">
        <x:v>工作现场闭合与阶段移交</x:v>
      </x:c>
      <x:c r="E856" s="30" t="str">
        <x:v>可候选；Agent决定是否创建/执行</x:v>
      </x:c>
      <x:c r="F856" s="30" t="str">
        <x:v>基线：依实际装配启用</x:v>
      </x:c>
    </x:row>
    <x:row r="857" ht="40" customHeight="1">
      <x:c r="A857" s="30" t="str">
        <x:v>SC10</x:v>
      </x:c>
      <x:c r="B857" s="30" t="str">
        <x:v>山地林区/郊野失踪搜索</x:v>
      </x:c>
      <x:c r="C857" s="30" t="str">
        <x:v>T089</x:v>
      </x:c>
      <x:c r="D857" s="30" t="str">
        <x:v>次生危险动态监视</x:v>
      </x:c>
      <x:c r="E857" s="30" t="str">
        <x:v>可候选；Agent决定是否创建/执行</x:v>
      </x:c>
      <x:c r="F857" s="30" t="str">
        <x:v>基线：依实际装配启用</x:v>
      </x:c>
    </x:row>
    <x:row r="858" ht="40" customHeight="1">
      <x:c r="A858" s="30" t="str">
        <x:v>SC10</x:v>
      </x:c>
      <x:c r="B858" s="30" t="str">
        <x:v>山地林区/郊野失踪搜索</x:v>
      </x:c>
      <x:c r="C858" s="30" t="str">
        <x:v>T090</x:v>
      </x:c>
      <x:c r="D858" s="30" t="str">
        <x:v>平台/能源/服务健康监视</x:v>
      </x:c>
      <x:c r="E858" s="30" t="str">
        <x:v>可候选；Agent决定是否创建/执行</x:v>
      </x:c>
      <x:c r="F858" s="30" t="str">
        <x:v>基线：依实际装配启用</x:v>
      </x:c>
    </x:row>
    <x:row r="859" ht="40" customHeight="1">
      <x:c r="A859" s="30" t="str">
        <x:v>SC10</x:v>
      </x:c>
      <x:c r="B859" s="30" t="str">
        <x:v>山地林区/郊野失踪搜索</x:v>
      </x:c>
      <x:c r="C859" s="30" t="str">
        <x:v>T091</x:v>
      </x:c>
      <x:c r="D859" s="30" t="str">
        <x:v>安全等待与驻留观察</x:v>
      </x:c>
      <x:c r="E859" s="30" t="str">
        <x:v>可候选；Agent决定是否创建/执行</x:v>
      </x:c>
      <x:c r="F859" s="30" t="str">
        <x:v>基线：依实际装配启用</x:v>
      </x:c>
    </x:row>
    <x:row r="860" ht="40" customHeight="1">
      <x:c r="A860" s="30" t="str">
        <x:v>SC10</x:v>
      </x:c>
      <x:c r="B860" s="30" t="str">
        <x:v>山地林区/郊野失踪搜索</x:v>
      </x:c>
      <x:c r="C860" s="30" t="str">
        <x:v>T092</x:v>
      </x:c>
      <x:c r="D860" s="30" t="str">
        <x:v>设备/传感器/服务故障诊断</x:v>
      </x:c>
      <x:c r="E860" s="30" t="str">
        <x:v>可候选；Agent决定是否创建/执行</x:v>
      </x:c>
      <x:c r="F860" s="30" t="str">
        <x:v>基线：依实际装配启用</x:v>
      </x:c>
    </x:row>
    <x:row r="861" ht="40" customHeight="1">
      <x:c r="A861" s="30" t="str">
        <x:v>SC10</x:v>
      </x:c>
      <x:c r="B861" s="30" t="str">
        <x:v>山地林区/郊野失踪搜索</x:v>
      </x:c>
      <x:c r="C861" s="30" t="str">
        <x:v>T096</x:v>
      </x:c>
      <x:c r="D861" s="30" t="str">
        <x:v>跨模型特征/潜表示适配</x:v>
      </x:c>
      <x:c r="E861" s="30" t="str">
        <x:v>可候选；Agent决定是否创建/执行</x:v>
      </x:c>
      <x:c r="F861" s="30" t="str">
        <x:v>条件扩展：明确设备/专业服务后启用</x:v>
      </x:c>
    </x:row>
    <x:row r="862" ht="40" customHeight="1">
      <x:c r="A862" s="30" t="str">
        <x:v>SC11</x:v>
      </x:c>
      <x:c r="B862" s="30" t="str">
        <x:v>荒漠/戈壁失踪搜索</x:v>
      </x:c>
      <x:c r="C862" s="30" t="str">
        <x:v>T001</x:v>
      </x:c>
      <x:c r="D862" s="30" t="str">
        <x:v>区域快速普查</x:v>
      </x:c>
      <x:c r="E862" s="30" t="str">
        <x:v>可候选；Agent决定是否创建/执行</x:v>
      </x:c>
      <x:c r="F862" s="30" t="str">
        <x:v>基线：依实际装配启用</x:v>
      </x:c>
    </x:row>
    <x:row r="863" ht="40" customHeight="1">
      <x:c r="A863" s="30" t="str">
        <x:v>SC11</x:v>
      </x:c>
      <x:c r="B863" s="30" t="str">
        <x:v>荒漠/戈壁失踪搜索</x:v>
      </x:c>
      <x:c r="C863" s="30" t="str">
        <x:v>T003</x:v>
      </x:c>
      <x:c r="D863" s="30" t="str">
        <x:v>道路与通路灾后评估</x:v>
      </x:c>
      <x:c r="E863" s="30" t="str">
        <x:v>可候选；Agent决定是否创建/执行</x:v>
      </x:c>
      <x:c r="F863" s="30" t="str">
        <x:v>基线：依实际装配启用</x:v>
      </x:c>
    </x:row>
    <x:row r="864" ht="40" customHeight="1">
      <x:c r="A864" s="30" t="str">
        <x:v>SC11</x:v>
      </x:c>
      <x:c r="B864" s="30" t="str">
        <x:v>荒漠/戈壁失踪搜索</x:v>
      </x:c>
      <x:c r="C864" s="30" t="str">
        <x:v>T008</x:v>
      </x:c>
      <x:c r="D864" s="30" t="str">
        <x:v>建筑/区域覆盖登记</x:v>
      </x:c>
      <x:c r="E864" s="30" t="str">
        <x:v>可候选；Agent决定是否创建/执行</x:v>
      </x:c>
      <x:c r="F864" s="30" t="str">
        <x:v>基线：依实际装配启用</x:v>
      </x:c>
    </x:row>
    <x:row r="865" ht="40" customHeight="1">
      <x:c r="A865" s="30" t="str">
        <x:v>SC11</x:v>
      </x:c>
      <x:c r="B865" s="30" t="str">
        <x:v>荒漠/戈壁失踪搜索</x:v>
      </x:c>
      <x:c r="C865" s="30" t="str">
        <x:v>T009</x:v>
      </x:c>
      <x:c r="D865" s="30" t="str">
        <x:v>系统空中人员搜索</x:v>
      </x:c>
      <x:c r="E865" s="30" t="str">
        <x:v>可候选；Agent决定是否创建/执行</x:v>
      </x:c>
      <x:c r="F865" s="30" t="str">
        <x:v>基线：依实际装配启用</x:v>
      </x:c>
    </x:row>
    <x:row r="866" ht="40" customHeight="1">
      <x:c r="A866" s="30" t="str">
        <x:v>SC11</x:v>
      </x:c>
      <x:c r="B866" s="30" t="str">
        <x:v>荒漠/戈壁失踪搜索</x:v>
      </x:c>
      <x:c r="C866" s="30" t="str">
        <x:v>T010</x:v>
      </x:c>
      <x:c r="D866" s="30" t="str">
        <x:v>线索发现与语义解读</x:v>
      </x:c>
      <x:c r="E866" s="30" t="str">
        <x:v>可候选；Agent决定是否创建/执行</x:v>
      </x:c>
      <x:c r="F866" s="30" t="str">
        <x:v>基线：依实际装配启用</x:v>
      </x:c>
    </x:row>
    <x:row r="867" ht="40" customHeight="1">
      <x:c r="A867" s="30" t="str">
        <x:v>SC11</x:v>
      </x:c>
      <x:c r="B867" s="30" t="str">
        <x:v>荒漠/戈壁失踪搜索</x:v>
      </x:c>
      <x:c r="C867" s="30" t="str">
        <x:v>T011</x:v>
      </x:c>
      <x:c r="D867" s="30" t="str">
        <x:v>疑似目标多视角复核</x:v>
      </x:c>
      <x:c r="E867" s="30" t="str">
        <x:v>可候选；Agent决定是否创建/执行</x:v>
      </x:c>
      <x:c r="F867" s="30" t="str">
        <x:v>基线：依实际装配启用</x:v>
      </x:c>
    </x:row>
    <x:row r="868" ht="40" customHeight="1">
      <x:c r="A868" s="30" t="str">
        <x:v>SC11</x:v>
      </x:c>
      <x:c r="B868" s="30" t="str">
        <x:v>荒漠/戈壁失踪搜索</x:v>
      </x:c>
      <x:c r="C868" s="30" t="str">
        <x:v>T012</x:v>
      </x:c>
      <x:c r="D868" s="30" t="str">
        <x:v>目标定位跟踪与跨视角关联</x:v>
      </x:c>
      <x:c r="E868" s="30" t="str">
        <x:v>可候选；Agent决定是否创建/执行</x:v>
      </x:c>
      <x:c r="F868" s="30" t="str">
        <x:v>基线：依实际装配启用</x:v>
      </x:c>
    </x:row>
    <x:row r="869" ht="40" customHeight="1">
      <x:c r="A869" s="30" t="str">
        <x:v>SC11</x:v>
      </x:c>
      <x:c r="B869" s="30" t="str">
        <x:v>荒漠/戈壁失踪搜索</x:v>
      </x:c>
      <x:c r="C869" s="30" t="str">
        <x:v>T013</x:v>
      </x:c>
      <x:c r="D869" s="30" t="str">
        <x:v>近地外部与狭窄区搜索</x:v>
      </x:c>
      <x:c r="E869" s="30" t="str">
        <x:v>可候选；Agent决定是否创建/执行</x:v>
      </x:c>
      <x:c r="F869" s="30" t="str">
        <x:v>基线：依实际装配启用</x:v>
      </x:c>
    </x:row>
    <x:row r="870" ht="40" customHeight="1">
      <x:c r="A870" s="30" t="str">
        <x:v>SC11</x:v>
      </x:c>
      <x:c r="B870" s="30" t="str">
        <x:v>荒漠/戈壁失踪搜索</x:v>
      </x:c>
      <x:c r="C870" s="30" t="str">
        <x:v>T016</x:v>
      </x:c>
      <x:c r="D870" s="30" t="str">
        <x:v>热成像补充搜索</x:v>
      </x:c>
      <x:c r="E870" s="30" t="str">
        <x:v>可候选；Agent决定是否创建/执行</x:v>
      </x:c>
      <x:c r="F870" s="30" t="str">
        <x:v>条件扩展：明确设备/专业服务后启用</x:v>
      </x:c>
    </x:row>
    <x:row r="871" ht="40" customHeight="1">
      <x:c r="A871" s="30" t="str">
        <x:v>SC11</x:v>
      </x:c>
      <x:c r="B871" s="30" t="str">
        <x:v>荒漠/戈壁失踪搜索</x:v>
      </x:c>
      <x:c r="C871" s="30" t="str">
        <x:v>T017</x:v>
      </x:c>
      <x:c r="D871" s="30" t="str">
        <x:v>声音线索搜索</x:v>
      </x:c>
      <x:c r="E871" s="30" t="str">
        <x:v>可候选；Agent决定是否创建/执行</x:v>
      </x:c>
      <x:c r="F871" s="30" t="str">
        <x:v>条件扩展：明确设备/专业服务后启用</x:v>
      </x:c>
    </x:row>
    <x:row r="872" ht="40" customHeight="1">
      <x:c r="A872" s="30" t="str">
        <x:v>SC11</x:v>
      </x:c>
      <x:c r="B872" s="30" t="str">
        <x:v>荒漠/戈壁失踪搜索</x:v>
      </x:c>
      <x:c r="C872" s="30" t="str">
        <x:v>T018</x:v>
      </x:c>
      <x:c r="D872" s="30" t="str">
        <x:v>RF/手机线索搜索</x:v>
      </x:c>
      <x:c r="E872" s="30" t="str">
        <x:v>可候选；Agent决定是否创建/执行</x:v>
      </x:c>
      <x:c r="F872" s="30" t="str">
        <x:v>条件扩展：明确设备/专业服务后启用</x:v>
      </x:c>
    </x:row>
    <x:row r="873" ht="40" customHeight="1">
      <x:c r="A873" s="30" t="str">
        <x:v>SC11</x:v>
      </x:c>
      <x:c r="B873" s="30" t="str">
        <x:v>荒漠/戈壁失踪搜索</x:v>
      </x:c>
      <x:c r="C873" s="30" t="str">
        <x:v>T019</x:v>
      </x:c>
      <x:c r="D873" s="30" t="str">
        <x:v>空中转场与观察点到达</x:v>
      </x:c>
      <x:c r="E873" s="30" t="str">
        <x:v>可候选；Agent决定是否创建/执行</x:v>
      </x:c>
      <x:c r="F873" s="30" t="str">
        <x:v>基线：依实际装配启用</x:v>
      </x:c>
    </x:row>
    <x:row r="874" ht="40" customHeight="1">
      <x:c r="A874" s="30" t="str">
        <x:v>SC11</x:v>
      </x:c>
      <x:c r="B874" s="30" t="str">
        <x:v>荒漠/戈壁失踪搜索</x:v>
      </x:c>
      <x:c r="C874" s="30" t="str">
        <x:v>T020</x:v>
      </x:c>
      <x:c r="D874" s="30" t="str">
        <x:v>地面转场与绕行</x:v>
      </x:c>
      <x:c r="E874" s="30" t="str">
        <x:v>可候选；Agent决定是否创建/执行</x:v>
      </x:c>
      <x:c r="F874" s="30" t="str">
        <x:v>基线：依实际装配启用</x:v>
      </x:c>
    </x:row>
    <x:row r="875" ht="40" customHeight="1">
      <x:c r="A875" s="30" t="str">
        <x:v>SC11</x:v>
      </x:c>
      <x:c r="B875" s="30" t="str">
        <x:v>荒漠/戈壁失踪搜索</x:v>
      </x:c>
      <x:c r="C875" s="30" t="str">
        <x:v>T021</x:v>
      </x:c>
      <x:c r="D875" s="30" t="str">
        <x:v>障碍接近探测与路径验证</x:v>
      </x:c>
      <x:c r="E875" s="30" t="str">
        <x:v>可候选；Agent决定是否创建/执行</x:v>
      </x:c>
      <x:c r="F875" s="30" t="str">
        <x:v>基线：依实际装配启用</x:v>
      </x:c>
    </x:row>
    <x:row r="876" ht="40" customHeight="1">
      <x:c r="A876" s="30" t="str">
        <x:v>SC11</x:v>
      </x:c>
      <x:c r="B876" s="30" t="str">
        <x:v>荒漠/戈壁失踪搜索</x:v>
      </x:c>
      <x:c r="C876" s="30" t="str">
        <x:v>T022</x:v>
      </x:c>
      <x:c r="D876" s="30" t="str">
        <x:v>轻型残骸移除</x:v>
      </x:c>
      <x:c r="E876" s="30" t="str">
        <x:v>可候选；Agent决定是否创建/执行</x:v>
      </x:c>
      <x:c r="F876" s="30" t="str">
        <x:v>条件扩展：明确设备/专业服务后启用</x:v>
      </x:c>
    </x:row>
    <x:row r="877" ht="40" customHeight="1">
      <x:c r="A877" s="30" t="str">
        <x:v>SC11</x:v>
      </x:c>
      <x:c r="B877" s="30" t="str">
        <x:v>荒漠/戈壁失踪搜索</x:v>
      </x:c>
      <x:c r="C877" s="30" t="str">
        <x:v>T027</x:v>
      </x:c>
      <x:c r="D877" s="30" t="str">
        <x:v>建立联系并确认需求</x:v>
      </x:c>
      <x:c r="E877" s="30" t="str">
        <x:v>可候选；Agent决定是否创建/执行</x:v>
      </x:c>
      <x:c r="F877" s="30" t="str">
        <x:v>基线：依实际装配启用</x:v>
      </x:c>
    </x:row>
    <x:row r="878" ht="40" customHeight="1">
      <x:c r="A878" s="30" t="str">
        <x:v>SC11</x:v>
      </x:c>
      <x:c r="B878" s="30" t="str">
        <x:v>荒漠/戈壁失踪搜索</x:v>
      </x:c>
      <x:c r="C878" s="30" t="str">
        <x:v>T028</x:v>
      </x:c>
      <x:c r="D878" s="30" t="str">
        <x:v>安全警示与避险引导</x:v>
      </x:c>
      <x:c r="E878" s="30" t="str">
        <x:v>可候选；Agent决定是否创建/执行</x:v>
      </x:c>
      <x:c r="F878" s="30" t="str">
        <x:v>基线：依实际装配启用</x:v>
      </x:c>
    </x:row>
    <x:row r="879" ht="40" customHeight="1">
      <x:c r="A879" s="30" t="str">
        <x:v>SC11</x:v>
      </x:c>
      <x:c r="B879" s="30" t="str">
        <x:v>荒漠/戈壁失踪搜索</x:v>
      </x:c>
      <x:c r="C879" s="30" t="str">
        <x:v>T029</x:v>
      </x:c>
      <x:c r="D879" s="30" t="str">
        <x:v>专业伤员评估与分级</x:v>
      </x:c>
      <x:c r="E879" s="30" t="str">
        <x:v>可候选；Agent决定是否创建/执行</x:v>
      </x:c>
      <x:c r="F879" s="30" t="str">
        <x:v>条件扩展：明确设备/专业服务后启用</x:v>
      </x:c>
    </x:row>
    <x:row r="880" ht="40" customHeight="1">
      <x:c r="A880" s="30" t="str">
        <x:v>SC11</x:v>
      </x:c>
      <x:c r="B880" s="30" t="str">
        <x:v>荒漠/戈壁失踪搜索</x:v>
      </x:c>
      <x:c r="C880" s="30" t="str">
        <x:v>T030</x:v>
      </x:c>
      <x:c r="D880" s="30" t="str">
        <x:v>人员基础物资支援</x:v>
      </x:c>
      <x:c r="E880" s="30" t="str">
        <x:v>可候选；Agent决定是否创建/执行</x:v>
      </x:c>
      <x:c r="F880" s="30" t="str">
        <x:v>基线：依实际装配启用</x:v>
      </x:c>
    </x:row>
    <x:row r="881" ht="40" customHeight="1">
      <x:c r="A881" s="30" t="str">
        <x:v>SC11</x:v>
      </x:c>
      <x:c r="B881" s="30" t="str">
        <x:v>荒漠/戈壁失踪搜索</x:v>
      </x:c>
      <x:c r="C881" s="30" t="str">
        <x:v>T031</x:v>
      </x:c>
      <x:c r="D881" s="30" t="str">
        <x:v>专业初步救护</x:v>
      </x:c>
      <x:c r="E881" s="30" t="str">
        <x:v>可候选；Agent决定是否创建/执行</x:v>
      </x:c>
      <x:c r="F881" s="30" t="str">
        <x:v>条件扩展：明确设备/专业服务后启用</x:v>
      </x:c>
    </x:row>
    <x:row r="882" ht="40" customHeight="1">
      <x:c r="A882" s="30" t="str">
        <x:v>SC11</x:v>
      </x:c>
      <x:c r="B882" s="30" t="str">
        <x:v>荒漠/戈壁失踪搜索</x:v>
      </x:c>
      <x:c r="C882" s="30" t="str">
        <x:v>T032</x:v>
      </x:c>
      <x:c r="D882" s="30" t="str">
        <x:v>受困解除/解困</x:v>
      </x:c>
      <x:c r="E882" s="30" t="str">
        <x:v>可候选；Agent决定是否创建/执行</x:v>
      </x:c>
      <x:c r="F882" s="30" t="str">
        <x:v>条件扩展：明确设备/专业服务后启用</x:v>
      </x:c>
    </x:row>
    <x:row r="883" ht="40" customHeight="1">
      <x:c r="A883" s="30" t="str">
        <x:v>SC11</x:v>
      </x:c>
      <x:c r="B883" s="30" t="str">
        <x:v>荒漠/戈壁失踪搜索</x:v>
      </x:c>
      <x:c r="C883" s="30" t="str">
        <x:v>T033</x:v>
      </x:c>
      <x:c r="D883" s="30" t="str">
        <x:v>人员装载</x:v>
      </x:c>
      <x:c r="E883" s="30" t="str">
        <x:v>可候选；Agent决定是否创建/执行</x:v>
      </x:c>
      <x:c r="F883" s="30" t="str">
        <x:v>条件扩展：明确设备/专业服务后启用</x:v>
      </x:c>
    </x:row>
    <x:row r="884" ht="40" customHeight="1">
      <x:c r="A884" s="30" t="str">
        <x:v>SC11</x:v>
      </x:c>
      <x:c r="B884" s="30" t="str">
        <x:v>荒漠/戈壁失踪搜索</x:v>
      </x:c>
      <x:c r="C884" s="30" t="str">
        <x:v>T034</x:v>
      </x:c>
      <x:c r="D884" s="30" t="str">
        <x:v>人员转运</x:v>
      </x:c>
      <x:c r="E884" s="30" t="str">
        <x:v>可候选；Agent决定是否创建/执行</x:v>
      </x:c>
      <x:c r="F884" s="30" t="str">
        <x:v>条件扩展：明确设备/专业服务后启用</x:v>
      </x:c>
    </x:row>
    <x:row r="885" ht="40" customHeight="1">
      <x:c r="A885" s="30" t="str">
        <x:v>SC11</x:v>
      </x:c>
      <x:c r="B885" s="30" t="str">
        <x:v>荒漠/戈壁失踪搜索</x:v>
      </x:c>
      <x:c r="C885" s="30" t="str">
        <x:v>T035</x:v>
      </x:c>
      <x:c r="D885" s="30" t="str">
        <x:v>救援/医疗最终移交</x:v>
      </x:c>
      <x:c r="E885" s="30" t="str">
        <x:v>可候选；Agent决定是否创建/执行</x:v>
      </x:c>
      <x:c r="F885" s="30" t="str">
        <x:v>条件扩展：明确设备/专业服务后启用</x:v>
      </x:c>
    </x:row>
    <x:row r="886" ht="40" customHeight="1">
      <x:c r="A886" s="30" t="str">
        <x:v>SC11</x:v>
      </x:c>
      <x:c r="B886" s="30" t="str">
        <x:v>荒漠/戈壁失踪搜索</x:v>
      </x:c>
      <x:c r="C886" s="30" t="str">
        <x:v>T038</x:v>
      </x:c>
      <x:c r="D886" s="30" t="str">
        <x:v>货物取用与挂载</x:v>
      </x:c>
      <x:c r="E886" s="30" t="str">
        <x:v>可候选；Agent决定是否创建/执行</x:v>
      </x:c>
      <x:c r="F886" s="30" t="str">
        <x:v>基线：依实际装配启用</x:v>
      </x:c>
    </x:row>
    <x:row r="887" ht="40" customHeight="1">
      <x:c r="A887" s="30" t="str">
        <x:v>SC11</x:v>
      </x:c>
      <x:c r="B887" s="30" t="str">
        <x:v>荒漠/戈壁失踪搜索</x:v>
      </x:c>
      <x:c r="C887" s="30" t="str">
        <x:v>T039</x:v>
      </x:c>
      <x:c r="D887" s="30" t="str">
        <x:v>无人机精确物资投送</x:v>
      </x:c>
      <x:c r="E887" s="30" t="str">
        <x:v>可候选；Agent决定是否创建/执行</x:v>
      </x:c>
      <x:c r="F887" s="30" t="str">
        <x:v>基线：依实际装配启用</x:v>
      </x:c>
    </x:row>
    <x:row r="888" ht="40" customHeight="1">
      <x:c r="A888" s="30" t="str">
        <x:v>SC11</x:v>
      </x:c>
      <x:c r="B888" s="30" t="str">
        <x:v>荒漠/戈壁失踪搜索</x:v>
      </x:c>
      <x:c r="C888" s="30" t="str">
        <x:v>T040</x:v>
      </x:c>
      <x:c r="D888" s="30" t="str">
        <x:v>地面物资送达与卸放</x:v>
      </x:c>
      <x:c r="E888" s="30" t="str">
        <x:v>可候选；Agent决定是否创建/执行</x:v>
      </x:c>
      <x:c r="F888" s="30" t="str">
        <x:v>基线：依实际装配启用</x:v>
      </x:c>
    </x:row>
    <x:row r="889" ht="40" customHeight="1">
      <x:c r="A889" s="30" t="str">
        <x:v>SC11</x:v>
      </x:c>
      <x:c r="B889" s="30" t="str">
        <x:v>荒漠/戈壁失踪搜索</x:v>
      </x:c>
      <x:c r="C889" s="30" t="str">
        <x:v>T041</x:v>
      </x:c>
      <x:c r="D889" s="30" t="str">
        <x:v>交付复核与收货报告</x:v>
      </x:c>
      <x:c r="E889" s="30" t="str">
        <x:v>可候选；Agent决定是否创建/执行</x:v>
      </x:c>
      <x:c r="F889" s="30" t="str">
        <x:v>基线：依实际装配启用</x:v>
      </x:c>
    </x:row>
    <x:row r="890" ht="40" customHeight="1">
      <x:c r="A890" s="30" t="str">
        <x:v>SC11</x:v>
      </x:c>
      <x:c r="B890" s="30" t="str">
        <x:v>荒漠/戈壁失踪搜索</x:v>
      </x:c>
      <x:c r="C890" s="30" t="str">
        <x:v>T042</x:v>
      </x:c>
      <x:c r="D890" s="30" t="str">
        <x:v>物资/器材补给</x:v>
      </x:c>
      <x:c r="E890" s="30" t="str">
        <x:v>可候选；Agent决定是否创建/执行</x:v>
      </x:c>
      <x:c r="F890" s="30" t="str">
        <x:v>基线：依实际装配启用</x:v>
      </x:c>
    </x:row>
    <x:row r="891" ht="40" customHeight="1">
      <x:c r="A891" s="30" t="str">
        <x:v>SC11</x:v>
      </x:c>
      <x:c r="B891" s="30" t="str">
        <x:v>荒漠/戈壁失踪搜索</x:v>
      </x:c>
      <x:c r="C891" s="30" t="str">
        <x:v>T043</x:v>
      </x:c>
      <x:c r="D891" s="30" t="str">
        <x:v>平台充电</x:v>
      </x:c>
      <x:c r="E891" s="30" t="str">
        <x:v>可候选；Agent决定是否创建/执行</x:v>
      </x:c>
      <x:c r="F891" s="30" t="str">
        <x:v>基线：依实际装配启用</x:v>
      </x:c>
    </x:row>
    <x:row r="892" ht="40" customHeight="1">
      <x:c r="A892" s="30" t="str">
        <x:v>SC11</x:v>
      </x:c>
      <x:c r="B892" s="30" t="str">
        <x:v>荒漠/戈壁失踪搜索</x:v>
      </x:c>
      <x:c r="C892" s="30" t="str">
        <x:v>T044</x:v>
      </x:c>
      <x:c r="D892" s="30" t="str">
        <x:v>平台换电</x:v>
      </x:c>
      <x:c r="E892" s="30" t="str">
        <x:v>可候选；Agent决定是否创建/执行</x:v>
      </x:c>
      <x:c r="F892" s="30" t="str">
        <x:v>基线：依实际装配启用</x:v>
      </x:c>
    </x:row>
    <x:row r="893" ht="40" customHeight="1">
      <x:c r="A893" s="30" t="str">
        <x:v>SC11</x:v>
      </x:c>
      <x:c r="B893" s="30" t="str">
        <x:v>荒漠/戈壁失踪搜索</x:v>
      </x:c>
      <x:c r="C893" s="30" t="str">
        <x:v>T045</x:v>
      </x:c>
      <x:c r="D893" s="30" t="str">
        <x:v>返航/返站与安全撤离</x:v>
      </x:c>
      <x:c r="E893" s="30" t="str">
        <x:v>可候选；Agent决定是否创建/执行</x:v>
      </x:c>
      <x:c r="F893" s="30" t="str">
        <x:v>基线：依实际装配启用</x:v>
      </x:c>
    </x:row>
    <x:row r="894" ht="40" customHeight="1">
      <x:c r="A894" s="30" t="str">
        <x:v>SC11</x:v>
      </x:c>
      <x:c r="B894" s="30" t="str">
        <x:v>荒漠/戈壁失踪搜索</x:v>
      </x:c>
      <x:c r="C894" s="30" t="str">
        <x:v>T046</x:v>
      </x:c>
      <x:c r="D894" s="30" t="str">
        <x:v>失效平台回收</x:v>
      </x:c>
      <x:c r="E894" s="30" t="str">
        <x:v>可候选；Agent决定是否创建/执行</x:v>
      </x:c>
      <x:c r="F894" s="30" t="str">
        <x:v>条件扩展：明确设备/专业服务后启用</x:v>
      </x:c>
    </x:row>
    <x:row r="895" ht="40" customHeight="1">
      <x:c r="A895" s="30" t="str">
        <x:v>SC11</x:v>
      </x:c>
      <x:c r="B895" s="30" t="str">
        <x:v>荒漠/戈壁失踪搜索</x:v>
      </x:c>
      <x:c r="C895" s="30" t="str">
        <x:v>T047</x:v>
      </x:c>
      <x:c r="D895" s="30" t="str">
        <x:v>链路探测与质量估计</x:v>
      </x:c>
      <x:c r="E895" s="30" t="str">
        <x:v>可候选；Agent决定是否创建/执行</x:v>
      </x:c>
      <x:c r="F895" s="30" t="str">
        <x:v>基线：依实际装配启用</x:v>
      </x:c>
    </x:row>
    <x:row r="896" ht="40" customHeight="1">
      <x:c r="A896" s="30" t="str">
        <x:v>SC11</x:v>
      </x:c>
      <x:c r="B896" s="30" t="str">
        <x:v>荒漠/戈壁失踪搜索</x:v>
      </x:c>
      <x:c r="C896" s="30" t="str">
        <x:v>T048</x:v>
      </x:c>
      <x:c r="D896" s="30" t="str">
        <x:v>通信会合与重定位</x:v>
      </x:c>
      <x:c r="E896" s="30" t="str">
        <x:v>可候选；Agent决定是否创建/执行</x:v>
      </x:c>
      <x:c r="F896" s="30" t="str">
        <x:v>基线：依实际装配启用</x:v>
      </x:c>
    </x:row>
    <x:row r="897" ht="40" customHeight="1">
      <x:c r="A897" s="30" t="str">
        <x:v>SC11</x:v>
      </x:c>
      <x:c r="B897" s="30" t="str">
        <x:v>荒漠/戈壁失踪搜索</x:v>
      </x:c>
      <x:c r="C897" s="30" t="str">
        <x:v>T049</x:v>
      </x:c>
      <x:c r="D897" s="30" t="str">
        <x:v>空中中继保持</x:v>
      </x:c>
      <x:c r="E897" s="30" t="str">
        <x:v>可候选；Agent决定是否创建/执行</x:v>
      </x:c>
      <x:c r="F897" s="30" t="str">
        <x:v>基线：依实际装配启用</x:v>
      </x:c>
    </x:row>
    <x:row r="898" ht="40" customHeight="1">
      <x:c r="A898" s="30" t="str">
        <x:v>SC11</x:v>
      </x:c>
      <x:c r="B898" s="30" t="str">
        <x:v>荒漠/戈壁失踪搜索</x:v>
      </x:c>
      <x:c r="C898" s="30" t="str">
        <x:v>T050</x:v>
      </x:c>
      <x:c r="D898" s="30" t="str">
        <x:v>通信节点布放</x:v>
      </x:c>
      <x:c r="E898" s="30" t="str">
        <x:v>可候选；Agent决定是否创建/执行</x:v>
      </x:c>
      <x:c r="F898" s="30" t="str">
        <x:v>条件扩展：明确设备/专业服务后启用</x:v>
      </x:c>
    </x:row>
    <x:row r="899" ht="40" customHeight="1">
      <x:c r="A899" s="30" t="str">
        <x:v>SC11</x:v>
      </x:c>
      <x:c r="B899" s="30" t="str">
        <x:v>荒漠/戈壁失踪搜索</x:v>
      </x:c>
      <x:c r="C899" s="30" t="str">
        <x:v>T051</x:v>
      </x:c>
      <x:c r="D899" s="30" t="str">
        <x:v>多跳业务转发</x:v>
      </x:c>
      <x:c r="E899" s="30" t="str">
        <x:v>可候选；Agent决定是否创建/执行</x:v>
      </x:c>
      <x:c r="F899" s="30" t="str">
        <x:v>基线：依实际装配启用</x:v>
      </x:c>
    </x:row>
    <x:row r="900" ht="40" customHeight="1">
      <x:c r="A900" s="30" t="str">
        <x:v>SC11</x:v>
      </x:c>
      <x:c r="B900" s="30" t="str">
        <x:v>荒漠/戈壁失踪搜索</x:v>
      </x:c>
      <x:c r="C900" s="30" t="str">
        <x:v>T052</x:v>
      </x:c>
      <x:c r="D900" s="30" t="str">
        <x:v>图像/证据数据上传</x:v>
      </x:c>
      <x:c r="E900" s="30" t="str">
        <x:v>可候选；Agent决定是否创建/执行</x:v>
      </x:c>
      <x:c r="F900" s="30" t="str">
        <x:v>基线：依实际装配启用</x:v>
      </x:c>
    </x:row>
    <x:row r="901" ht="40" customHeight="1">
      <x:c r="A901" s="30" t="str">
        <x:v>SC11</x:v>
      </x:c>
      <x:c r="B901" s="30" t="str">
        <x:v>荒漠/戈壁失踪搜索</x:v>
      </x:c>
      <x:c r="C901" s="30" t="str">
        <x:v>T053</x:v>
      </x:c>
      <x:c r="D901" s="30" t="str">
        <x:v>可靠回执与超时重传</x:v>
      </x:c>
      <x:c r="E901" s="30" t="str">
        <x:v>可候选；Agent决定是否创建/执行</x:v>
      </x:c>
      <x:c r="F901" s="30" t="str">
        <x:v>基线：依实际装配启用</x:v>
      </x:c>
    </x:row>
    <x:row r="902" ht="40" customHeight="1">
      <x:c r="A902" s="30" t="str">
        <x:v>SC11</x:v>
      </x:c>
      <x:c r="B902" s="30" t="str">
        <x:v>荒漠/戈壁失踪搜索</x:v>
      </x:c>
      <x:c r="C902" s="30" t="str">
        <x:v>T054</x:v>
      </x:c>
      <x:c r="D902" s="30" t="str">
        <x:v>断联存储-携带-转发</x:v>
      </x:c>
      <x:c r="E902" s="30" t="str">
        <x:v>可候选；Agent决定是否创建/执行</x:v>
      </x:c>
      <x:c r="F902" s="30" t="str">
        <x:v>基线：依实际装配启用</x:v>
      </x:c>
    </x:row>
    <x:row r="903" ht="40" customHeight="1">
      <x:c r="A903" s="30" t="str">
        <x:v>SC11</x:v>
      </x:c>
      <x:c r="B903" s="30" t="str">
        <x:v>荒漠/戈壁失踪搜索</x:v>
      </x:c>
      <x:c r="C903" s="30" t="str">
        <x:v>T055</x:v>
      </x:c>
      <x:c r="D903" s="30" t="str">
        <x:v>信道/功率/传输优先级调整</x:v>
      </x:c>
      <x:c r="E903" s="30" t="str">
        <x:v>可候选；Agent决定是否创建/执行</x:v>
      </x:c>
      <x:c r="F903" s="30" t="str">
        <x:v>基线：依实际装配启用</x:v>
      </x:c>
    </x:row>
    <x:row r="904" ht="40" customHeight="1">
      <x:c r="A904" s="30" t="str">
        <x:v>SC11</x:v>
      </x:c>
      <x:c r="B904" s="30" t="str">
        <x:v>荒漠/戈壁失踪搜索</x:v>
      </x:c>
      <x:c r="C904" s="30" t="str">
        <x:v>T056</x:v>
      </x:c>
      <x:c r="D904" s="30" t="str">
        <x:v>失联后的连接恢复</x:v>
      </x:c>
      <x:c r="E904" s="30" t="str">
        <x:v>可候选；Agent决定是否创建/执行</x:v>
      </x:c>
      <x:c r="F904" s="30" t="str">
        <x:v>基线：依实际装配启用</x:v>
      </x:c>
    </x:row>
    <x:row r="905" ht="40" customHeight="1">
      <x:c r="A905" s="30" t="str">
        <x:v>SC11</x:v>
      </x:c>
      <x:c r="B905" s="30" t="str">
        <x:v>荒漠/戈壁失踪搜索</x:v>
      </x:c>
      <x:c r="C905" s="30" t="str">
        <x:v>T057</x:v>
      </x:c>
      <x:c r="D905" s="30" t="str">
        <x:v>计算与模型服务发现</x:v>
      </x:c>
      <x:c r="E905" s="30" t="str">
        <x:v>可候选；Agent决定是否创建/执行</x:v>
      </x:c>
      <x:c r="F905" s="30" t="str">
        <x:v>基线：依实际装配启用</x:v>
      </x:c>
    </x:row>
    <x:row r="906" ht="40" customHeight="1">
      <x:c r="A906" s="30" t="str">
        <x:v>SC11</x:v>
      </x:c>
      <x:c r="B906" s="30" t="str">
        <x:v>荒漠/戈壁失踪搜索</x:v>
      </x:c>
      <x:c r="C906" s="30" t="str">
        <x:v>T058</x:v>
      </x:c>
      <x:c r="D906" s="30" t="str">
        <x:v>本地视觉检测</x:v>
      </x:c>
      <x:c r="E906" s="30" t="str">
        <x:v>可候选；Agent决定是否创建/执行</x:v>
      </x:c>
      <x:c r="F906" s="30" t="str">
        <x:v>基线：依实际装配启用</x:v>
      </x:c>
    </x:row>
    <x:row r="907" ht="40" customHeight="1">
      <x:c r="A907" s="30" t="str">
        <x:v>SC11</x:v>
      </x:c>
      <x:c r="B907" s="30" t="str">
        <x:v>荒漠/戈壁失踪搜索</x:v>
      </x:c>
      <x:c r="C907" s="30" t="str">
        <x:v>T059</x:v>
      </x:c>
      <x:c r="D907" s="30" t="str">
        <x:v>本地语义/任务推理</x:v>
      </x:c>
      <x:c r="E907" s="30" t="str">
        <x:v>可候选；Agent决定是否创建/执行</x:v>
      </x:c>
      <x:c r="F907" s="30" t="str">
        <x:v>基线：依实际装配启用</x:v>
      </x:c>
    </x:row>
    <x:row r="908" ht="40" customHeight="1">
      <x:c r="A908" s="30" t="str">
        <x:v>SC11</x:v>
      </x:c>
      <x:c r="B908" s="30" t="str">
        <x:v>荒漠/戈壁失踪搜索</x:v>
      </x:c>
      <x:c r="C908" s="30" t="str">
        <x:v>T060</x:v>
      </x:c>
      <x:c r="D908" s="30" t="str">
        <x:v>远程视觉复核/推理卸载</x:v>
      </x:c>
      <x:c r="E908" s="30" t="str">
        <x:v>可候选；Agent决定是否创建/执行</x:v>
      </x:c>
      <x:c r="F908" s="30" t="str">
        <x:v>基线：依实际装配启用</x:v>
      </x:c>
    </x:row>
    <x:row r="909" ht="40" customHeight="1">
      <x:c r="A909" s="30" t="str">
        <x:v>SC11</x:v>
      </x:c>
      <x:c r="B909" s="30" t="str">
        <x:v>荒漠/戈壁失踪搜索</x:v>
      </x:c>
      <x:c r="C909" s="30" t="str">
        <x:v>T061</x:v>
      </x:c>
      <x:c r="D909" s="30" t="str">
        <x:v>执行节点与模型选择</x:v>
      </x:c>
      <x:c r="E909" s="30" t="str">
        <x:v>可候选；Agent决定是否创建/执行</x:v>
      </x:c>
      <x:c r="F909" s="30" t="str">
        <x:v>基线：依实际装配启用</x:v>
      </x:c>
    </x:row>
    <x:row r="910" ht="40" customHeight="1">
      <x:c r="A910" s="30" t="str">
        <x:v>SC11</x:v>
      </x:c>
      <x:c r="B910" s="30" t="str">
        <x:v>荒漠/戈壁失踪搜索</x:v>
      </x:c>
      <x:c r="C910" s="30" t="str">
        <x:v>T062</x:v>
      </x:c>
      <x:c r="D910" s="30" t="str">
        <x:v>计算作业准入与排队</x:v>
      </x:c>
      <x:c r="E910" s="30" t="str">
        <x:v>可候选；Agent决定是否创建/执行</x:v>
      </x:c>
      <x:c r="F910" s="30" t="str">
        <x:v>基线：依实际装配启用</x:v>
      </x:c>
    </x:row>
    <x:row r="911" ht="40" customHeight="1">
      <x:c r="A911" s="30" t="str">
        <x:v>SC11</x:v>
      </x:c>
      <x:c r="B911" s="30" t="str">
        <x:v>荒漠/戈壁失踪搜索</x:v>
      </x:c>
      <x:c r="C911" s="30" t="str">
        <x:v>T063</x:v>
      </x:c>
      <x:c r="D911" s="30" t="str">
        <x:v>模型服务加载/卸载</x:v>
      </x:c>
      <x:c r="E911" s="30" t="str">
        <x:v>可候选；Agent决定是否创建/执行</x:v>
      </x:c>
      <x:c r="F911" s="30" t="str">
        <x:v>基线：依实际装配启用</x:v>
      </x:c>
    </x:row>
    <x:row r="912" ht="40" customHeight="1">
      <x:c r="A912" s="30" t="str">
        <x:v>SC11</x:v>
      </x:c>
      <x:c r="B912" s="30" t="str">
        <x:v>荒漠/戈壁失踪搜索</x:v>
      </x:c>
      <x:c r="C912" s="30" t="str">
        <x:v>T064</x:v>
      </x:c>
      <x:c r="D912" s="30" t="str">
        <x:v>上下文/表示缓存复用</x:v>
      </x:c>
      <x:c r="E912" s="30" t="str">
        <x:v>可候选；Agent决定是否创建/执行</x:v>
      </x:c>
      <x:c r="F912" s="30" t="str">
        <x:v>基线：依实际装配启用</x:v>
      </x:c>
    </x:row>
    <x:row r="913" ht="40" customHeight="1">
      <x:c r="A913" s="30" t="str">
        <x:v>SC11</x:v>
      </x:c>
      <x:c r="B913" s="30" t="str">
        <x:v>荒漠/戈壁失踪搜索</x:v>
      </x:c>
      <x:c r="C913" s="30" t="str">
        <x:v>T065</x:v>
      </x:c>
      <x:c r="D913" s="30" t="str">
        <x:v>服务/作业迁移与恢复</x:v>
      </x:c>
      <x:c r="E913" s="30" t="str">
        <x:v>可候选；Agent决定是否创建/执行</x:v>
      </x:c>
      <x:c r="F913" s="30" t="str">
        <x:v>条件扩展：明确设备/专业服务后启用</x:v>
      </x:c>
    </x:row>
    <x:row r="914" ht="40" customHeight="1">
      <x:c r="A914" s="30" t="str">
        <x:v>SC11</x:v>
      </x:c>
      <x:c r="B914" s="30" t="str">
        <x:v>荒漠/戈壁失踪搜索</x:v>
      </x:c>
      <x:c r="C914" s="30" t="str">
        <x:v>T066</x:v>
      </x:c>
      <x:c r="D914" s="30" t="str">
        <x:v>预算耗尽/失败作业取消重试</x:v>
      </x:c>
      <x:c r="E914" s="30" t="str">
        <x:v>可候选；Agent决定是否创建/执行</x:v>
      </x:c>
      <x:c r="F914" s="30" t="str">
        <x:v>基线：依实际装配启用</x:v>
      </x:c>
    </x:row>
    <x:row r="915" ht="40" customHeight="1">
      <x:c r="A915" s="30" t="str">
        <x:v>SC11</x:v>
      </x:c>
      <x:c r="B915" s="30" t="str">
        <x:v>荒漠/戈壁失踪搜索</x:v>
      </x:c>
      <x:c r="C915" s="30" t="str">
        <x:v>T067</x:v>
      </x:c>
      <x:c r="D915" s="30" t="str">
        <x:v>批处理/多源联合推理</x:v>
      </x:c>
      <x:c r="E915" s="30" t="str">
        <x:v>可候选；Agent决定是否创建/执行</x:v>
      </x:c>
      <x:c r="F915" s="30" t="str">
        <x:v>基线：依实际装配启用</x:v>
      </x:c>
    </x:row>
    <x:row r="916" ht="40" customHeight="1">
      <x:c r="A916" s="30" t="str">
        <x:v>SC11</x:v>
      </x:c>
      <x:c r="B916" s="30" t="str">
        <x:v>荒漠/戈壁失踪搜索</x:v>
      </x:c>
      <x:c r="C916" s="30" t="str">
        <x:v>T068</x:v>
      </x:c>
      <x:c r="D916" s="30" t="str">
        <x:v>计算资源释放与缓存清理</x:v>
      </x:c>
      <x:c r="E916" s="30" t="str">
        <x:v>可候选；Agent决定是否创建/执行</x:v>
      </x:c>
      <x:c r="F916" s="30" t="str">
        <x:v>基线：依实际装配启用</x:v>
      </x:c>
    </x:row>
    <x:row r="917" ht="40" customHeight="1">
      <x:c r="A917" s="30" t="str">
        <x:v>SC11</x:v>
      </x:c>
      <x:c r="B917" s="30" t="str">
        <x:v>荒漠/戈壁失踪搜索</x:v>
      </x:c>
      <x:c r="C917" s="30" t="str">
        <x:v>T069</x:v>
      </x:c>
      <x:c r="D917" s="30" t="str">
        <x:v>跨源时间坐标对齐</x:v>
      </x:c>
      <x:c r="E917" s="30" t="str">
        <x:v>可候选；Agent决定是否创建/执行</x:v>
      </x:c>
      <x:c r="F917" s="30" t="str">
        <x:v>基线：依实际装配启用</x:v>
      </x:c>
    </x:row>
    <x:row r="918" ht="40" customHeight="1">
      <x:c r="A918" s="30" t="str">
        <x:v>SC11</x:v>
      </x:c>
      <x:c r="B918" s="30" t="str">
        <x:v>荒漠/戈壁失踪搜索</x:v>
      </x:c>
      <x:c r="C918" s="30" t="str">
        <x:v>T070</x:v>
      </x:c>
      <x:c r="D918" s="30" t="str">
        <x:v>任务条件化本地历史检索</x:v>
      </x:c>
      <x:c r="E918" s="30" t="str">
        <x:v>可候选；Agent决定是否创建/执行</x:v>
      </x:c>
      <x:c r="F918" s="30" t="str">
        <x:v>基线：依实际装配启用</x:v>
      </x:c>
    </x:row>
    <x:row r="919" ht="40" customHeight="1">
      <x:c r="A919" s="30" t="str">
        <x:v>SC11</x:v>
      </x:c>
      <x:c r="B919" s="30" t="str">
        <x:v>荒漠/戈壁失踪搜索</x:v>
      </x:c>
      <x:c r="C919" s="30" t="str">
        <x:v>T071</x:v>
      </x:c>
      <x:c r="D919" s="30" t="str">
        <x:v>图像裁剪/编码/证据打包</x:v>
      </x:c>
      <x:c r="E919" s="30" t="str">
        <x:v>可候选；Agent决定是否创建/执行</x:v>
      </x:c>
      <x:c r="F919" s="30" t="str">
        <x:v>基线：依实际装配启用</x:v>
      </x:c>
    </x:row>
    <x:row r="920" ht="40" customHeight="1">
      <x:c r="A920" s="30" t="str">
        <x:v>SC11</x:v>
      </x:c>
      <x:c r="B920" s="30" t="str">
        <x:v>荒漠/戈壁失踪搜索</x:v>
      </x:c>
      <x:c r="C920" s="30" t="str">
        <x:v>T072</x:v>
      </x:c>
      <x:c r="D920" s="30" t="str">
        <x:v>置信度与证据充分性判断</x:v>
      </x:c>
      <x:c r="E920" s="30" t="str">
        <x:v>可候选；Agent决定是否创建/执行</x:v>
      </x:c>
      <x:c r="F920" s="30" t="str">
        <x:v>基线：依实际装配启用</x:v>
      </x:c>
    </x:row>
    <x:row r="921" ht="40" customHeight="1">
      <x:c r="A921" s="30" t="str">
        <x:v>SC11</x:v>
      </x:c>
      <x:c r="B921" s="30" t="str">
        <x:v>荒漠/戈壁失踪搜索</x:v>
      </x:c>
      <x:c r="C921" s="30" t="str">
        <x:v>T073</x:v>
      </x:c>
      <x:c r="D921" s="30" t="str">
        <x:v>多源融合与冲突更正</x:v>
      </x:c>
      <x:c r="E921" s="30" t="str">
        <x:v>可候选；Agent决定是否创建/执行</x:v>
      </x:c>
      <x:c r="F921" s="30" t="str">
        <x:v>基线：依实际装配启用</x:v>
      </x:c>
    </x:row>
    <x:row r="922" ht="40" customHeight="1">
      <x:c r="A922" s="30" t="str">
        <x:v>SC11</x:v>
      </x:c>
      <x:c r="B922" s="30" t="str">
        <x:v>荒漠/戈壁失踪搜索</x:v>
      </x:c>
      <x:c r="C922" s="30" t="str">
        <x:v>T074</x:v>
      </x:c>
      <x:c r="D922" s="30" t="str">
        <x:v>面向任务的信息选择与共享</x:v>
      </x:c>
      <x:c r="E922" s="30" t="str">
        <x:v>可候选；Agent决定是否创建/执行</x:v>
      </x:c>
      <x:c r="F922" s="30" t="str">
        <x:v>基线：依实际装配启用</x:v>
      </x:c>
    </x:row>
    <x:row r="923" ht="40" customHeight="1">
      <x:c r="A923" s="30" t="str">
        <x:v>SC11</x:v>
      </x:c>
      <x:c r="B923" s="30" t="str">
        <x:v>荒漠/戈壁失踪搜索</x:v>
      </x:c>
      <x:c r="C923" s="30" t="str">
        <x:v>T075</x:v>
      </x:c>
      <x:c r="D923" s="30" t="str">
        <x:v>局部信念与过时信息维护</x:v>
      </x:c>
      <x:c r="E923" s="30" t="str">
        <x:v>可候选；Agent决定是否创建/执行</x:v>
      </x:c>
      <x:c r="F923" s="30" t="str">
        <x:v>基线：依实际装配启用</x:v>
      </x:c>
    </x:row>
    <x:row r="924" ht="40" customHeight="1">
      <x:c r="A924" s="30" t="str">
        <x:v>SC11</x:v>
      </x:c>
      <x:c r="B924" s="30" t="str">
        <x:v>荒漠/戈壁失踪搜索</x:v>
      </x:c>
      <x:c r="C924" s="30" t="str">
        <x:v>T076</x:v>
      </x:c>
      <x:c r="D924" s="30" t="str">
        <x:v>轨迹/证据归档与回放</x:v>
      </x:c>
      <x:c r="E924" s="30" t="str">
        <x:v>可候选；Agent决定是否创建/执行</x:v>
      </x:c>
      <x:c r="F924" s="30" t="str">
        <x:v>基线：依实际装配启用</x:v>
      </x:c>
    </x:row>
    <x:row r="925" ht="40" customHeight="1">
      <x:c r="A925" s="30" t="str">
        <x:v>SC11</x:v>
      </x:c>
      <x:c r="B925" s="30" t="str">
        <x:v>荒漠/戈壁失踪搜索</x:v>
      </x:c>
      <x:c r="C925" s="30" t="str">
        <x:v>T077</x:v>
      </x:c>
      <x:c r="D925" s="30" t="str">
        <x:v>接收并解释当前使命</x:v>
      </x:c>
      <x:c r="E925" s="30" t="str">
        <x:v>可候选；Agent决定是否创建/执行</x:v>
      </x:c>
      <x:c r="F925" s="30" t="str">
        <x:v>基线：依实际装配启用</x:v>
      </x:c>
    </x:row>
    <x:row r="926" ht="40" customHeight="1">
      <x:c r="A926" s="30" t="str">
        <x:v>SC11</x:v>
      </x:c>
      <x:c r="B926" s="30" t="str">
        <x:v>荒漠/戈壁失踪搜索</x:v>
      </x:c>
      <x:c r="C926" s="30" t="str">
        <x:v>T078</x:v>
      </x:c>
      <x:c r="D926" s="30" t="str">
        <x:v>自主任务分解与候选生成</x:v>
      </x:c>
      <x:c r="E926" s="30" t="str">
        <x:v>可候选；Agent决定是否创建/执行</x:v>
      </x:c>
      <x:c r="F926" s="30" t="str">
        <x:v>基线：依实际装配启用</x:v>
      </x:c>
    </x:row>
    <x:row r="927" ht="40" customHeight="1">
      <x:c r="A927" s="30" t="str">
        <x:v>SC11</x:v>
      </x:c>
      <x:c r="B927" s="30" t="str">
        <x:v>荒漠/戈壁失踪搜索</x:v>
      </x:c>
      <x:c r="C927" s="30" t="str">
        <x:v>T079</x:v>
      </x:c>
      <x:c r="D927" s="30" t="str">
        <x:v>本机参与筛选与出价</x:v>
      </x:c>
      <x:c r="E927" s="30" t="str">
        <x:v>可候选；Agent决定是否创建/执行</x:v>
      </x:c>
      <x:c r="F927" s="30" t="str">
        <x:v>基线：依实际装配启用</x:v>
      </x:c>
    </x:row>
    <x:row r="928" ht="40" customHeight="1">
      <x:c r="A928" s="30" t="str">
        <x:v>SC11</x:v>
      </x:c>
      <x:c r="B928" s="30" t="str">
        <x:v>荒漠/戈壁失踪搜索</x:v>
      </x:c>
      <x:c r="C928" s="30" t="str">
        <x:v>T080</x:v>
      </x:c>
      <x:c r="D928" s="30" t="str">
        <x:v>多平台任务分配与协调</x:v>
      </x:c>
      <x:c r="E928" s="30" t="str">
        <x:v>可候选；Agent决定是否创建/执行</x:v>
      </x:c>
      <x:c r="F928" s="30" t="str">
        <x:v>基线：依实际装配启用</x:v>
      </x:c>
    </x:row>
    <x:row r="929" ht="40" customHeight="1">
      <x:c r="A929" s="30" t="str">
        <x:v>SC11</x:v>
      </x:c>
      <x:c r="B929" s="30" t="str">
        <x:v>荒漠/戈壁失踪搜索</x:v>
      </x:c>
      <x:c r="C929" s="30" t="str">
        <x:v>T081</x:v>
      </x:c>
      <x:c r="D929" s="30" t="str">
        <x:v>任务接受/拒绝与承诺</x:v>
      </x:c>
      <x:c r="E929" s="30" t="str">
        <x:v>可候选；Agent决定是否创建/执行</x:v>
      </x:c>
      <x:c r="F929" s="30" t="str">
        <x:v>基线：依实际装配启用</x:v>
      </x:c>
    </x:row>
    <x:row r="930" ht="40" customHeight="1">
      <x:c r="A930" s="30" t="str">
        <x:v>SC11</x:v>
      </x:c>
      <x:c r="B930" s="30" t="str">
        <x:v>荒漠/戈壁失踪搜索</x:v>
      </x:c>
      <x:c r="C930" s="30" t="str">
        <x:v>T082</x:v>
      </x:c>
      <x:c r="D930" s="30" t="str">
        <x:v>进度监控与完成确认</x:v>
      </x:c>
      <x:c r="E930" s="30" t="str">
        <x:v>可候选；Agent决定是否创建/执行</x:v>
      </x:c>
      <x:c r="F930" s="30" t="str">
        <x:v>基线：依实际装配启用</x:v>
      </x:c>
    </x:row>
    <x:row r="931" ht="40" customHeight="1">
      <x:c r="A931" s="30" t="str">
        <x:v>SC11</x:v>
      </x:c>
      <x:c r="B931" s="30" t="str">
        <x:v>荒漠/戈壁失踪搜索</x:v>
      </x:c>
      <x:c r="C931" s="30" t="str">
        <x:v>T083</x:v>
      </x:c>
      <x:c r="D931" s="30" t="str">
        <x:v>任务取消/抢占</x:v>
      </x:c>
      <x:c r="E931" s="30" t="str">
        <x:v>可候选；Agent决定是否创建/执行</x:v>
      </x:c>
      <x:c r="F931" s="30" t="str">
        <x:v>基线：依实际装配启用</x:v>
      </x:c>
    </x:row>
    <x:row r="932" ht="40" customHeight="1">
      <x:c r="A932" s="30" t="str">
        <x:v>SC11</x:v>
      </x:c>
      <x:c r="B932" s="30" t="str">
        <x:v>荒漠/戈壁失踪搜索</x:v>
      </x:c>
      <x:c r="C932" s="30" t="str">
        <x:v>T084</x:v>
      </x:c>
      <x:c r="D932" s="30" t="str">
        <x:v>恢复原任务</x:v>
      </x:c>
      <x:c r="E932" s="30" t="str">
        <x:v>可候选；Agent决定是否创建/执行</x:v>
      </x:c>
      <x:c r="F932" s="30" t="str">
        <x:v>基线：依实际装配启用</x:v>
      </x:c>
    </x:row>
    <x:row r="933" ht="40" customHeight="1">
      <x:c r="A933" s="30" t="str">
        <x:v>SC11</x:v>
      </x:c>
      <x:c r="B933" s="30" t="str">
        <x:v>荒漠/戈壁失踪搜索</x:v>
      </x:c>
      <x:c r="C933" s="30" t="str">
        <x:v>T085</x:v>
      </x:c>
      <x:c r="D933" s="30" t="str">
        <x:v>跨Agent任务与证据交接</x:v>
      </x:c>
      <x:c r="E933" s="30" t="str">
        <x:v>可候选；Agent决定是否创建/执行</x:v>
      </x:c>
      <x:c r="F933" s="30" t="str">
        <x:v>基线：依实际装配启用</x:v>
      </x:c>
    </x:row>
    <x:row r="934" ht="40" customHeight="1">
      <x:c r="A934" s="30" t="str">
        <x:v>SC11</x:v>
      </x:c>
      <x:c r="B934" s="30" t="str">
        <x:v>荒漠/戈壁失踪搜索</x:v>
      </x:c>
      <x:c r="C934" s="30" t="str">
        <x:v>T086</x:v>
      </x:c>
      <x:c r="D934" s="30" t="str">
        <x:v>失败重规划与重派</x:v>
      </x:c>
      <x:c r="E934" s="30" t="str">
        <x:v>可候选；Agent决定是否创建/执行</x:v>
      </x:c>
      <x:c r="F934" s="30" t="str">
        <x:v>基线：依实际装配启用</x:v>
      </x:c>
    </x:row>
    <x:row r="935" ht="40" customHeight="1">
      <x:c r="A935" s="30" t="str">
        <x:v>SC11</x:v>
      </x:c>
      <x:c r="B935" s="30" t="str">
        <x:v>荒漠/戈壁失踪搜索</x:v>
      </x:c>
      <x:c r="C935" s="30" t="str">
        <x:v>T087</x:v>
      </x:c>
      <x:c r="D935" s="30" t="str">
        <x:v>请求专业救援/工程力量</x:v>
      </x:c>
      <x:c r="E935" s="30" t="str">
        <x:v>可候选；Agent决定是否创建/执行</x:v>
      </x:c>
      <x:c r="F935" s="30" t="str">
        <x:v>基线：依实际装配启用</x:v>
      </x:c>
    </x:row>
    <x:row r="936" ht="40" customHeight="1">
      <x:c r="A936" s="30" t="str">
        <x:v>SC11</x:v>
      </x:c>
      <x:c r="B936" s="30" t="str">
        <x:v>荒漠/戈壁失踪搜索</x:v>
      </x:c>
      <x:c r="C936" s="30" t="str">
        <x:v>T088</x:v>
      </x:c>
      <x:c r="D936" s="30" t="str">
        <x:v>工作现场闭合与阶段移交</x:v>
      </x:c>
      <x:c r="E936" s="30" t="str">
        <x:v>可候选；Agent决定是否创建/执行</x:v>
      </x:c>
      <x:c r="F936" s="30" t="str">
        <x:v>基线：依实际装配启用</x:v>
      </x:c>
    </x:row>
    <x:row r="937" ht="40" customHeight="1">
      <x:c r="A937" s="30" t="str">
        <x:v>SC11</x:v>
      </x:c>
      <x:c r="B937" s="30" t="str">
        <x:v>荒漠/戈壁失踪搜索</x:v>
      </x:c>
      <x:c r="C937" s="30" t="str">
        <x:v>T089</x:v>
      </x:c>
      <x:c r="D937" s="30" t="str">
        <x:v>次生危险动态监视</x:v>
      </x:c>
      <x:c r="E937" s="30" t="str">
        <x:v>可候选；Agent决定是否创建/执行</x:v>
      </x:c>
      <x:c r="F937" s="30" t="str">
        <x:v>基线：依实际装配启用</x:v>
      </x:c>
    </x:row>
    <x:row r="938" ht="40" customHeight="1">
      <x:c r="A938" s="30" t="str">
        <x:v>SC11</x:v>
      </x:c>
      <x:c r="B938" s="30" t="str">
        <x:v>荒漠/戈壁失踪搜索</x:v>
      </x:c>
      <x:c r="C938" s="30" t="str">
        <x:v>T090</x:v>
      </x:c>
      <x:c r="D938" s="30" t="str">
        <x:v>平台/能源/服务健康监视</x:v>
      </x:c>
      <x:c r="E938" s="30" t="str">
        <x:v>可候选；Agent决定是否创建/执行</x:v>
      </x:c>
      <x:c r="F938" s="30" t="str">
        <x:v>基线：依实际装配启用</x:v>
      </x:c>
    </x:row>
    <x:row r="939" ht="40" customHeight="1">
      <x:c r="A939" s="30" t="str">
        <x:v>SC11</x:v>
      </x:c>
      <x:c r="B939" s="30" t="str">
        <x:v>荒漠/戈壁失踪搜索</x:v>
      </x:c>
      <x:c r="C939" s="30" t="str">
        <x:v>T091</x:v>
      </x:c>
      <x:c r="D939" s="30" t="str">
        <x:v>安全等待与驻留观察</x:v>
      </x:c>
      <x:c r="E939" s="30" t="str">
        <x:v>可候选；Agent决定是否创建/执行</x:v>
      </x:c>
      <x:c r="F939" s="30" t="str">
        <x:v>基线：依实际装配启用</x:v>
      </x:c>
    </x:row>
    <x:row r="940" ht="40" customHeight="1">
      <x:c r="A940" s="30" t="str">
        <x:v>SC11</x:v>
      </x:c>
      <x:c r="B940" s="30" t="str">
        <x:v>荒漠/戈壁失踪搜索</x:v>
      </x:c>
      <x:c r="C940" s="30" t="str">
        <x:v>T092</x:v>
      </x:c>
      <x:c r="D940" s="30" t="str">
        <x:v>设备/传感器/服务故障诊断</x:v>
      </x:c>
      <x:c r="E940" s="30" t="str">
        <x:v>可候选；Agent决定是否创建/执行</x:v>
      </x:c>
      <x:c r="F940" s="30" t="str">
        <x:v>基线：依实际装配启用</x:v>
      </x:c>
    </x:row>
    <x:row r="941" ht="40" customHeight="1">
      <x:c r="A941" s="30" t="str">
        <x:v>SC11</x:v>
      </x:c>
      <x:c r="B941" s="30" t="str">
        <x:v>荒漠/戈壁失踪搜索</x:v>
      </x:c>
      <x:c r="C941" s="30" t="str">
        <x:v>T096</x:v>
      </x:c>
      <x:c r="D941" s="30" t="str">
        <x:v>跨模型特征/潜表示适配</x:v>
      </x:c>
      <x:c r="E941" s="30" t="str">
        <x:v>可候选；Agent决定是否创建/执行</x:v>
      </x:c>
      <x:c r="F941" s="30" t="str">
        <x:v>条件扩展：明确设备/专业服务后启用</x:v>
      </x:c>
    </x:row>
    <x:row r="942" ht="40" customHeight="1">
      <x:c r="A942" s="30" t="str">
        <x:v>SC12</x:v>
      </x:c>
      <x:c r="B942" s="30" t="str">
        <x:v>雪地/高山失踪搜索</x:v>
      </x:c>
      <x:c r="C942" s="30" t="str">
        <x:v>T001</x:v>
      </x:c>
      <x:c r="D942" s="30" t="str">
        <x:v>区域快速普查</x:v>
      </x:c>
      <x:c r="E942" s="30" t="str">
        <x:v>可候选；Agent决定是否创建/执行</x:v>
      </x:c>
      <x:c r="F942" s="30" t="str">
        <x:v>基线：依实际装配启用</x:v>
      </x:c>
    </x:row>
    <x:row r="943" ht="40" customHeight="1">
      <x:c r="A943" s="30" t="str">
        <x:v>SC12</x:v>
      </x:c>
      <x:c r="B943" s="30" t="str">
        <x:v>雪地/高山失踪搜索</x:v>
      </x:c>
      <x:c r="C943" s="30" t="str">
        <x:v>T003</x:v>
      </x:c>
      <x:c r="D943" s="30" t="str">
        <x:v>道路与通路灾后评估</x:v>
      </x:c>
      <x:c r="E943" s="30" t="str">
        <x:v>可候选；Agent决定是否创建/执行</x:v>
      </x:c>
      <x:c r="F943" s="30" t="str">
        <x:v>基线：依实际装配启用</x:v>
      </x:c>
    </x:row>
    <x:row r="944" ht="40" customHeight="1">
      <x:c r="A944" s="30" t="str">
        <x:v>SC12</x:v>
      </x:c>
      <x:c r="B944" s="30" t="str">
        <x:v>雪地/高山失踪搜索</x:v>
      </x:c>
      <x:c r="C944" s="30" t="str">
        <x:v>T008</x:v>
      </x:c>
      <x:c r="D944" s="30" t="str">
        <x:v>建筑/区域覆盖登记</x:v>
      </x:c>
      <x:c r="E944" s="30" t="str">
        <x:v>可候选；Agent决定是否创建/执行</x:v>
      </x:c>
      <x:c r="F944" s="30" t="str">
        <x:v>基线：依实际装配启用</x:v>
      </x:c>
    </x:row>
    <x:row r="945" ht="40" customHeight="1">
      <x:c r="A945" s="30" t="str">
        <x:v>SC12</x:v>
      </x:c>
      <x:c r="B945" s="30" t="str">
        <x:v>雪地/高山失踪搜索</x:v>
      </x:c>
      <x:c r="C945" s="30" t="str">
        <x:v>T009</x:v>
      </x:c>
      <x:c r="D945" s="30" t="str">
        <x:v>系统空中人员搜索</x:v>
      </x:c>
      <x:c r="E945" s="30" t="str">
        <x:v>可候选；Agent决定是否创建/执行</x:v>
      </x:c>
      <x:c r="F945" s="30" t="str">
        <x:v>基线：依实际装配启用</x:v>
      </x:c>
    </x:row>
    <x:row r="946" ht="40" customHeight="1">
      <x:c r="A946" s="30" t="str">
        <x:v>SC12</x:v>
      </x:c>
      <x:c r="B946" s="30" t="str">
        <x:v>雪地/高山失踪搜索</x:v>
      </x:c>
      <x:c r="C946" s="30" t="str">
        <x:v>T010</x:v>
      </x:c>
      <x:c r="D946" s="30" t="str">
        <x:v>线索发现与语义解读</x:v>
      </x:c>
      <x:c r="E946" s="30" t="str">
        <x:v>可候选；Agent决定是否创建/执行</x:v>
      </x:c>
      <x:c r="F946" s="30" t="str">
        <x:v>基线：依实际装配启用</x:v>
      </x:c>
    </x:row>
    <x:row r="947" ht="40" customHeight="1">
      <x:c r="A947" s="30" t="str">
        <x:v>SC12</x:v>
      </x:c>
      <x:c r="B947" s="30" t="str">
        <x:v>雪地/高山失踪搜索</x:v>
      </x:c>
      <x:c r="C947" s="30" t="str">
        <x:v>T011</x:v>
      </x:c>
      <x:c r="D947" s="30" t="str">
        <x:v>疑似目标多视角复核</x:v>
      </x:c>
      <x:c r="E947" s="30" t="str">
        <x:v>可候选；Agent决定是否创建/执行</x:v>
      </x:c>
      <x:c r="F947" s="30" t="str">
        <x:v>基线：依实际装配启用</x:v>
      </x:c>
    </x:row>
    <x:row r="948" ht="40" customHeight="1">
      <x:c r="A948" s="30" t="str">
        <x:v>SC12</x:v>
      </x:c>
      <x:c r="B948" s="30" t="str">
        <x:v>雪地/高山失踪搜索</x:v>
      </x:c>
      <x:c r="C948" s="30" t="str">
        <x:v>T012</x:v>
      </x:c>
      <x:c r="D948" s="30" t="str">
        <x:v>目标定位跟踪与跨视角关联</x:v>
      </x:c>
      <x:c r="E948" s="30" t="str">
        <x:v>可候选；Agent决定是否创建/执行</x:v>
      </x:c>
      <x:c r="F948" s="30" t="str">
        <x:v>基线：依实际装配启用</x:v>
      </x:c>
    </x:row>
    <x:row r="949" ht="40" customHeight="1">
      <x:c r="A949" s="30" t="str">
        <x:v>SC12</x:v>
      </x:c>
      <x:c r="B949" s="30" t="str">
        <x:v>雪地/高山失踪搜索</x:v>
      </x:c>
      <x:c r="C949" s="30" t="str">
        <x:v>T013</x:v>
      </x:c>
      <x:c r="D949" s="30" t="str">
        <x:v>近地外部与狭窄区搜索</x:v>
      </x:c>
      <x:c r="E949" s="30" t="str">
        <x:v>可候选；Agent决定是否创建/执行</x:v>
      </x:c>
      <x:c r="F949" s="30" t="str">
        <x:v>基线：依实际装配启用</x:v>
      </x:c>
    </x:row>
    <x:row r="950" ht="40" customHeight="1">
      <x:c r="A950" s="30" t="str">
        <x:v>SC12</x:v>
      </x:c>
      <x:c r="B950" s="30" t="str">
        <x:v>雪地/高山失踪搜索</x:v>
      </x:c>
      <x:c r="C950" s="30" t="str">
        <x:v>T016</x:v>
      </x:c>
      <x:c r="D950" s="30" t="str">
        <x:v>热成像补充搜索</x:v>
      </x:c>
      <x:c r="E950" s="30" t="str">
        <x:v>可候选；Agent决定是否创建/执行</x:v>
      </x:c>
      <x:c r="F950" s="30" t="str">
        <x:v>条件扩展：明确设备/专业服务后启用</x:v>
      </x:c>
    </x:row>
    <x:row r="951" ht="40" customHeight="1">
      <x:c r="A951" s="30" t="str">
        <x:v>SC12</x:v>
      </x:c>
      <x:c r="B951" s="30" t="str">
        <x:v>雪地/高山失踪搜索</x:v>
      </x:c>
      <x:c r="C951" s="30" t="str">
        <x:v>T017</x:v>
      </x:c>
      <x:c r="D951" s="30" t="str">
        <x:v>声音线索搜索</x:v>
      </x:c>
      <x:c r="E951" s="30" t="str">
        <x:v>可候选；Agent决定是否创建/执行</x:v>
      </x:c>
      <x:c r="F951" s="30" t="str">
        <x:v>条件扩展：明确设备/专业服务后启用</x:v>
      </x:c>
    </x:row>
    <x:row r="952" ht="40" customHeight="1">
      <x:c r="A952" s="30" t="str">
        <x:v>SC12</x:v>
      </x:c>
      <x:c r="B952" s="30" t="str">
        <x:v>雪地/高山失踪搜索</x:v>
      </x:c>
      <x:c r="C952" s="30" t="str">
        <x:v>T018</x:v>
      </x:c>
      <x:c r="D952" s="30" t="str">
        <x:v>RF/手机线索搜索</x:v>
      </x:c>
      <x:c r="E952" s="30" t="str">
        <x:v>可候选；Agent决定是否创建/执行</x:v>
      </x:c>
      <x:c r="F952" s="30" t="str">
        <x:v>条件扩展：明确设备/专业服务后启用</x:v>
      </x:c>
    </x:row>
    <x:row r="953" ht="40" customHeight="1">
      <x:c r="A953" s="30" t="str">
        <x:v>SC12</x:v>
      </x:c>
      <x:c r="B953" s="30" t="str">
        <x:v>雪地/高山失踪搜索</x:v>
      </x:c>
      <x:c r="C953" s="30" t="str">
        <x:v>T019</x:v>
      </x:c>
      <x:c r="D953" s="30" t="str">
        <x:v>空中转场与观察点到达</x:v>
      </x:c>
      <x:c r="E953" s="30" t="str">
        <x:v>可候选；Agent决定是否创建/执行</x:v>
      </x:c>
      <x:c r="F953" s="30" t="str">
        <x:v>基线：依实际装配启用</x:v>
      </x:c>
    </x:row>
    <x:row r="954" ht="40" customHeight="1">
      <x:c r="A954" s="30" t="str">
        <x:v>SC12</x:v>
      </x:c>
      <x:c r="B954" s="30" t="str">
        <x:v>雪地/高山失踪搜索</x:v>
      </x:c>
      <x:c r="C954" s="30" t="str">
        <x:v>T020</x:v>
      </x:c>
      <x:c r="D954" s="30" t="str">
        <x:v>地面转场与绕行</x:v>
      </x:c>
      <x:c r="E954" s="30" t="str">
        <x:v>可候选；Agent决定是否创建/执行</x:v>
      </x:c>
      <x:c r="F954" s="30" t="str">
        <x:v>基线：依实际装配启用</x:v>
      </x:c>
    </x:row>
    <x:row r="955" ht="40" customHeight="1">
      <x:c r="A955" s="30" t="str">
        <x:v>SC12</x:v>
      </x:c>
      <x:c r="B955" s="30" t="str">
        <x:v>雪地/高山失踪搜索</x:v>
      </x:c>
      <x:c r="C955" s="30" t="str">
        <x:v>T021</x:v>
      </x:c>
      <x:c r="D955" s="30" t="str">
        <x:v>障碍接近探测与路径验证</x:v>
      </x:c>
      <x:c r="E955" s="30" t="str">
        <x:v>可候选；Agent决定是否创建/执行</x:v>
      </x:c>
      <x:c r="F955" s="30" t="str">
        <x:v>基线：依实际装配启用</x:v>
      </x:c>
    </x:row>
    <x:row r="956" ht="40" customHeight="1">
      <x:c r="A956" s="30" t="str">
        <x:v>SC12</x:v>
      </x:c>
      <x:c r="B956" s="30" t="str">
        <x:v>雪地/高山失踪搜索</x:v>
      </x:c>
      <x:c r="C956" s="30" t="str">
        <x:v>T022</x:v>
      </x:c>
      <x:c r="D956" s="30" t="str">
        <x:v>轻型残骸移除</x:v>
      </x:c>
      <x:c r="E956" s="30" t="str">
        <x:v>可候选；Agent决定是否创建/执行</x:v>
      </x:c>
      <x:c r="F956" s="30" t="str">
        <x:v>条件扩展：明确设备/专业服务后启用</x:v>
      </x:c>
    </x:row>
    <x:row r="957" ht="40" customHeight="1">
      <x:c r="A957" s="30" t="str">
        <x:v>SC12</x:v>
      </x:c>
      <x:c r="B957" s="30" t="str">
        <x:v>雪地/高山失踪搜索</x:v>
      </x:c>
      <x:c r="C957" s="30" t="str">
        <x:v>T027</x:v>
      </x:c>
      <x:c r="D957" s="30" t="str">
        <x:v>建立联系并确认需求</x:v>
      </x:c>
      <x:c r="E957" s="30" t="str">
        <x:v>可候选；Agent决定是否创建/执行</x:v>
      </x:c>
      <x:c r="F957" s="30" t="str">
        <x:v>基线：依实际装配启用</x:v>
      </x:c>
    </x:row>
    <x:row r="958" ht="40" customHeight="1">
      <x:c r="A958" s="30" t="str">
        <x:v>SC12</x:v>
      </x:c>
      <x:c r="B958" s="30" t="str">
        <x:v>雪地/高山失踪搜索</x:v>
      </x:c>
      <x:c r="C958" s="30" t="str">
        <x:v>T028</x:v>
      </x:c>
      <x:c r="D958" s="30" t="str">
        <x:v>安全警示与避险引导</x:v>
      </x:c>
      <x:c r="E958" s="30" t="str">
        <x:v>可候选；Agent决定是否创建/执行</x:v>
      </x:c>
      <x:c r="F958" s="30" t="str">
        <x:v>基线：依实际装配启用</x:v>
      </x:c>
    </x:row>
    <x:row r="959" ht="40" customHeight="1">
      <x:c r="A959" s="30" t="str">
        <x:v>SC12</x:v>
      </x:c>
      <x:c r="B959" s="30" t="str">
        <x:v>雪地/高山失踪搜索</x:v>
      </x:c>
      <x:c r="C959" s="30" t="str">
        <x:v>T029</x:v>
      </x:c>
      <x:c r="D959" s="30" t="str">
        <x:v>专业伤员评估与分级</x:v>
      </x:c>
      <x:c r="E959" s="30" t="str">
        <x:v>可候选；Agent决定是否创建/执行</x:v>
      </x:c>
      <x:c r="F959" s="30" t="str">
        <x:v>条件扩展：明确设备/专业服务后启用</x:v>
      </x:c>
    </x:row>
    <x:row r="960" ht="40" customHeight="1">
      <x:c r="A960" s="30" t="str">
        <x:v>SC12</x:v>
      </x:c>
      <x:c r="B960" s="30" t="str">
        <x:v>雪地/高山失踪搜索</x:v>
      </x:c>
      <x:c r="C960" s="30" t="str">
        <x:v>T030</x:v>
      </x:c>
      <x:c r="D960" s="30" t="str">
        <x:v>人员基础物资支援</x:v>
      </x:c>
      <x:c r="E960" s="30" t="str">
        <x:v>可候选；Agent决定是否创建/执行</x:v>
      </x:c>
      <x:c r="F960" s="30" t="str">
        <x:v>基线：依实际装配启用</x:v>
      </x:c>
    </x:row>
    <x:row r="961" ht="40" customHeight="1">
      <x:c r="A961" s="30" t="str">
        <x:v>SC12</x:v>
      </x:c>
      <x:c r="B961" s="30" t="str">
        <x:v>雪地/高山失踪搜索</x:v>
      </x:c>
      <x:c r="C961" s="30" t="str">
        <x:v>T031</x:v>
      </x:c>
      <x:c r="D961" s="30" t="str">
        <x:v>专业初步救护</x:v>
      </x:c>
      <x:c r="E961" s="30" t="str">
        <x:v>可候选；Agent决定是否创建/执行</x:v>
      </x:c>
      <x:c r="F961" s="30" t="str">
        <x:v>条件扩展：明确设备/专业服务后启用</x:v>
      </x:c>
    </x:row>
    <x:row r="962" ht="40" customHeight="1">
      <x:c r="A962" s="30" t="str">
        <x:v>SC12</x:v>
      </x:c>
      <x:c r="B962" s="30" t="str">
        <x:v>雪地/高山失踪搜索</x:v>
      </x:c>
      <x:c r="C962" s="30" t="str">
        <x:v>T032</x:v>
      </x:c>
      <x:c r="D962" s="30" t="str">
        <x:v>受困解除/解困</x:v>
      </x:c>
      <x:c r="E962" s="30" t="str">
        <x:v>可候选；Agent决定是否创建/执行</x:v>
      </x:c>
      <x:c r="F962" s="30" t="str">
        <x:v>条件扩展：明确设备/专业服务后启用</x:v>
      </x:c>
    </x:row>
    <x:row r="963" ht="40" customHeight="1">
      <x:c r="A963" s="30" t="str">
        <x:v>SC12</x:v>
      </x:c>
      <x:c r="B963" s="30" t="str">
        <x:v>雪地/高山失踪搜索</x:v>
      </x:c>
      <x:c r="C963" s="30" t="str">
        <x:v>T033</x:v>
      </x:c>
      <x:c r="D963" s="30" t="str">
        <x:v>人员装载</x:v>
      </x:c>
      <x:c r="E963" s="30" t="str">
        <x:v>可候选；Agent决定是否创建/执行</x:v>
      </x:c>
      <x:c r="F963" s="30" t="str">
        <x:v>条件扩展：明确设备/专业服务后启用</x:v>
      </x:c>
    </x:row>
    <x:row r="964" ht="40" customHeight="1">
      <x:c r="A964" s="30" t="str">
        <x:v>SC12</x:v>
      </x:c>
      <x:c r="B964" s="30" t="str">
        <x:v>雪地/高山失踪搜索</x:v>
      </x:c>
      <x:c r="C964" s="30" t="str">
        <x:v>T034</x:v>
      </x:c>
      <x:c r="D964" s="30" t="str">
        <x:v>人员转运</x:v>
      </x:c>
      <x:c r="E964" s="30" t="str">
        <x:v>可候选；Agent决定是否创建/执行</x:v>
      </x:c>
      <x:c r="F964" s="30" t="str">
        <x:v>条件扩展：明确设备/专业服务后启用</x:v>
      </x:c>
    </x:row>
    <x:row r="965" ht="40" customHeight="1">
      <x:c r="A965" s="30" t="str">
        <x:v>SC12</x:v>
      </x:c>
      <x:c r="B965" s="30" t="str">
        <x:v>雪地/高山失踪搜索</x:v>
      </x:c>
      <x:c r="C965" s="30" t="str">
        <x:v>T035</x:v>
      </x:c>
      <x:c r="D965" s="30" t="str">
        <x:v>救援/医疗最终移交</x:v>
      </x:c>
      <x:c r="E965" s="30" t="str">
        <x:v>可候选；Agent决定是否创建/执行</x:v>
      </x:c>
      <x:c r="F965" s="30" t="str">
        <x:v>条件扩展：明确设备/专业服务后启用</x:v>
      </x:c>
    </x:row>
    <x:row r="966" ht="40" customHeight="1">
      <x:c r="A966" s="30" t="str">
        <x:v>SC12</x:v>
      </x:c>
      <x:c r="B966" s="30" t="str">
        <x:v>雪地/高山失踪搜索</x:v>
      </x:c>
      <x:c r="C966" s="30" t="str">
        <x:v>T038</x:v>
      </x:c>
      <x:c r="D966" s="30" t="str">
        <x:v>货物取用与挂载</x:v>
      </x:c>
      <x:c r="E966" s="30" t="str">
        <x:v>可候选；Agent决定是否创建/执行</x:v>
      </x:c>
      <x:c r="F966" s="30" t="str">
        <x:v>基线：依实际装配启用</x:v>
      </x:c>
    </x:row>
    <x:row r="967" ht="40" customHeight="1">
      <x:c r="A967" s="30" t="str">
        <x:v>SC12</x:v>
      </x:c>
      <x:c r="B967" s="30" t="str">
        <x:v>雪地/高山失踪搜索</x:v>
      </x:c>
      <x:c r="C967" s="30" t="str">
        <x:v>T039</x:v>
      </x:c>
      <x:c r="D967" s="30" t="str">
        <x:v>无人机精确物资投送</x:v>
      </x:c>
      <x:c r="E967" s="30" t="str">
        <x:v>可候选；Agent决定是否创建/执行</x:v>
      </x:c>
      <x:c r="F967" s="30" t="str">
        <x:v>基线：依实际装配启用</x:v>
      </x:c>
    </x:row>
    <x:row r="968" ht="40" customHeight="1">
      <x:c r="A968" s="30" t="str">
        <x:v>SC12</x:v>
      </x:c>
      <x:c r="B968" s="30" t="str">
        <x:v>雪地/高山失踪搜索</x:v>
      </x:c>
      <x:c r="C968" s="30" t="str">
        <x:v>T040</x:v>
      </x:c>
      <x:c r="D968" s="30" t="str">
        <x:v>地面物资送达与卸放</x:v>
      </x:c>
      <x:c r="E968" s="30" t="str">
        <x:v>可候选；Agent决定是否创建/执行</x:v>
      </x:c>
      <x:c r="F968" s="30" t="str">
        <x:v>基线：依实际装配启用</x:v>
      </x:c>
    </x:row>
    <x:row r="969" ht="40" customHeight="1">
      <x:c r="A969" s="30" t="str">
        <x:v>SC12</x:v>
      </x:c>
      <x:c r="B969" s="30" t="str">
        <x:v>雪地/高山失踪搜索</x:v>
      </x:c>
      <x:c r="C969" s="30" t="str">
        <x:v>T041</x:v>
      </x:c>
      <x:c r="D969" s="30" t="str">
        <x:v>交付复核与收货报告</x:v>
      </x:c>
      <x:c r="E969" s="30" t="str">
        <x:v>可候选；Agent决定是否创建/执行</x:v>
      </x:c>
      <x:c r="F969" s="30" t="str">
        <x:v>基线：依实际装配启用</x:v>
      </x:c>
    </x:row>
    <x:row r="970" ht="40" customHeight="1">
      <x:c r="A970" s="30" t="str">
        <x:v>SC12</x:v>
      </x:c>
      <x:c r="B970" s="30" t="str">
        <x:v>雪地/高山失踪搜索</x:v>
      </x:c>
      <x:c r="C970" s="30" t="str">
        <x:v>T042</x:v>
      </x:c>
      <x:c r="D970" s="30" t="str">
        <x:v>物资/器材补给</x:v>
      </x:c>
      <x:c r="E970" s="30" t="str">
        <x:v>可候选；Agent决定是否创建/执行</x:v>
      </x:c>
      <x:c r="F970" s="30" t="str">
        <x:v>基线：依实际装配启用</x:v>
      </x:c>
    </x:row>
    <x:row r="971" ht="40" customHeight="1">
      <x:c r="A971" s="30" t="str">
        <x:v>SC12</x:v>
      </x:c>
      <x:c r="B971" s="30" t="str">
        <x:v>雪地/高山失踪搜索</x:v>
      </x:c>
      <x:c r="C971" s="30" t="str">
        <x:v>T043</x:v>
      </x:c>
      <x:c r="D971" s="30" t="str">
        <x:v>平台充电</x:v>
      </x:c>
      <x:c r="E971" s="30" t="str">
        <x:v>可候选；Agent决定是否创建/执行</x:v>
      </x:c>
      <x:c r="F971" s="30" t="str">
        <x:v>基线：依实际装配启用</x:v>
      </x:c>
    </x:row>
    <x:row r="972" ht="40" customHeight="1">
      <x:c r="A972" s="30" t="str">
        <x:v>SC12</x:v>
      </x:c>
      <x:c r="B972" s="30" t="str">
        <x:v>雪地/高山失踪搜索</x:v>
      </x:c>
      <x:c r="C972" s="30" t="str">
        <x:v>T044</x:v>
      </x:c>
      <x:c r="D972" s="30" t="str">
        <x:v>平台换电</x:v>
      </x:c>
      <x:c r="E972" s="30" t="str">
        <x:v>可候选；Agent决定是否创建/执行</x:v>
      </x:c>
      <x:c r="F972" s="30" t="str">
        <x:v>基线：依实际装配启用</x:v>
      </x:c>
    </x:row>
    <x:row r="973" ht="40" customHeight="1">
      <x:c r="A973" s="30" t="str">
        <x:v>SC12</x:v>
      </x:c>
      <x:c r="B973" s="30" t="str">
        <x:v>雪地/高山失踪搜索</x:v>
      </x:c>
      <x:c r="C973" s="30" t="str">
        <x:v>T045</x:v>
      </x:c>
      <x:c r="D973" s="30" t="str">
        <x:v>返航/返站与安全撤离</x:v>
      </x:c>
      <x:c r="E973" s="30" t="str">
        <x:v>可候选；Agent决定是否创建/执行</x:v>
      </x:c>
      <x:c r="F973" s="30" t="str">
        <x:v>基线：依实际装配启用</x:v>
      </x:c>
    </x:row>
    <x:row r="974" ht="40" customHeight="1">
      <x:c r="A974" s="30" t="str">
        <x:v>SC12</x:v>
      </x:c>
      <x:c r="B974" s="30" t="str">
        <x:v>雪地/高山失踪搜索</x:v>
      </x:c>
      <x:c r="C974" s="30" t="str">
        <x:v>T046</x:v>
      </x:c>
      <x:c r="D974" s="30" t="str">
        <x:v>失效平台回收</x:v>
      </x:c>
      <x:c r="E974" s="30" t="str">
        <x:v>可候选；Agent决定是否创建/执行</x:v>
      </x:c>
      <x:c r="F974" s="30" t="str">
        <x:v>条件扩展：明确设备/专业服务后启用</x:v>
      </x:c>
    </x:row>
    <x:row r="975" ht="40" customHeight="1">
      <x:c r="A975" s="30" t="str">
        <x:v>SC12</x:v>
      </x:c>
      <x:c r="B975" s="30" t="str">
        <x:v>雪地/高山失踪搜索</x:v>
      </x:c>
      <x:c r="C975" s="30" t="str">
        <x:v>T047</x:v>
      </x:c>
      <x:c r="D975" s="30" t="str">
        <x:v>链路探测与质量估计</x:v>
      </x:c>
      <x:c r="E975" s="30" t="str">
        <x:v>可候选；Agent决定是否创建/执行</x:v>
      </x:c>
      <x:c r="F975" s="30" t="str">
        <x:v>基线：依实际装配启用</x:v>
      </x:c>
    </x:row>
    <x:row r="976" ht="40" customHeight="1">
      <x:c r="A976" s="30" t="str">
        <x:v>SC12</x:v>
      </x:c>
      <x:c r="B976" s="30" t="str">
        <x:v>雪地/高山失踪搜索</x:v>
      </x:c>
      <x:c r="C976" s="30" t="str">
        <x:v>T048</x:v>
      </x:c>
      <x:c r="D976" s="30" t="str">
        <x:v>通信会合与重定位</x:v>
      </x:c>
      <x:c r="E976" s="30" t="str">
        <x:v>可候选；Agent决定是否创建/执行</x:v>
      </x:c>
      <x:c r="F976" s="30" t="str">
        <x:v>基线：依实际装配启用</x:v>
      </x:c>
    </x:row>
    <x:row r="977" ht="40" customHeight="1">
      <x:c r="A977" s="30" t="str">
        <x:v>SC12</x:v>
      </x:c>
      <x:c r="B977" s="30" t="str">
        <x:v>雪地/高山失踪搜索</x:v>
      </x:c>
      <x:c r="C977" s="30" t="str">
        <x:v>T049</x:v>
      </x:c>
      <x:c r="D977" s="30" t="str">
        <x:v>空中中继保持</x:v>
      </x:c>
      <x:c r="E977" s="30" t="str">
        <x:v>可候选；Agent决定是否创建/执行</x:v>
      </x:c>
      <x:c r="F977" s="30" t="str">
        <x:v>基线：依实际装配启用</x:v>
      </x:c>
    </x:row>
    <x:row r="978" ht="40" customHeight="1">
      <x:c r="A978" s="30" t="str">
        <x:v>SC12</x:v>
      </x:c>
      <x:c r="B978" s="30" t="str">
        <x:v>雪地/高山失踪搜索</x:v>
      </x:c>
      <x:c r="C978" s="30" t="str">
        <x:v>T050</x:v>
      </x:c>
      <x:c r="D978" s="30" t="str">
        <x:v>通信节点布放</x:v>
      </x:c>
      <x:c r="E978" s="30" t="str">
        <x:v>可候选；Agent决定是否创建/执行</x:v>
      </x:c>
      <x:c r="F978" s="30" t="str">
        <x:v>条件扩展：明确设备/专业服务后启用</x:v>
      </x:c>
    </x:row>
    <x:row r="979" ht="40" customHeight="1">
      <x:c r="A979" s="30" t="str">
        <x:v>SC12</x:v>
      </x:c>
      <x:c r="B979" s="30" t="str">
        <x:v>雪地/高山失踪搜索</x:v>
      </x:c>
      <x:c r="C979" s="30" t="str">
        <x:v>T051</x:v>
      </x:c>
      <x:c r="D979" s="30" t="str">
        <x:v>多跳业务转发</x:v>
      </x:c>
      <x:c r="E979" s="30" t="str">
        <x:v>可候选；Agent决定是否创建/执行</x:v>
      </x:c>
      <x:c r="F979" s="30" t="str">
        <x:v>基线：依实际装配启用</x:v>
      </x:c>
    </x:row>
    <x:row r="980" ht="40" customHeight="1">
      <x:c r="A980" s="30" t="str">
        <x:v>SC12</x:v>
      </x:c>
      <x:c r="B980" s="30" t="str">
        <x:v>雪地/高山失踪搜索</x:v>
      </x:c>
      <x:c r="C980" s="30" t="str">
        <x:v>T052</x:v>
      </x:c>
      <x:c r="D980" s="30" t="str">
        <x:v>图像/证据数据上传</x:v>
      </x:c>
      <x:c r="E980" s="30" t="str">
        <x:v>可候选；Agent决定是否创建/执行</x:v>
      </x:c>
      <x:c r="F980" s="30" t="str">
        <x:v>基线：依实际装配启用</x:v>
      </x:c>
    </x:row>
    <x:row r="981" ht="40" customHeight="1">
      <x:c r="A981" s="30" t="str">
        <x:v>SC12</x:v>
      </x:c>
      <x:c r="B981" s="30" t="str">
        <x:v>雪地/高山失踪搜索</x:v>
      </x:c>
      <x:c r="C981" s="30" t="str">
        <x:v>T053</x:v>
      </x:c>
      <x:c r="D981" s="30" t="str">
        <x:v>可靠回执与超时重传</x:v>
      </x:c>
      <x:c r="E981" s="30" t="str">
        <x:v>可候选；Agent决定是否创建/执行</x:v>
      </x:c>
      <x:c r="F981" s="30" t="str">
        <x:v>基线：依实际装配启用</x:v>
      </x:c>
    </x:row>
    <x:row r="982" ht="40" customHeight="1">
      <x:c r="A982" s="30" t="str">
        <x:v>SC12</x:v>
      </x:c>
      <x:c r="B982" s="30" t="str">
        <x:v>雪地/高山失踪搜索</x:v>
      </x:c>
      <x:c r="C982" s="30" t="str">
        <x:v>T054</x:v>
      </x:c>
      <x:c r="D982" s="30" t="str">
        <x:v>断联存储-携带-转发</x:v>
      </x:c>
      <x:c r="E982" s="30" t="str">
        <x:v>可候选；Agent决定是否创建/执行</x:v>
      </x:c>
      <x:c r="F982" s="30" t="str">
        <x:v>基线：依实际装配启用</x:v>
      </x:c>
    </x:row>
    <x:row r="983" ht="40" customHeight="1">
      <x:c r="A983" s="30" t="str">
        <x:v>SC12</x:v>
      </x:c>
      <x:c r="B983" s="30" t="str">
        <x:v>雪地/高山失踪搜索</x:v>
      </x:c>
      <x:c r="C983" s="30" t="str">
        <x:v>T055</x:v>
      </x:c>
      <x:c r="D983" s="30" t="str">
        <x:v>信道/功率/传输优先级调整</x:v>
      </x:c>
      <x:c r="E983" s="30" t="str">
        <x:v>可候选；Agent决定是否创建/执行</x:v>
      </x:c>
      <x:c r="F983" s="30" t="str">
        <x:v>基线：依实际装配启用</x:v>
      </x:c>
    </x:row>
    <x:row r="984" ht="40" customHeight="1">
      <x:c r="A984" s="30" t="str">
        <x:v>SC12</x:v>
      </x:c>
      <x:c r="B984" s="30" t="str">
        <x:v>雪地/高山失踪搜索</x:v>
      </x:c>
      <x:c r="C984" s="30" t="str">
        <x:v>T056</x:v>
      </x:c>
      <x:c r="D984" s="30" t="str">
        <x:v>失联后的连接恢复</x:v>
      </x:c>
      <x:c r="E984" s="30" t="str">
        <x:v>可候选；Agent决定是否创建/执行</x:v>
      </x:c>
      <x:c r="F984" s="30" t="str">
        <x:v>基线：依实际装配启用</x:v>
      </x:c>
    </x:row>
    <x:row r="985" ht="40" customHeight="1">
      <x:c r="A985" s="30" t="str">
        <x:v>SC12</x:v>
      </x:c>
      <x:c r="B985" s="30" t="str">
        <x:v>雪地/高山失踪搜索</x:v>
      </x:c>
      <x:c r="C985" s="30" t="str">
        <x:v>T057</x:v>
      </x:c>
      <x:c r="D985" s="30" t="str">
        <x:v>计算与模型服务发现</x:v>
      </x:c>
      <x:c r="E985" s="30" t="str">
        <x:v>可候选；Agent决定是否创建/执行</x:v>
      </x:c>
      <x:c r="F985" s="30" t="str">
        <x:v>基线：依实际装配启用</x:v>
      </x:c>
    </x:row>
    <x:row r="986" ht="40" customHeight="1">
      <x:c r="A986" s="30" t="str">
        <x:v>SC12</x:v>
      </x:c>
      <x:c r="B986" s="30" t="str">
        <x:v>雪地/高山失踪搜索</x:v>
      </x:c>
      <x:c r="C986" s="30" t="str">
        <x:v>T058</x:v>
      </x:c>
      <x:c r="D986" s="30" t="str">
        <x:v>本地视觉检测</x:v>
      </x:c>
      <x:c r="E986" s="30" t="str">
        <x:v>可候选；Agent决定是否创建/执行</x:v>
      </x:c>
      <x:c r="F986" s="30" t="str">
        <x:v>基线：依实际装配启用</x:v>
      </x:c>
    </x:row>
    <x:row r="987" ht="40" customHeight="1">
      <x:c r="A987" s="30" t="str">
        <x:v>SC12</x:v>
      </x:c>
      <x:c r="B987" s="30" t="str">
        <x:v>雪地/高山失踪搜索</x:v>
      </x:c>
      <x:c r="C987" s="30" t="str">
        <x:v>T059</x:v>
      </x:c>
      <x:c r="D987" s="30" t="str">
        <x:v>本地语义/任务推理</x:v>
      </x:c>
      <x:c r="E987" s="30" t="str">
        <x:v>可候选；Agent决定是否创建/执行</x:v>
      </x:c>
      <x:c r="F987" s="30" t="str">
        <x:v>基线：依实际装配启用</x:v>
      </x:c>
    </x:row>
    <x:row r="988" ht="40" customHeight="1">
      <x:c r="A988" s="30" t="str">
        <x:v>SC12</x:v>
      </x:c>
      <x:c r="B988" s="30" t="str">
        <x:v>雪地/高山失踪搜索</x:v>
      </x:c>
      <x:c r="C988" s="30" t="str">
        <x:v>T060</x:v>
      </x:c>
      <x:c r="D988" s="30" t="str">
        <x:v>远程视觉复核/推理卸载</x:v>
      </x:c>
      <x:c r="E988" s="30" t="str">
        <x:v>可候选；Agent决定是否创建/执行</x:v>
      </x:c>
      <x:c r="F988" s="30" t="str">
        <x:v>基线：依实际装配启用</x:v>
      </x:c>
    </x:row>
    <x:row r="989" ht="40" customHeight="1">
      <x:c r="A989" s="30" t="str">
        <x:v>SC12</x:v>
      </x:c>
      <x:c r="B989" s="30" t="str">
        <x:v>雪地/高山失踪搜索</x:v>
      </x:c>
      <x:c r="C989" s="30" t="str">
        <x:v>T061</x:v>
      </x:c>
      <x:c r="D989" s="30" t="str">
        <x:v>执行节点与模型选择</x:v>
      </x:c>
      <x:c r="E989" s="30" t="str">
        <x:v>可候选；Agent决定是否创建/执行</x:v>
      </x:c>
      <x:c r="F989" s="30" t="str">
        <x:v>基线：依实际装配启用</x:v>
      </x:c>
    </x:row>
    <x:row r="990" ht="40" customHeight="1">
      <x:c r="A990" s="30" t="str">
        <x:v>SC12</x:v>
      </x:c>
      <x:c r="B990" s="30" t="str">
        <x:v>雪地/高山失踪搜索</x:v>
      </x:c>
      <x:c r="C990" s="30" t="str">
        <x:v>T062</x:v>
      </x:c>
      <x:c r="D990" s="30" t="str">
        <x:v>计算作业准入与排队</x:v>
      </x:c>
      <x:c r="E990" s="30" t="str">
        <x:v>可候选；Agent决定是否创建/执行</x:v>
      </x:c>
      <x:c r="F990" s="30" t="str">
        <x:v>基线：依实际装配启用</x:v>
      </x:c>
    </x:row>
    <x:row r="991" ht="40" customHeight="1">
      <x:c r="A991" s="30" t="str">
        <x:v>SC12</x:v>
      </x:c>
      <x:c r="B991" s="30" t="str">
        <x:v>雪地/高山失踪搜索</x:v>
      </x:c>
      <x:c r="C991" s="30" t="str">
        <x:v>T063</x:v>
      </x:c>
      <x:c r="D991" s="30" t="str">
        <x:v>模型服务加载/卸载</x:v>
      </x:c>
      <x:c r="E991" s="30" t="str">
        <x:v>可候选；Agent决定是否创建/执行</x:v>
      </x:c>
      <x:c r="F991" s="30" t="str">
        <x:v>基线：依实际装配启用</x:v>
      </x:c>
    </x:row>
    <x:row r="992" ht="40" customHeight="1">
      <x:c r="A992" s="30" t="str">
        <x:v>SC12</x:v>
      </x:c>
      <x:c r="B992" s="30" t="str">
        <x:v>雪地/高山失踪搜索</x:v>
      </x:c>
      <x:c r="C992" s="30" t="str">
        <x:v>T064</x:v>
      </x:c>
      <x:c r="D992" s="30" t="str">
        <x:v>上下文/表示缓存复用</x:v>
      </x:c>
      <x:c r="E992" s="30" t="str">
        <x:v>可候选；Agent决定是否创建/执行</x:v>
      </x:c>
      <x:c r="F992" s="30" t="str">
        <x:v>基线：依实际装配启用</x:v>
      </x:c>
    </x:row>
    <x:row r="993" ht="40" customHeight="1">
      <x:c r="A993" s="30" t="str">
        <x:v>SC12</x:v>
      </x:c>
      <x:c r="B993" s="30" t="str">
        <x:v>雪地/高山失踪搜索</x:v>
      </x:c>
      <x:c r="C993" s="30" t="str">
        <x:v>T065</x:v>
      </x:c>
      <x:c r="D993" s="30" t="str">
        <x:v>服务/作业迁移与恢复</x:v>
      </x:c>
      <x:c r="E993" s="30" t="str">
        <x:v>可候选；Agent决定是否创建/执行</x:v>
      </x:c>
      <x:c r="F993" s="30" t="str">
        <x:v>条件扩展：明确设备/专业服务后启用</x:v>
      </x:c>
    </x:row>
    <x:row r="994" ht="40" customHeight="1">
      <x:c r="A994" s="30" t="str">
        <x:v>SC12</x:v>
      </x:c>
      <x:c r="B994" s="30" t="str">
        <x:v>雪地/高山失踪搜索</x:v>
      </x:c>
      <x:c r="C994" s="30" t="str">
        <x:v>T066</x:v>
      </x:c>
      <x:c r="D994" s="30" t="str">
        <x:v>预算耗尽/失败作业取消重试</x:v>
      </x:c>
      <x:c r="E994" s="30" t="str">
        <x:v>可候选；Agent决定是否创建/执行</x:v>
      </x:c>
      <x:c r="F994" s="30" t="str">
        <x:v>基线：依实际装配启用</x:v>
      </x:c>
    </x:row>
    <x:row r="995" ht="40" customHeight="1">
      <x:c r="A995" s="30" t="str">
        <x:v>SC12</x:v>
      </x:c>
      <x:c r="B995" s="30" t="str">
        <x:v>雪地/高山失踪搜索</x:v>
      </x:c>
      <x:c r="C995" s="30" t="str">
        <x:v>T067</x:v>
      </x:c>
      <x:c r="D995" s="30" t="str">
        <x:v>批处理/多源联合推理</x:v>
      </x:c>
      <x:c r="E995" s="30" t="str">
        <x:v>可候选；Agent决定是否创建/执行</x:v>
      </x:c>
      <x:c r="F995" s="30" t="str">
        <x:v>基线：依实际装配启用</x:v>
      </x:c>
    </x:row>
    <x:row r="996" ht="40" customHeight="1">
      <x:c r="A996" s="30" t="str">
        <x:v>SC12</x:v>
      </x:c>
      <x:c r="B996" s="30" t="str">
        <x:v>雪地/高山失踪搜索</x:v>
      </x:c>
      <x:c r="C996" s="30" t="str">
        <x:v>T068</x:v>
      </x:c>
      <x:c r="D996" s="30" t="str">
        <x:v>计算资源释放与缓存清理</x:v>
      </x:c>
      <x:c r="E996" s="30" t="str">
        <x:v>可候选；Agent决定是否创建/执行</x:v>
      </x:c>
      <x:c r="F996" s="30" t="str">
        <x:v>基线：依实际装配启用</x:v>
      </x:c>
    </x:row>
    <x:row r="997" ht="40" customHeight="1">
      <x:c r="A997" s="30" t="str">
        <x:v>SC12</x:v>
      </x:c>
      <x:c r="B997" s="30" t="str">
        <x:v>雪地/高山失踪搜索</x:v>
      </x:c>
      <x:c r="C997" s="30" t="str">
        <x:v>T069</x:v>
      </x:c>
      <x:c r="D997" s="30" t="str">
        <x:v>跨源时间坐标对齐</x:v>
      </x:c>
      <x:c r="E997" s="30" t="str">
        <x:v>可候选；Agent决定是否创建/执行</x:v>
      </x:c>
      <x:c r="F997" s="30" t="str">
        <x:v>基线：依实际装配启用</x:v>
      </x:c>
    </x:row>
    <x:row r="998" ht="40" customHeight="1">
      <x:c r="A998" s="30" t="str">
        <x:v>SC12</x:v>
      </x:c>
      <x:c r="B998" s="30" t="str">
        <x:v>雪地/高山失踪搜索</x:v>
      </x:c>
      <x:c r="C998" s="30" t="str">
        <x:v>T070</x:v>
      </x:c>
      <x:c r="D998" s="30" t="str">
        <x:v>任务条件化本地历史检索</x:v>
      </x:c>
      <x:c r="E998" s="30" t="str">
        <x:v>可候选；Agent决定是否创建/执行</x:v>
      </x:c>
      <x:c r="F998" s="30" t="str">
        <x:v>基线：依实际装配启用</x:v>
      </x:c>
    </x:row>
    <x:row r="999" ht="40" customHeight="1">
      <x:c r="A999" s="30" t="str">
        <x:v>SC12</x:v>
      </x:c>
      <x:c r="B999" s="30" t="str">
        <x:v>雪地/高山失踪搜索</x:v>
      </x:c>
      <x:c r="C999" s="30" t="str">
        <x:v>T071</x:v>
      </x:c>
      <x:c r="D999" s="30" t="str">
        <x:v>图像裁剪/编码/证据打包</x:v>
      </x:c>
      <x:c r="E999" s="30" t="str">
        <x:v>可候选；Agent决定是否创建/执行</x:v>
      </x:c>
      <x:c r="F999" s="30" t="str">
        <x:v>基线：依实际装配启用</x:v>
      </x:c>
    </x:row>
    <x:row r="1000" ht="40" customHeight="1">
      <x:c r="A1000" s="30" t="str">
        <x:v>SC12</x:v>
      </x:c>
      <x:c r="B1000" s="30" t="str">
        <x:v>雪地/高山失踪搜索</x:v>
      </x:c>
      <x:c r="C1000" s="30" t="str">
        <x:v>T072</x:v>
      </x:c>
      <x:c r="D1000" s="30" t="str">
        <x:v>置信度与证据充分性判断</x:v>
      </x:c>
      <x:c r="E1000" s="30" t="str">
        <x:v>可候选；Agent决定是否创建/执行</x:v>
      </x:c>
      <x:c r="F1000" s="30" t="str">
        <x:v>基线：依实际装配启用</x:v>
      </x:c>
    </x:row>
    <x:row r="1001" ht="40" customHeight="1">
      <x:c r="A1001" s="30" t="str">
        <x:v>SC12</x:v>
      </x:c>
      <x:c r="B1001" s="30" t="str">
        <x:v>雪地/高山失踪搜索</x:v>
      </x:c>
      <x:c r="C1001" s="30" t="str">
        <x:v>T073</x:v>
      </x:c>
      <x:c r="D1001" s="30" t="str">
        <x:v>多源融合与冲突更正</x:v>
      </x:c>
      <x:c r="E1001" s="30" t="str">
        <x:v>可候选；Agent决定是否创建/执行</x:v>
      </x:c>
      <x:c r="F1001" s="30" t="str">
        <x:v>基线：依实际装配启用</x:v>
      </x:c>
    </x:row>
    <x:row r="1002" ht="40" customHeight="1">
      <x:c r="A1002" s="30" t="str">
        <x:v>SC12</x:v>
      </x:c>
      <x:c r="B1002" s="30" t="str">
        <x:v>雪地/高山失踪搜索</x:v>
      </x:c>
      <x:c r="C1002" s="30" t="str">
        <x:v>T074</x:v>
      </x:c>
      <x:c r="D1002" s="30" t="str">
        <x:v>面向任务的信息选择与共享</x:v>
      </x:c>
      <x:c r="E1002" s="30" t="str">
        <x:v>可候选；Agent决定是否创建/执行</x:v>
      </x:c>
      <x:c r="F1002" s="30" t="str">
        <x:v>基线：依实际装配启用</x:v>
      </x:c>
    </x:row>
    <x:row r="1003" ht="40" customHeight="1">
      <x:c r="A1003" s="30" t="str">
        <x:v>SC12</x:v>
      </x:c>
      <x:c r="B1003" s="30" t="str">
        <x:v>雪地/高山失踪搜索</x:v>
      </x:c>
      <x:c r="C1003" s="30" t="str">
        <x:v>T075</x:v>
      </x:c>
      <x:c r="D1003" s="30" t="str">
        <x:v>局部信念与过时信息维护</x:v>
      </x:c>
      <x:c r="E1003" s="30" t="str">
        <x:v>可候选；Agent决定是否创建/执行</x:v>
      </x:c>
      <x:c r="F1003" s="30" t="str">
        <x:v>基线：依实际装配启用</x:v>
      </x:c>
    </x:row>
    <x:row r="1004" ht="40" customHeight="1">
      <x:c r="A1004" s="30" t="str">
        <x:v>SC12</x:v>
      </x:c>
      <x:c r="B1004" s="30" t="str">
        <x:v>雪地/高山失踪搜索</x:v>
      </x:c>
      <x:c r="C1004" s="30" t="str">
        <x:v>T076</x:v>
      </x:c>
      <x:c r="D1004" s="30" t="str">
        <x:v>轨迹/证据归档与回放</x:v>
      </x:c>
      <x:c r="E1004" s="30" t="str">
        <x:v>可候选；Agent决定是否创建/执行</x:v>
      </x:c>
      <x:c r="F1004" s="30" t="str">
        <x:v>基线：依实际装配启用</x:v>
      </x:c>
    </x:row>
    <x:row r="1005" ht="40" customHeight="1">
      <x:c r="A1005" s="30" t="str">
        <x:v>SC12</x:v>
      </x:c>
      <x:c r="B1005" s="30" t="str">
        <x:v>雪地/高山失踪搜索</x:v>
      </x:c>
      <x:c r="C1005" s="30" t="str">
        <x:v>T077</x:v>
      </x:c>
      <x:c r="D1005" s="30" t="str">
        <x:v>接收并解释当前使命</x:v>
      </x:c>
      <x:c r="E1005" s="30" t="str">
        <x:v>可候选；Agent决定是否创建/执行</x:v>
      </x:c>
      <x:c r="F1005" s="30" t="str">
        <x:v>基线：依实际装配启用</x:v>
      </x:c>
    </x:row>
    <x:row r="1006" ht="40" customHeight="1">
      <x:c r="A1006" s="30" t="str">
        <x:v>SC12</x:v>
      </x:c>
      <x:c r="B1006" s="30" t="str">
        <x:v>雪地/高山失踪搜索</x:v>
      </x:c>
      <x:c r="C1006" s="30" t="str">
        <x:v>T078</x:v>
      </x:c>
      <x:c r="D1006" s="30" t="str">
        <x:v>自主任务分解与候选生成</x:v>
      </x:c>
      <x:c r="E1006" s="30" t="str">
        <x:v>可候选；Agent决定是否创建/执行</x:v>
      </x:c>
      <x:c r="F1006" s="30" t="str">
        <x:v>基线：依实际装配启用</x:v>
      </x:c>
    </x:row>
    <x:row r="1007" ht="40" customHeight="1">
      <x:c r="A1007" s="30" t="str">
        <x:v>SC12</x:v>
      </x:c>
      <x:c r="B1007" s="30" t="str">
        <x:v>雪地/高山失踪搜索</x:v>
      </x:c>
      <x:c r="C1007" s="30" t="str">
        <x:v>T079</x:v>
      </x:c>
      <x:c r="D1007" s="30" t="str">
        <x:v>本机参与筛选与出价</x:v>
      </x:c>
      <x:c r="E1007" s="30" t="str">
        <x:v>可候选；Agent决定是否创建/执行</x:v>
      </x:c>
      <x:c r="F1007" s="30" t="str">
        <x:v>基线：依实际装配启用</x:v>
      </x:c>
    </x:row>
    <x:row r="1008" ht="40" customHeight="1">
      <x:c r="A1008" s="30" t="str">
        <x:v>SC12</x:v>
      </x:c>
      <x:c r="B1008" s="30" t="str">
        <x:v>雪地/高山失踪搜索</x:v>
      </x:c>
      <x:c r="C1008" s="30" t="str">
        <x:v>T080</x:v>
      </x:c>
      <x:c r="D1008" s="30" t="str">
        <x:v>多平台任务分配与协调</x:v>
      </x:c>
      <x:c r="E1008" s="30" t="str">
        <x:v>可候选；Agent决定是否创建/执行</x:v>
      </x:c>
      <x:c r="F1008" s="30" t="str">
        <x:v>基线：依实际装配启用</x:v>
      </x:c>
    </x:row>
    <x:row r="1009" ht="40" customHeight="1">
      <x:c r="A1009" s="30" t="str">
        <x:v>SC12</x:v>
      </x:c>
      <x:c r="B1009" s="30" t="str">
        <x:v>雪地/高山失踪搜索</x:v>
      </x:c>
      <x:c r="C1009" s="30" t="str">
        <x:v>T081</x:v>
      </x:c>
      <x:c r="D1009" s="30" t="str">
        <x:v>任务接受/拒绝与承诺</x:v>
      </x:c>
      <x:c r="E1009" s="30" t="str">
        <x:v>可候选；Agent决定是否创建/执行</x:v>
      </x:c>
      <x:c r="F1009" s="30" t="str">
        <x:v>基线：依实际装配启用</x:v>
      </x:c>
    </x:row>
    <x:row r="1010" ht="40" customHeight="1">
      <x:c r="A1010" s="30" t="str">
        <x:v>SC12</x:v>
      </x:c>
      <x:c r="B1010" s="30" t="str">
        <x:v>雪地/高山失踪搜索</x:v>
      </x:c>
      <x:c r="C1010" s="30" t="str">
        <x:v>T082</x:v>
      </x:c>
      <x:c r="D1010" s="30" t="str">
        <x:v>进度监控与完成确认</x:v>
      </x:c>
      <x:c r="E1010" s="30" t="str">
        <x:v>可候选；Agent决定是否创建/执行</x:v>
      </x:c>
      <x:c r="F1010" s="30" t="str">
        <x:v>基线：依实际装配启用</x:v>
      </x:c>
    </x:row>
    <x:row r="1011" ht="40" customHeight="1">
      <x:c r="A1011" s="30" t="str">
        <x:v>SC12</x:v>
      </x:c>
      <x:c r="B1011" s="30" t="str">
        <x:v>雪地/高山失踪搜索</x:v>
      </x:c>
      <x:c r="C1011" s="30" t="str">
        <x:v>T083</x:v>
      </x:c>
      <x:c r="D1011" s="30" t="str">
        <x:v>任务取消/抢占</x:v>
      </x:c>
      <x:c r="E1011" s="30" t="str">
        <x:v>可候选；Agent决定是否创建/执行</x:v>
      </x:c>
      <x:c r="F1011" s="30" t="str">
        <x:v>基线：依实际装配启用</x:v>
      </x:c>
    </x:row>
    <x:row r="1012" ht="40" customHeight="1">
      <x:c r="A1012" s="30" t="str">
        <x:v>SC12</x:v>
      </x:c>
      <x:c r="B1012" s="30" t="str">
        <x:v>雪地/高山失踪搜索</x:v>
      </x:c>
      <x:c r="C1012" s="30" t="str">
        <x:v>T084</x:v>
      </x:c>
      <x:c r="D1012" s="30" t="str">
        <x:v>恢复原任务</x:v>
      </x:c>
      <x:c r="E1012" s="30" t="str">
        <x:v>可候选；Agent决定是否创建/执行</x:v>
      </x:c>
      <x:c r="F1012" s="30" t="str">
        <x:v>基线：依实际装配启用</x:v>
      </x:c>
    </x:row>
    <x:row r="1013" ht="40" customHeight="1">
      <x:c r="A1013" s="30" t="str">
        <x:v>SC12</x:v>
      </x:c>
      <x:c r="B1013" s="30" t="str">
        <x:v>雪地/高山失踪搜索</x:v>
      </x:c>
      <x:c r="C1013" s="30" t="str">
        <x:v>T085</x:v>
      </x:c>
      <x:c r="D1013" s="30" t="str">
        <x:v>跨Agent任务与证据交接</x:v>
      </x:c>
      <x:c r="E1013" s="30" t="str">
        <x:v>可候选；Agent决定是否创建/执行</x:v>
      </x:c>
      <x:c r="F1013" s="30" t="str">
        <x:v>基线：依实际装配启用</x:v>
      </x:c>
    </x:row>
    <x:row r="1014" ht="40" customHeight="1">
      <x:c r="A1014" s="30" t="str">
        <x:v>SC12</x:v>
      </x:c>
      <x:c r="B1014" s="30" t="str">
        <x:v>雪地/高山失踪搜索</x:v>
      </x:c>
      <x:c r="C1014" s="30" t="str">
        <x:v>T086</x:v>
      </x:c>
      <x:c r="D1014" s="30" t="str">
        <x:v>失败重规划与重派</x:v>
      </x:c>
      <x:c r="E1014" s="30" t="str">
        <x:v>可候选；Agent决定是否创建/执行</x:v>
      </x:c>
      <x:c r="F1014" s="30" t="str">
        <x:v>基线：依实际装配启用</x:v>
      </x:c>
    </x:row>
    <x:row r="1015" ht="40" customHeight="1">
      <x:c r="A1015" s="30" t="str">
        <x:v>SC12</x:v>
      </x:c>
      <x:c r="B1015" s="30" t="str">
        <x:v>雪地/高山失踪搜索</x:v>
      </x:c>
      <x:c r="C1015" s="30" t="str">
        <x:v>T087</x:v>
      </x:c>
      <x:c r="D1015" s="30" t="str">
        <x:v>请求专业救援/工程力量</x:v>
      </x:c>
      <x:c r="E1015" s="30" t="str">
        <x:v>可候选；Agent决定是否创建/执行</x:v>
      </x:c>
      <x:c r="F1015" s="30" t="str">
        <x:v>基线：依实际装配启用</x:v>
      </x:c>
    </x:row>
    <x:row r="1016" ht="40" customHeight="1">
      <x:c r="A1016" s="30" t="str">
        <x:v>SC12</x:v>
      </x:c>
      <x:c r="B1016" s="30" t="str">
        <x:v>雪地/高山失踪搜索</x:v>
      </x:c>
      <x:c r="C1016" s="30" t="str">
        <x:v>T088</x:v>
      </x:c>
      <x:c r="D1016" s="30" t="str">
        <x:v>工作现场闭合与阶段移交</x:v>
      </x:c>
      <x:c r="E1016" s="30" t="str">
        <x:v>可候选；Agent决定是否创建/执行</x:v>
      </x:c>
      <x:c r="F1016" s="30" t="str">
        <x:v>基线：依实际装配启用</x:v>
      </x:c>
    </x:row>
    <x:row r="1017" ht="40" customHeight="1">
      <x:c r="A1017" s="30" t="str">
        <x:v>SC12</x:v>
      </x:c>
      <x:c r="B1017" s="30" t="str">
        <x:v>雪地/高山失踪搜索</x:v>
      </x:c>
      <x:c r="C1017" s="30" t="str">
        <x:v>T089</x:v>
      </x:c>
      <x:c r="D1017" s="30" t="str">
        <x:v>次生危险动态监视</x:v>
      </x:c>
      <x:c r="E1017" s="30" t="str">
        <x:v>可候选；Agent决定是否创建/执行</x:v>
      </x:c>
      <x:c r="F1017" s="30" t="str">
        <x:v>基线：依实际装配启用</x:v>
      </x:c>
    </x:row>
    <x:row r="1018" ht="40" customHeight="1">
      <x:c r="A1018" s="30" t="str">
        <x:v>SC12</x:v>
      </x:c>
      <x:c r="B1018" s="30" t="str">
        <x:v>雪地/高山失踪搜索</x:v>
      </x:c>
      <x:c r="C1018" s="30" t="str">
        <x:v>T090</x:v>
      </x:c>
      <x:c r="D1018" s="30" t="str">
        <x:v>平台/能源/服务健康监视</x:v>
      </x:c>
      <x:c r="E1018" s="30" t="str">
        <x:v>可候选；Agent决定是否创建/执行</x:v>
      </x:c>
      <x:c r="F1018" s="30" t="str">
        <x:v>基线：依实际装配启用</x:v>
      </x:c>
    </x:row>
    <x:row r="1019" ht="40" customHeight="1">
      <x:c r="A1019" s="30" t="str">
        <x:v>SC12</x:v>
      </x:c>
      <x:c r="B1019" s="30" t="str">
        <x:v>雪地/高山失踪搜索</x:v>
      </x:c>
      <x:c r="C1019" s="30" t="str">
        <x:v>T091</x:v>
      </x:c>
      <x:c r="D1019" s="30" t="str">
        <x:v>安全等待与驻留观察</x:v>
      </x:c>
      <x:c r="E1019" s="30" t="str">
        <x:v>可候选；Agent决定是否创建/执行</x:v>
      </x:c>
      <x:c r="F1019" s="30" t="str">
        <x:v>基线：依实际装配启用</x:v>
      </x:c>
    </x:row>
    <x:row r="1020" ht="40" customHeight="1">
      <x:c r="A1020" s="30" t="str">
        <x:v>SC12</x:v>
      </x:c>
      <x:c r="B1020" s="30" t="str">
        <x:v>雪地/高山失踪搜索</x:v>
      </x:c>
      <x:c r="C1020" s="30" t="str">
        <x:v>T092</x:v>
      </x:c>
      <x:c r="D1020" s="30" t="str">
        <x:v>设备/传感器/服务故障诊断</x:v>
      </x:c>
      <x:c r="E1020" s="30" t="str">
        <x:v>可候选；Agent决定是否创建/执行</x:v>
      </x:c>
      <x:c r="F1020" s="30" t="str">
        <x:v>基线：依实际装配启用</x:v>
      </x:c>
    </x:row>
    <x:row r="1021" ht="40" customHeight="1">
      <x:c r="A1021" s="30" t="str">
        <x:v>SC12</x:v>
      </x:c>
      <x:c r="B1021" s="30" t="str">
        <x:v>雪地/高山失踪搜索</x:v>
      </x:c>
      <x:c r="C1021" s="30" t="str">
        <x:v>T096</x:v>
      </x:c>
      <x:c r="D1021" s="30" t="str">
        <x:v>跨模型特征/潜表示适配</x:v>
      </x:c>
      <x:c r="E1021" s="30" t="str">
        <x:v>可候选；Agent决定是否创建/执行</x:v>
      </x:c>
      <x:c r="F1021" s="30" t="str">
        <x:v>条件扩展：明确设备/专业服务后启用</x:v>
      </x:c>
    </x:row>
    <x:row r="1022" ht="40" customHeight="1">
      <x:c r="A1022" s="30" t="str">
        <x:v>SC13</x:v>
      </x:c>
      <x:c r="B1022" s="30" t="str">
        <x:v>海岸丘陵/崖壁/滨海失踪搜索</x:v>
      </x:c>
      <x:c r="C1022" s="30" t="str">
        <x:v>T001</x:v>
      </x:c>
      <x:c r="D1022" s="30" t="str">
        <x:v>区域快速普查</x:v>
      </x:c>
      <x:c r="E1022" s="30" t="str">
        <x:v>可候选；Agent决定是否创建/执行</x:v>
      </x:c>
      <x:c r="F1022" s="30" t="str">
        <x:v>基线：依实际装配启用</x:v>
      </x:c>
    </x:row>
    <x:row r="1023" ht="40" customHeight="1">
      <x:c r="A1023" s="30" t="str">
        <x:v>SC13</x:v>
      </x:c>
      <x:c r="B1023" s="30" t="str">
        <x:v>海岸丘陵/崖壁/滨海失踪搜索</x:v>
      </x:c>
      <x:c r="C1023" s="30" t="str">
        <x:v>T003</x:v>
      </x:c>
      <x:c r="D1023" s="30" t="str">
        <x:v>道路与通路灾后评估</x:v>
      </x:c>
      <x:c r="E1023" s="30" t="str">
        <x:v>可候选；Agent决定是否创建/执行</x:v>
      </x:c>
      <x:c r="F1023" s="30" t="str">
        <x:v>基线：依实际装配启用</x:v>
      </x:c>
    </x:row>
    <x:row r="1024" ht="40" customHeight="1">
      <x:c r="A1024" s="30" t="str">
        <x:v>SC13</x:v>
      </x:c>
      <x:c r="B1024" s="30" t="str">
        <x:v>海岸丘陵/崖壁/滨海失踪搜索</x:v>
      </x:c>
      <x:c r="C1024" s="30" t="str">
        <x:v>T005</x:v>
      </x:c>
      <x:c r="D1024" s="30" t="str">
        <x:v>水域边界与涉水条件评估</x:v>
      </x:c>
      <x:c r="E1024" s="30" t="str">
        <x:v>可候选；Agent决定是否创建/执行</x:v>
      </x:c>
      <x:c r="F1024" s="30" t="str">
        <x:v>基线：依实际装配启用</x:v>
      </x:c>
    </x:row>
    <x:row r="1025" ht="40" customHeight="1">
      <x:c r="A1025" s="30" t="str">
        <x:v>SC13</x:v>
      </x:c>
      <x:c r="B1025" s="30" t="str">
        <x:v>海岸丘陵/崖壁/滨海失踪搜索</x:v>
      </x:c>
      <x:c r="C1025" s="30" t="str">
        <x:v>T008</x:v>
      </x:c>
      <x:c r="D1025" s="30" t="str">
        <x:v>建筑/区域覆盖登记</x:v>
      </x:c>
      <x:c r="E1025" s="30" t="str">
        <x:v>可候选；Agent决定是否创建/执行</x:v>
      </x:c>
      <x:c r="F1025" s="30" t="str">
        <x:v>基线：依实际装配启用</x:v>
      </x:c>
    </x:row>
    <x:row r="1026" ht="40" customHeight="1">
      <x:c r="A1026" s="30" t="str">
        <x:v>SC13</x:v>
      </x:c>
      <x:c r="B1026" s="30" t="str">
        <x:v>海岸丘陵/崖壁/滨海失踪搜索</x:v>
      </x:c>
      <x:c r="C1026" s="30" t="str">
        <x:v>T009</x:v>
      </x:c>
      <x:c r="D1026" s="30" t="str">
        <x:v>系统空中人员搜索</x:v>
      </x:c>
      <x:c r="E1026" s="30" t="str">
        <x:v>可候选；Agent决定是否创建/执行</x:v>
      </x:c>
      <x:c r="F1026" s="30" t="str">
        <x:v>基线：依实际装配启用</x:v>
      </x:c>
    </x:row>
    <x:row r="1027" ht="40" customHeight="1">
      <x:c r="A1027" s="30" t="str">
        <x:v>SC13</x:v>
      </x:c>
      <x:c r="B1027" s="30" t="str">
        <x:v>海岸丘陵/崖壁/滨海失踪搜索</x:v>
      </x:c>
      <x:c r="C1027" s="30" t="str">
        <x:v>T010</x:v>
      </x:c>
      <x:c r="D1027" s="30" t="str">
        <x:v>线索发现与语义解读</x:v>
      </x:c>
      <x:c r="E1027" s="30" t="str">
        <x:v>可候选；Agent决定是否创建/执行</x:v>
      </x:c>
      <x:c r="F1027" s="30" t="str">
        <x:v>基线：依实际装配启用</x:v>
      </x:c>
    </x:row>
    <x:row r="1028" ht="40" customHeight="1">
      <x:c r="A1028" s="30" t="str">
        <x:v>SC13</x:v>
      </x:c>
      <x:c r="B1028" s="30" t="str">
        <x:v>海岸丘陵/崖壁/滨海失踪搜索</x:v>
      </x:c>
      <x:c r="C1028" s="30" t="str">
        <x:v>T011</x:v>
      </x:c>
      <x:c r="D1028" s="30" t="str">
        <x:v>疑似目标多视角复核</x:v>
      </x:c>
      <x:c r="E1028" s="30" t="str">
        <x:v>可候选；Agent决定是否创建/执行</x:v>
      </x:c>
      <x:c r="F1028" s="30" t="str">
        <x:v>基线：依实际装配启用</x:v>
      </x:c>
    </x:row>
    <x:row r="1029" ht="40" customHeight="1">
      <x:c r="A1029" s="30" t="str">
        <x:v>SC13</x:v>
      </x:c>
      <x:c r="B1029" s="30" t="str">
        <x:v>海岸丘陵/崖壁/滨海失踪搜索</x:v>
      </x:c>
      <x:c r="C1029" s="30" t="str">
        <x:v>T012</x:v>
      </x:c>
      <x:c r="D1029" s="30" t="str">
        <x:v>目标定位跟踪与跨视角关联</x:v>
      </x:c>
      <x:c r="E1029" s="30" t="str">
        <x:v>可候选；Agent决定是否创建/执行</x:v>
      </x:c>
      <x:c r="F1029" s="30" t="str">
        <x:v>基线：依实际装配启用</x:v>
      </x:c>
    </x:row>
    <x:row r="1030" ht="40" customHeight="1">
      <x:c r="A1030" s="30" t="str">
        <x:v>SC13</x:v>
      </x:c>
      <x:c r="B1030" s="30" t="str">
        <x:v>海岸丘陵/崖壁/滨海失踪搜索</x:v>
      </x:c>
      <x:c r="C1030" s="30" t="str">
        <x:v>T013</x:v>
      </x:c>
      <x:c r="D1030" s="30" t="str">
        <x:v>近地外部与狭窄区搜索</x:v>
      </x:c>
      <x:c r="E1030" s="30" t="str">
        <x:v>可候选；Agent决定是否创建/执行</x:v>
      </x:c>
      <x:c r="F1030" s="30" t="str">
        <x:v>基线：依实际装配启用</x:v>
      </x:c>
    </x:row>
    <x:row r="1031" ht="40" customHeight="1">
      <x:c r="A1031" s="30" t="str">
        <x:v>SC13</x:v>
      </x:c>
      <x:c r="B1031" s="30" t="str">
        <x:v>海岸丘陵/崖壁/滨海失踪搜索</x:v>
      </x:c>
      <x:c r="C1031" s="30" t="str">
        <x:v>T016</x:v>
      </x:c>
      <x:c r="D1031" s="30" t="str">
        <x:v>热成像补充搜索</x:v>
      </x:c>
      <x:c r="E1031" s="30" t="str">
        <x:v>可候选；Agent决定是否创建/执行</x:v>
      </x:c>
      <x:c r="F1031" s="30" t="str">
        <x:v>条件扩展：明确设备/专业服务后启用</x:v>
      </x:c>
    </x:row>
    <x:row r="1032" ht="40" customHeight="1">
      <x:c r="A1032" s="30" t="str">
        <x:v>SC13</x:v>
      </x:c>
      <x:c r="B1032" s="30" t="str">
        <x:v>海岸丘陵/崖壁/滨海失踪搜索</x:v>
      </x:c>
      <x:c r="C1032" s="30" t="str">
        <x:v>T017</x:v>
      </x:c>
      <x:c r="D1032" s="30" t="str">
        <x:v>声音线索搜索</x:v>
      </x:c>
      <x:c r="E1032" s="30" t="str">
        <x:v>可候选；Agent决定是否创建/执行</x:v>
      </x:c>
      <x:c r="F1032" s="30" t="str">
        <x:v>条件扩展：明确设备/专业服务后启用</x:v>
      </x:c>
    </x:row>
    <x:row r="1033" ht="40" customHeight="1">
      <x:c r="A1033" s="30" t="str">
        <x:v>SC13</x:v>
      </x:c>
      <x:c r="B1033" s="30" t="str">
        <x:v>海岸丘陵/崖壁/滨海失踪搜索</x:v>
      </x:c>
      <x:c r="C1033" s="30" t="str">
        <x:v>T018</x:v>
      </x:c>
      <x:c r="D1033" s="30" t="str">
        <x:v>RF/手机线索搜索</x:v>
      </x:c>
      <x:c r="E1033" s="30" t="str">
        <x:v>可候选；Agent决定是否创建/执行</x:v>
      </x:c>
      <x:c r="F1033" s="30" t="str">
        <x:v>条件扩展：明确设备/专业服务后启用</x:v>
      </x:c>
    </x:row>
    <x:row r="1034" ht="40" customHeight="1">
      <x:c r="A1034" s="30" t="str">
        <x:v>SC13</x:v>
      </x:c>
      <x:c r="B1034" s="30" t="str">
        <x:v>海岸丘陵/崖壁/滨海失踪搜索</x:v>
      </x:c>
      <x:c r="C1034" s="30" t="str">
        <x:v>T019</x:v>
      </x:c>
      <x:c r="D1034" s="30" t="str">
        <x:v>空中转场与观察点到达</x:v>
      </x:c>
      <x:c r="E1034" s="30" t="str">
        <x:v>可候选；Agent决定是否创建/执行</x:v>
      </x:c>
      <x:c r="F1034" s="30" t="str">
        <x:v>基线：依实际装配启用</x:v>
      </x:c>
    </x:row>
    <x:row r="1035" ht="40" customHeight="1">
      <x:c r="A1035" s="30" t="str">
        <x:v>SC13</x:v>
      </x:c>
      <x:c r="B1035" s="30" t="str">
        <x:v>海岸丘陵/崖壁/滨海失踪搜索</x:v>
      </x:c>
      <x:c r="C1035" s="30" t="str">
        <x:v>T020</x:v>
      </x:c>
      <x:c r="D1035" s="30" t="str">
        <x:v>地面转场与绕行</x:v>
      </x:c>
      <x:c r="E1035" s="30" t="str">
        <x:v>可候选；Agent决定是否创建/执行</x:v>
      </x:c>
      <x:c r="F1035" s="30" t="str">
        <x:v>基线：依实际装配启用</x:v>
      </x:c>
    </x:row>
    <x:row r="1036" ht="40" customHeight="1">
      <x:c r="A1036" s="30" t="str">
        <x:v>SC13</x:v>
      </x:c>
      <x:c r="B1036" s="30" t="str">
        <x:v>海岸丘陵/崖壁/滨海失踪搜索</x:v>
      </x:c>
      <x:c r="C1036" s="30" t="str">
        <x:v>T021</x:v>
      </x:c>
      <x:c r="D1036" s="30" t="str">
        <x:v>障碍接近探测与路径验证</x:v>
      </x:c>
      <x:c r="E1036" s="30" t="str">
        <x:v>可候选；Agent决定是否创建/执行</x:v>
      </x:c>
      <x:c r="F1036" s="30" t="str">
        <x:v>基线：依实际装配启用</x:v>
      </x:c>
    </x:row>
    <x:row r="1037" ht="40" customHeight="1">
      <x:c r="A1037" s="30" t="str">
        <x:v>SC13</x:v>
      </x:c>
      <x:c r="B1037" s="30" t="str">
        <x:v>海岸丘陵/崖壁/滨海失踪搜索</x:v>
      </x:c>
      <x:c r="C1037" s="30" t="str">
        <x:v>T022</x:v>
      </x:c>
      <x:c r="D1037" s="30" t="str">
        <x:v>轻型残骸移除</x:v>
      </x:c>
      <x:c r="E1037" s="30" t="str">
        <x:v>可候选；Agent决定是否创建/执行</x:v>
      </x:c>
      <x:c r="F1037" s="30" t="str">
        <x:v>条件扩展：明确设备/专业服务后启用</x:v>
      </x:c>
    </x:row>
    <x:row r="1038" ht="40" customHeight="1">
      <x:c r="A1038" s="30" t="str">
        <x:v>SC13</x:v>
      </x:c>
      <x:c r="B1038" s="30" t="str">
        <x:v>海岸丘陵/崖壁/滨海失踪搜索</x:v>
      </x:c>
      <x:c r="C1038" s="30" t="str">
        <x:v>T027</x:v>
      </x:c>
      <x:c r="D1038" s="30" t="str">
        <x:v>建立联系并确认需求</x:v>
      </x:c>
      <x:c r="E1038" s="30" t="str">
        <x:v>可候选；Agent决定是否创建/执行</x:v>
      </x:c>
      <x:c r="F1038" s="30" t="str">
        <x:v>基线：依实际装配启用</x:v>
      </x:c>
    </x:row>
    <x:row r="1039" ht="40" customHeight="1">
      <x:c r="A1039" s="30" t="str">
        <x:v>SC13</x:v>
      </x:c>
      <x:c r="B1039" s="30" t="str">
        <x:v>海岸丘陵/崖壁/滨海失踪搜索</x:v>
      </x:c>
      <x:c r="C1039" s="30" t="str">
        <x:v>T028</x:v>
      </x:c>
      <x:c r="D1039" s="30" t="str">
        <x:v>安全警示与避险引导</x:v>
      </x:c>
      <x:c r="E1039" s="30" t="str">
        <x:v>可候选；Agent决定是否创建/执行</x:v>
      </x:c>
      <x:c r="F1039" s="30" t="str">
        <x:v>基线：依实际装配启用</x:v>
      </x:c>
    </x:row>
    <x:row r="1040" ht="40" customHeight="1">
      <x:c r="A1040" s="30" t="str">
        <x:v>SC13</x:v>
      </x:c>
      <x:c r="B1040" s="30" t="str">
        <x:v>海岸丘陵/崖壁/滨海失踪搜索</x:v>
      </x:c>
      <x:c r="C1040" s="30" t="str">
        <x:v>T029</x:v>
      </x:c>
      <x:c r="D1040" s="30" t="str">
        <x:v>专业伤员评估与分级</x:v>
      </x:c>
      <x:c r="E1040" s="30" t="str">
        <x:v>可候选；Agent决定是否创建/执行</x:v>
      </x:c>
      <x:c r="F1040" s="30" t="str">
        <x:v>条件扩展：明确设备/专业服务后启用</x:v>
      </x:c>
    </x:row>
    <x:row r="1041" ht="40" customHeight="1">
      <x:c r="A1041" s="30" t="str">
        <x:v>SC13</x:v>
      </x:c>
      <x:c r="B1041" s="30" t="str">
        <x:v>海岸丘陵/崖壁/滨海失踪搜索</x:v>
      </x:c>
      <x:c r="C1041" s="30" t="str">
        <x:v>T030</x:v>
      </x:c>
      <x:c r="D1041" s="30" t="str">
        <x:v>人员基础物资支援</x:v>
      </x:c>
      <x:c r="E1041" s="30" t="str">
        <x:v>可候选；Agent决定是否创建/执行</x:v>
      </x:c>
      <x:c r="F1041" s="30" t="str">
        <x:v>基线：依实际装配启用</x:v>
      </x:c>
    </x:row>
    <x:row r="1042" ht="40" customHeight="1">
      <x:c r="A1042" s="30" t="str">
        <x:v>SC13</x:v>
      </x:c>
      <x:c r="B1042" s="30" t="str">
        <x:v>海岸丘陵/崖壁/滨海失踪搜索</x:v>
      </x:c>
      <x:c r="C1042" s="30" t="str">
        <x:v>T031</x:v>
      </x:c>
      <x:c r="D1042" s="30" t="str">
        <x:v>专业初步救护</x:v>
      </x:c>
      <x:c r="E1042" s="30" t="str">
        <x:v>可候选；Agent决定是否创建/执行</x:v>
      </x:c>
      <x:c r="F1042" s="30" t="str">
        <x:v>条件扩展：明确设备/专业服务后启用</x:v>
      </x:c>
    </x:row>
    <x:row r="1043" ht="40" customHeight="1">
      <x:c r="A1043" s="30" t="str">
        <x:v>SC13</x:v>
      </x:c>
      <x:c r="B1043" s="30" t="str">
        <x:v>海岸丘陵/崖壁/滨海失踪搜索</x:v>
      </x:c>
      <x:c r="C1043" s="30" t="str">
        <x:v>T032</x:v>
      </x:c>
      <x:c r="D1043" s="30" t="str">
        <x:v>受困解除/解困</x:v>
      </x:c>
      <x:c r="E1043" s="30" t="str">
        <x:v>可候选；Agent决定是否创建/执行</x:v>
      </x:c>
      <x:c r="F1043" s="30" t="str">
        <x:v>条件扩展：明确设备/专业服务后启用</x:v>
      </x:c>
    </x:row>
    <x:row r="1044" ht="40" customHeight="1">
      <x:c r="A1044" s="30" t="str">
        <x:v>SC13</x:v>
      </x:c>
      <x:c r="B1044" s="30" t="str">
        <x:v>海岸丘陵/崖壁/滨海失踪搜索</x:v>
      </x:c>
      <x:c r="C1044" s="30" t="str">
        <x:v>T033</x:v>
      </x:c>
      <x:c r="D1044" s="30" t="str">
        <x:v>人员装载</x:v>
      </x:c>
      <x:c r="E1044" s="30" t="str">
        <x:v>可候选；Agent决定是否创建/执行</x:v>
      </x:c>
      <x:c r="F1044" s="30" t="str">
        <x:v>条件扩展：明确设备/专业服务后启用</x:v>
      </x:c>
    </x:row>
    <x:row r="1045" ht="40" customHeight="1">
      <x:c r="A1045" s="30" t="str">
        <x:v>SC13</x:v>
      </x:c>
      <x:c r="B1045" s="30" t="str">
        <x:v>海岸丘陵/崖壁/滨海失踪搜索</x:v>
      </x:c>
      <x:c r="C1045" s="30" t="str">
        <x:v>T034</x:v>
      </x:c>
      <x:c r="D1045" s="30" t="str">
        <x:v>人员转运</x:v>
      </x:c>
      <x:c r="E1045" s="30" t="str">
        <x:v>可候选；Agent决定是否创建/执行</x:v>
      </x:c>
      <x:c r="F1045" s="30" t="str">
        <x:v>条件扩展：明确设备/专业服务后启用</x:v>
      </x:c>
    </x:row>
    <x:row r="1046" ht="40" customHeight="1">
      <x:c r="A1046" s="30" t="str">
        <x:v>SC13</x:v>
      </x:c>
      <x:c r="B1046" s="30" t="str">
        <x:v>海岸丘陵/崖壁/滨海失踪搜索</x:v>
      </x:c>
      <x:c r="C1046" s="30" t="str">
        <x:v>T035</x:v>
      </x:c>
      <x:c r="D1046" s="30" t="str">
        <x:v>救援/医疗最终移交</x:v>
      </x:c>
      <x:c r="E1046" s="30" t="str">
        <x:v>可候选；Agent决定是否创建/执行</x:v>
      </x:c>
      <x:c r="F1046" s="30" t="str">
        <x:v>条件扩展：明确设备/专业服务后启用</x:v>
      </x:c>
    </x:row>
    <x:row r="1047" ht="40" customHeight="1">
      <x:c r="A1047" s="30" t="str">
        <x:v>SC13</x:v>
      </x:c>
      <x:c r="B1047" s="30" t="str">
        <x:v>海岸丘陵/崖壁/滨海失踪搜索</x:v>
      </x:c>
      <x:c r="C1047" s="30" t="str">
        <x:v>T036</x:v>
      </x:c>
      <x:c r="D1047" s="30" t="str">
        <x:v>水中人员救助回收</x:v>
      </x:c>
      <x:c r="E1047" s="30" t="str">
        <x:v>可候选；Agent决定是否创建/执行</x:v>
      </x:c>
      <x:c r="F1047" s="30" t="str">
        <x:v>条件扩展：明确设备/专业服务后启用</x:v>
      </x:c>
    </x:row>
    <x:row r="1048" ht="40" customHeight="1">
      <x:c r="A1048" s="30" t="str">
        <x:v>SC13</x:v>
      </x:c>
      <x:c r="B1048" s="30" t="str">
        <x:v>海岸丘陵/崖壁/滨海失踪搜索</x:v>
      </x:c>
      <x:c r="C1048" s="30" t="str">
        <x:v>T038</x:v>
      </x:c>
      <x:c r="D1048" s="30" t="str">
        <x:v>货物取用与挂载</x:v>
      </x:c>
      <x:c r="E1048" s="30" t="str">
        <x:v>可候选；Agent决定是否创建/执行</x:v>
      </x:c>
      <x:c r="F1048" s="30" t="str">
        <x:v>基线：依实际装配启用</x:v>
      </x:c>
    </x:row>
    <x:row r="1049" ht="40" customHeight="1">
      <x:c r="A1049" s="30" t="str">
        <x:v>SC13</x:v>
      </x:c>
      <x:c r="B1049" s="30" t="str">
        <x:v>海岸丘陵/崖壁/滨海失踪搜索</x:v>
      </x:c>
      <x:c r="C1049" s="30" t="str">
        <x:v>T039</x:v>
      </x:c>
      <x:c r="D1049" s="30" t="str">
        <x:v>无人机精确物资投送</x:v>
      </x:c>
      <x:c r="E1049" s="30" t="str">
        <x:v>可候选；Agent决定是否创建/执行</x:v>
      </x:c>
      <x:c r="F1049" s="30" t="str">
        <x:v>基线：依实际装配启用</x:v>
      </x:c>
    </x:row>
    <x:row r="1050" ht="40" customHeight="1">
      <x:c r="A1050" s="30" t="str">
        <x:v>SC13</x:v>
      </x:c>
      <x:c r="B1050" s="30" t="str">
        <x:v>海岸丘陵/崖壁/滨海失踪搜索</x:v>
      </x:c>
      <x:c r="C1050" s="30" t="str">
        <x:v>T040</x:v>
      </x:c>
      <x:c r="D1050" s="30" t="str">
        <x:v>地面物资送达与卸放</x:v>
      </x:c>
      <x:c r="E1050" s="30" t="str">
        <x:v>可候选；Agent决定是否创建/执行</x:v>
      </x:c>
      <x:c r="F1050" s="30" t="str">
        <x:v>基线：依实际装配启用</x:v>
      </x:c>
    </x:row>
    <x:row r="1051" ht="40" customHeight="1">
      <x:c r="A1051" s="30" t="str">
        <x:v>SC13</x:v>
      </x:c>
      <x:c r="B1051" s="30" t="str">
        <x:v>海岸丘陵/崖壁/滨海失踪搜索</x:v>
      </x:c>
      <x:c r="C1051" s="30" t="str">
        <x:v>T041</x:v>
      </x:c>
      <x:c r="D1051" s="30" t="str">
        <x:v>交付复核与收货报告</x:v>
      </x:c>
      <x:c r="E1051" s="30" t="str">
        <x:v>可候选；Agent决定是否创建/执行</x:v>
      </x:c>
      <x:c r="F1051" s="30" t="str">
        <x:v>基线：依实际装配启用</x:v>
      </x:c>
    </x:row>
    <x:row r="1052" ht="40" customHeight="1">
      <x:c r="A1052" s="30" t="str">
        <x:v>SC13</x:v>
      </x:c>
      <x:c r="B1052" s="30" t="str">
        <x:v>海岸丘陵/崖壁/滨海失踪搜索</x:v>
      </x:c>
      <x:c r="C1052" s="30" t="str">
        <x:v>T042</x:v>
      </x:c>
      <x:c r="D1052" s="30" t="str">
        <x:v>物资/器材补给</x:v>
      </x:c>
      <x:c r="E1052" s="30" t="str">
        <x:v>可候选；Agent决定是否创建/执行</x:v>
      </x:c>
      <x:c r="F1052" s="30" t="str">
        <x:v>基线：依实际装配启用</x:v>
      </x:c>
    </x:row>
    <x:row r="1053" ht="40" customHeight="1">
      <x:c r="A1053" s="30" t="str">
        <x:v>SC13</x:v>
      </x:c>
      <x:c r="B1053" s="30" t="str">
        <x:v>海岸丘陵/崖壁/滨海失踪搜索</x:v>
      </x:c>
      <x:c r="C1053" s="30" t="str">
        <x:v>T043</x:v>
      </x:c>
      <x:c r="D1053" s="30" t="str">
        <x:v>平台充电</x:v>
      </x:c>
      <x:c r="E1053" s="30" t="str">
        <x:v>可候选；Agent决定是否创建/执行</x:v>
      </x:c>
      <x:c r="F1053" s="30" t="str">
        <x:v>基线：依实际装配启用</x:v>
      </x:c>
    </x:row>
    <x:row r="1054" ht="40" customHeight="1">
      <x:c r="A1054" s="30" t="str">
        <x:v>SC13</x:v>
      </x:c>
      <x:c r="B1054" s="30" t="str">
        <x:v>海岸丘陵/崖壁/滨海失踪搜索</x:v>
      </x:c>
      <x:c r="C1054" s="30" t="str">
        <x:v>T044</x:v>
      </x:c>
      <x:c r="D1054" s="30" t="str">
        <x:v>平台换电</x:v>
      </x:c>
      <x:c r="E1054" s="30" t="str">
        <x:v>可候选；Agent决定是否创建/执行</x:v>
      </x:c>
      <x:c r="F1054" s="30" t="str">
        <x:v>基线：依实际装配启用</x:v>
      </x:c>
    </x:row>
    <x:row r="1055" ht="40" customHeight="1">
      <x:c r="A1055" s="30" t="str">
        <x:v>SC13</x:v>
      </x:c>
      <x:c r="B1055" s="30" t="str">
        <x:v>海岸丘陵/崖壁/滨海失踪搜索</x:v>
      </x:c>
      <x:c r="C1055" s="30" t="str">
        <x:v>T045</x:v>
      </x:c>
      <x:c r="D1055" s="30" t="str">
        <x:v>返航/返站与安全撤离</x:v>
      </x:c>
      <x:c r="E1055" s="30" t="str">
        <x:v>可候选；Agent决定是否创建/执行</x:v>
      </x:c>
      <x:c r="F1055" s="30" t="str">
        <x:v>基线：依实际装配启用</x:v>
      </x:c>
    </x:row>
    <x:row r="1056" ht="40" customHeight="1">
      <x:c r="A1056" s="30" t="str">
        <x:v>SC13</x:v>
      </x:c>
      <x:c r="B1056" s="30" t="str">
        <x:v>海岸丘陵/崖壁/滨海失踪搜索</x:v>
      </x:c>
      <x:c r="C1056" s="30" t="str">
        <x:v>T046</x:v>
      </x:c>
      <x:c r="D1056" s="30" t="str">
        <x:v>失效平台回收</x:v>
      </x:c>
      <x:c r="E1056" s="30" t="str">
        <x:v>可候选；Agent决定是否创建/执行</x:v>
      </x:c>
      <x:c r="F1056" s="30" t="str">
        <x:v>条件扩展：明确设备/专业服务后启用</x:v>
      </x:c>
    </x:row>
    <x:row r="1057" ht="40" customHeight="1">
      <x:c r="A1057" s="30" t="str">
        <x:v>SC13</x:v>
      </x:c>
      <x:c r="B1057" s="30" t="str">
        <x:v>海岸丘陵/崖壁/滨海失踪搜索</x:v>
      </x:c>
      <x:c r="C1057" s="30" t="str">
        <x:v>T047</x:v>
      </x:c>
      <x:c r="D1057" s="30" t="str">
        <x:v>链路探测与质量估计</x:v>
      </x:c>
      <x:c r="E1057" s="30" t="str">
        <x:v>可候选；Agent决定是否创建/执行</x:v>
      </x:c>
      <x:c r="F1057" s="30" t="str">
        <x:v>基线：依实际装配启用</x:v>
      </x:c>
    </x:row>
    <x:row r="1058" ht="40" customHeight="1">
      <x:c r="A1058" s="30" t="str">
        <x:v>SC13</x:v>
      </x:c>
      <x:c r="B1058" s="30" t="str">
        <x:v>海岸丘陵/崖壁/滨海失踪搜索</x:v>
      </x:c>
      <x:c r="C1058" s="30" t="str">
        <x:v>T048</x:v>
      </x:c>
      <x:c r="D1058" s="30" t="str">
        <x:v>通信会合与重定位</x:v>
      </x:c>
      <x:c r="E1058" s="30" t="str">
        <x:v>可候选；Agent决定是否创建/执行</x:v>
      </x:c>
      <x:c r="F1058" s="30" t="str">
        <x:v>基线：依实际装配启用</x:v>
      </x:c>
    </x:row>
    <x:row r="1059" ht="40" customHeight="1">
      <x:c r="A1059" s="30" t="str">
        <x:v>SC13</x:v>
      </x:c>
      <x:c r="B1059" s="30" t="str">
        <x:v>海岸丘陵/崖壁/滨海失踪搜索</x:v>
      </x:c>
      <x:c r="C1059" s="30" t="str">
        <x:v>T049</x:v>
      </x:c>
      <x:c r="D1059" s="30" t="str">
        <x:v>空中中继保持</x:v>
      </x:c>
      <x:c r="E1059" s="30" t="str">
        <x:v>可候选；Agent决定是否创建/执行</x:v>
      </x:c>
      <x:c r="F1059" s="30" t="str">
        <x:v>基线：依实际装配启用</x:v>
      </x:c>
    </x:row>
    <x:row r="1060" ht="40" customHeight="1">
      <x:c r="A1060" s="30" t="str">
        <x:v>SC13</x:v>
      </x:c>
      <x:c r="B1060" s="30" t="str">
        <x:v>海岸丘陵/崖壁/滨海失踪搜索</x:v>
      </x:c>
      <x:c r="C1060" s="30" t="str">
        <x:v>T050</x:v>
      </x:c>
      <x:c r="D1060" s="30" t="str">
        <x:v>通信节点布放</x:v>
      </x:c>
      <x:c r="E1060" s="30" t="str">
        <x:v>可候选；Agent决定是否创建/执行</x:v>
      </x:c>
      <x:c r="F1060" s="30" t="str">
        <x:v>条件扩展：明确设备/专业服务后启用</x:v>
      </x:c>
    </x:row>
    <x:row r="1061" ht="40" customHeight="1">
      <x:c r="A1061" s="30" t="str">
        <x:v>SC13</x:v>
      </x:c>
      <x:c r="B1061" s="30" t="str">
        <x:v>海岸丘陵/崖壁/滨海失踪搜索</x:v>
      </x:c>
      <x:c r="C1061" s="30" t="str">
        <x:v>T051</x:v>
      </x:c>
      <x:c r="D1061" s="30" t="str">
        <x:v>多跳业务转发</x:v>
      </x:c>
      <x:c r="E1061" s="30" t="str">
        <x:v>可候选；Agent决定是否创建/执行</x:v>
      </x:c>
      <x:c r="F1061" s="30" t="str">
        <x:v>基线：依实际装配启用</x:v>
      </x:c>
    </x:row>
    <x:row r="1062" ht="40" customHeight="1">
      <x:c r="A1062" s="30" t="str">
        <x:v>SC13</x:v>
      </x:c>
      <x:c r="B1062" s="30" t="str">
        <x:v>海岸丘陵/崖壁/滨海失踪搜索</x:v>
      </x:c>
      <x:c r="C1062" s="30" t="str">
        <x:v>T052</x:v>
      </x:c>
      <x:c r="D1062" s="30" t="str">
        <x:v>图像/证据数据上传</x:v>
      </x:c>
      <x:c r="E1062" s="30" t="str">
        <x:v>可候选；Agent决定是否创建/执行</x:v>
      </x:c>
      <x:c r="F1062" s="30" t="str">
        <x:v>基线：依实际装配启用</x:v>
      </x:c>
    </x:row>
    <x:row r="1063" ht="40" customHeight="1">
      <x:c r="A1063" s="30" t="str">
        <x:v>SC13</x:v>
      </x:c>
      <x:c r="B1063" s="30" t="str">
        <x:v>海岸丘陵/崖壁/滨海失踪搜索</x:v>
      </x:c>
      <x:c r="C1063" s="30" t="str">
        <x:v>T053</x:v>
      </x:c>
      <x:c r="D1063" s="30" t="str">
        <x:v>可靠回执与超时重传</x:v>
      </x:c>
      <x:c r="E1063" s="30" t="str">
        <x:v>可候选；Agent决定是否创建/执行</x:v>
      </x:c>
      <x:c r="F1063" s="30" t="str">
        <x:v>基线：依实际装配启用</x:v>
      </x:c>
    </x:row>
    <x:row r="1064" ht="40" customHeight="1">
      <x:c r="A1064" s="30" t="str">
        <x:v>SC13</x:v>
      </x:c>
      <x:c r="B1064" s="30" t="str">
        <x:v>海岸丘陵/崖壁/滨海失踪搜索</x:v>
      </x:c>
      <x:c r="C1064" s="30" t="str">
        <x:v>T054</x:v>
      </x:c>
      <x:c r="D1064" s="30" t="str">
        <x:v>断联存储-携带-转发</x:v>
      </x:c>
      <x:c r="E1064" s="30" t="str">
        <x:v>可候选；Agent决定是否创建/执行</x:v>
      </x:c>
      <x:c r="F1064" s="30" t="str">
        <x:v>基线：依实际装配启用</x:v>
      </x:c>
    </x:row>
    <x:row r="1065" ht="40" customHeight="1">
      <x:c r="A1065" s="30" t="str">
        <x:v>SC13</x:v>
      </x:c>
      <x:c r="B1065" s="30" t="str">
        <x:v>海岸丘陵/崖壁/滨海失踪搜索</x:v>
      </x:c>
      <x:c r="C1065" s="30" t="str">
        <x:v>T055</x:v>
      </x:c>
      <x:c r="D1065" s="30" t="str">
        <x:v>信道/功率/传输优先级调整</x:v>
      </x:c>
      <x:c r="E1065" s="30" t="str">
        <x:v>可候选；Agent决定是否创建/执行</x:v>
      </x:c>
      <x:c r="F1065" s="30" t="str">
        <x:v>基线：依实际装配启用</x:v>
      </x:c>
    </x:row>
    <x:row r="1066" ht="40" customHeight="1">
      <x:c r="A1066" s="30" t="str">
        <x:v>SC13</x:v>
      </x:c>
      <x:c r="B1066" s="30" t="str">
        <x:v>海岸丘陵/崖壁/滨海失踪搜索</x:v>
      </x:c>
      <x:c r="C1066" s="30" t="str">
        <x:v>T056</x:v>
      </x:c>
      <x:c r="D1066" s="30" t="str">
        <x:v>失联后的连接恢复</x:v>
      </x:c>
      <x:c r="E1066" s="30" t="str">
        <x:v>可候选；Agent决定是否创建/执行</x:v>
      </x:c>
      <x:c r="F1066" s="30" t="str">
        <x:v>基线：依实际装配启用</x:v>
      </x:c>
    </x:row>
    <x:row r="1067" ht="40" customHeight="1">
      <x:c r="A1067" s="30" t="str">
        <x:v>SC13</x:v>
      </x:c>
      <x:c r="B1067" s="30" t="str">
        <x:v>海岸丘陵/崖壁/滨海失踪搜索</x:v>
      </x:c>
      <x:c r="C1067" s="30" t="str">
        <x:v>T057</x:v>
      </x:c>
      <x:c r="D1067" s="30" t="str">
        <x:v>计算与模型服务发现</x:v>
      </x:c>
      <x:c r="E1067" s="30" t="str">
        <x:v>可候选；Agent决定是否创建/执行</x:v>
      </x:c>
      <x:c r="F1067" s="30" t="str">
        <x:v>基线：依实际装配启用</x:v>
      </x:c>
    </x:row>
    <x:row r="1068" ht="40" customHeight="1">
      <x:c r="A1068" s="30" t="str">
        <x:v>SC13</x:v>
      </x:c>
      <x:c r="B1068" s="30" t="str">
        <x:v>海岸丘陵/崖壁/滨海失踪搜索</x:v>
      </x:c>
      <x:c r="C1068" s="30" t="str">
        <x:v>T058</x:v>
      </x:c>
      <x:c r="D1068" s="30" t="str">
        <x:v>本地视觉检测</x:v>
      </x:c>
      <x:c r="E1068" s="30" t="str">
        <x:v>可候选；Agent决定是否创建/执行</x:v>
      </x:c>
      <x:c r="F1068" s="30" t="str">
        <x:v>基线：依实际装配启用</x:v>
      </x:c>
    </x:row>
    <x:row r="1069" ht="40" customHeight="1">
      <x:c r="A1069" s="30" t="str">
        <x:v>SC13</x:v>
      </x:c>
      <x:c r="B1069" s="30" t="str">
        <x:v>海岸丘陵/崖壁/滨海失踪搜索</x:v>
      </x:c>
      <x:c r="C1069" s="30" t="str">
        <x:v>T059</x:v>
      </x:c>
      <x:c r="D1069" s="30" t="str">
        <x:v>本地语义/任务推理</x:v>
      </x:c>
      <x:c r="E1069" s="30" t="str">
        <x:v>可候选；Agent决定是否创建/执行</x:v>
      </x:c>
      <x:c r="F1069" s="30" t="str">
        <x:v>基线：依实际装配启用</x:v>
      </x:c>
    </x:row>
    <x:row r="1070" ht="40" customHeight="1">
      <x:c r="A1070" s="30" t="str">
        <x:v>SC13</x:v>
      </x:c>
      <x:c r="B1070" s="30" t="str">
        <x:v>海岸丘陵/崖壁/滨海失踪搜索</x:v>
      </x:c>
      <x:c r="C1070" s="30" t="str">
        <x:v>T060</x:v>
      </x:c>
      <x:c r="D1070" s="30" t="str">
        <x:v>远程视觉复核/推理卸载</x:v>
      </x:c>
      <x:c r="E1070" s="30" t="str">
        <x:v>可候选；Agent决定是否创建/执行</x:v>
      </x:c>
      <x:c r="F1070" s="30" t="str">
        <x:v>基线：依实际装配启用</x:v>
      </x:c>
    </x:row>
    <x:row r="1071" ht="40" customHeight="1">
      <x:c r="A1071" s="30" t="str">
        <x:v>SC13</x:v>
      </x:c>
      <x:c r="B1071" s="30" t="str">
        <x:v>海岸丘陵/崖壁/滨海失踪搜索</x:v>
      </x:c>
      <x:c r="C1071" s="30" t="str">
        <x:v>T061</x:v>
      </x:c>
      <x:c r="D1071" s="30" t="str">
        <x:v>执行节点与模型选择</x:v>
      </x:c>
      <x:c r="E1071" s="30" t="str">
        <x:v>可候选；Agent决定是否创建/执行</x:v>
      </x:c>
      <x:c r="F1071" s="30" t="str">
        <x:v>基线：依实际装配启用</x:v>
      </x:c>
    </x:row>
    <x:row r="1072" ht="40" customHeight="1">
      <x:c r="A1072" s="30" t="str">
        <x:v>SC13</x:v>
      </x:c>
      <x:c r="B1072" s="30" t="str">
        <x:v>海岸丘陵/崖壁/滨海失踪搜索</x:v>
      </x:c>
      <x:c r="C1072" s="30" t="str">
        <x:v>T062</x:v>
      </x:c>
      <x:c r="D1072" s="30" t="str">
        <x:v>计算作业准入与排队</x:v>
      </x:c>
      <x:c r="E1072" s="30" t="str">
        <x:v>可候选；Agent决定是否创建/执行</x:v>
      </x:c>
      <x:c r="F1072" s="30" t="str">
        <x:v>基线：依实际装配启用</x:v>
      </x:c>
    </x:row>
    <x:row r="1073" ht="40" customHeight="1">
      <x:c r="A1073" s="30" t="str">
        <x:v>SC13</x:v>
      </x:c>
      <x:c r="B1073" s="30" t="str">
        <x:v>海岸丘陵/崖壁/滨海失踪搜索</x:v>
      </x:c>
      <x:c r="C1073" s="30" t="str">
        <x:v>T063</x:v>
      </x:c>
      <x:c r="D1073" s="30" t="str">
        <x:v>模型服务加载/卸载</x:v>
      </x:c>
      <x:c r="E1073" s="30" t="str">
        <x:v>可候选；Agent决定是否创建/执行</x:v>
      </x:c>
      <x:c r="F1073" s="30" t="str">
        <x:v>基线：依实际装配启用</x:v>
      </x:c>
    </x:row>
    <x:row r="1074" ht="40" customHeight="1">
      <x:c r="A1074" s="30" t="str">
        <x:v>SC13</x:v>
      </x:c>
      <x:c r="B1074" s="30" t="str">
        <x:v>海岸丘陵/崖壁/滨海失踪搜索</x:v>
      </x:c>
      <x:c r="C1074" s="30" t="str">
        <x:v>T064</x:v>
      </x:c>
      <x:c r="D1074" s="30" t="str">
        <x:v>上下文/表示缓存复用</x:v>
      </x:c>
      <x:c r="E1074" s="30" t="str">
        <x:v>可候选；Agent决定是否创建/执行</x:v>
      </x:c>
      <x:c r="F1074" s="30" t="str">
        <x:v>基线：依实际装配启用</x:v>
      </x:c>
    </x:row>
    <x:row r="1075" ht="40" customHeight="1">
      <x:c r="A1075" s="30" t="str">
        <x:v>SC13</x:v>
      </x:c>
      <x:c r="B1075" s="30" t="str">
        <x:v>海岸丘陵/崖壁/滨海失踪搜索</x:v>
      </x:c>
      <x:c r="C1075" s="30" t="str">
        <x:v>T065</x:v>
      </x:c>
      <x:c r="D1075" s="30" t="str">
        <x:v>服务/作业迁移与恢复</x:v>
      </x:c>
      <x:c r="E1075" s="30" t="str">
        <x:v>可候选；Agent决定是否创建/执行</x:v>
      </x:c>
      <x:c r="F1075" s="30" t="str">
        <x:v>条件扩展：明确设备/专业服务后启用</x:v>
      </x:c>
    </x:row>
    <x:row r="1076" ht="40" customHeight="1">
      <x:c r="A1076" s="30" t="str">
        <x:v>SC13</x:v>
      </x:c>
      <x:c r="B1076" s="30" t="str">
        <x:v>海岸丘陵/崖壁/滨海失踪搜索</x:v>
      </x:c>
      <x:c r="C1076" s="30" t="str">
        <x:v>T066</x:v>
      </x:c>
      <x:c r="D1076" s="30" t="str">
        <x:v>预算耗尽/失败作业取消重试</x:v>
      </x:c>
      <x:c r="E1076" s="30" t="str">
        <x:v>可候选；Agent决定是否创建/执行</x:v>
      </x:c>
      <x:c r="F1076" s="30" t="str">
        <x:v>基线：依实际装配启用</x:v>
      </x:c>
    </x:row>
    <x:row r="1077" ht="40" customHeight="1">
      <x:c r="A1077" s="30" t="str">
        <x:v>SC13</x:v>
      </x:c>
      <x:c r="B1077" s="30" t="str">
        <x:v>海岸丘陵/崖壁/滨海失踪搜索</x:v>
      </x:c>
      <x:c r="C1077" s="30" t="str">
        <x:v>T067</x:v>
      </x:c>
      <x:c r="D1077" s="30" t="str">
        <x:v>批处理/多源联合推理</x:v>
      </x:c>
      <x:c r="E1077" s="30" t="str">
        <x:v>可候选；Agent决定是否创建/执行</x:v>
      </x:c>
      <x:c r="F1077" s="30" t="str">
        <x:v>基线：依实际装配启用</x:v>
      </x:c>
    </x:row>
    <x:row r="1078" ht="40" customHeight="1">
      <x:c r="A1078" s="30" t="str">
        <x:v>SC13</x:v>
      </x:c>
      <x:c r="B1078" s="30" t="str">
        <x:v>海岸丘陵/崖壁/滨海失踪搜索</x:v>
      </x:c>
      <x:c r="C1078" s="30" t="str">
        <x:v>T068</x:v>
      </x:c>
      <x:c r="D1078" s="30" t="str">
        <x:v>计算资源释放与缓存清理</x:v>
      </x:c>
      <x:c r="E1078" s="30" t="str">
        <x:v>可候选；Agent决定是否创建/执行</x:v>
      </x:c>
      <x:c r="F1078" s="30" t="str">
        <x:v>基线：依实际装配启用</x:v>
      </x:c>
    </x:row>
    <x:row r="1079" ht="40" customHeight="1">
      <x:c r="A1079" s="30" t="str">
        <x:v>SC13</x:v>
      </x:c>
      <x:c r="B1079" s="30" t="str">
        <x:v>海岸丘陵/崖壁/滨海失踪搜索</x:v>
      </x:c>
      <x:c r="C1079" s="30" t="str">
        <x:v>T069</x:v>
      </x:c>
      <x:c r="D1079" s="30" t="str">
        <x:v>跨源时间坐标对齐</x:v>
      </x:c>
      <x:c r="E1079" s="30" t="str">
        <x:v>可候选；Agent决定是否创建/执行</x:v>
      </x:c>
      <x:c r="F1079" s="30" t="str">
        <x:v>基线：依实际装配启用</x:v>
      </x:c>
    </x:row>
    <x:row r="1080" ht="40" customHeight="1">
      <x:c r="A1080" s="30" t="str">
        <x:v>SC13</x:v>
      </x:c>
      <x:c r="B1080" s="30" t="str">
        <x:v>海岸丘陵/崖壁/滨海失踪搜索</x:v>
      </x:c>
      <x:c r="C1080" s="30" t="str">
        <x:v>T070</x:v>
      </x:c>
      <x:c r="D1080" s="30" t="str">
        <x:v>任务条件化本地历史检索</x:v>
      </x:c>
      <x:c r="E1080" s="30" t="str">
        <x:v>可候选；Agent决定是否创建/执行</x:v>
      </x:c>
      <x:c r="F1080" s="30" t="str">
        <x:v>基线：依实际装配启用</x:v>
      </x:c>
    </x:row>
    <x:row r="1081" ht="40" customHeight="1">
      <x:c r="A1081" s="30" t="str">
        <x:v>SC13</x:v>
      </x:c>
      <x:c r="B1081" s="30" t="str">
        <x:v>海岸丘陵/崖壁/滨海失踪搜索</x:v>
      </x:c>
      <x:c r="C1081" s="30" t="str">
        <x:v>T071</x:v>
      </x:c>
      <x:c r="D1081" s="30" t="str">
        <x:v>图像裁剪/编码/证据打包</x:v>
      </x:c>
      <x:c r="E1081" s="30" t="str">
        <x:v>可候选；Agent决定是否创建/执行</x:v>
      </x:c>
      <x:c r="F1081" s="30" t="str">
        <x:v>基线：依实际装配启用</x:v>
      </x:c>
    </x:row>
    <x:row r="1082" ht="40" customHeight="1">
      <x:c r="A1082" s="30" t="str">
        <x:v>SC13</x:v>
      </x:c>
      <x:c r="B1082" s="30" t="str">
        <x:v>海岸丘陵/崖壁/滨海失踪搜索</x:v>
      </x:c>
      <x:c r="C1082" s="30" t="str">
        <x:v>T072</x:v>
      </x:c>
      <x:c r="D1082" s="30" t="str">
        <x:v>置信度与证据充分性判断</x:v>
      </x:c>
      <x:c r="E1082" s="30" t="str">
        <x:v>可候选；Agent决定是否创建/执行</x:v>
      </x:c>
      <x:c r="F1082" s="30" t="str">
        <x:v>基线：依实际装配启用</x:v>
      </x:c>
    </x:row>
    <x:row r="1083" ht="40" customHeight="1">
      <x:c r="A1083" s="30" t="str">
        <x:v>SC13</x:v>
      </x:c>
      <x:c r="B1083" s="30" t="str">
        <x:v>海岸丘陵/崖壁/滨海失踪搜索</x:v>
      </x:c>
      <x:c r="C1083" s="30" t="str">
        <x:v>T073</x:v>
      </x:c>
      <x:c r="D1083" s="30" t="str">
        <x:v>多源融合与冲突更正</x:v>
      </x:c>
      <x:c r="E1083" s="30" t="str">
        <x:v>可候选；Agent决定是否创建/执行</x:v>
      </x:c>
      <x:c r="F1083" s="30" t="str">
        <x:v>基线：依实际装配启用</x:v>
      </x:c>
    </x:row>
    <x:row r="1084" ht="40" customHeight="1">
      <x:c r="A1084" s="30" t="str">
        <x:v>SC13</x:v>
      </x:c>
      <x:c r="B1084" s="30" t="str">
        <x:v>海岸丘陵/崖壁/滨海失踪搜索</x:v>
      </x:c>
      <x:c r="C1084" s="30" t="str">
        <x:v>T074</x:v>
      </x:c>
      <x:c r="D1084" s="30" t="str">
        <x:v>面向任务的信息选择与共享</x:v>
      </x:c>
      <x:c r="E1084" s="30" t="str">
        <x:v>可候选；Agent决定是否创建/执行</x:v>
      </x:c>
      <x:c r="F1084" s="30" t="str">
        <x:v>基线：依实际装配启用</x:v>
      </x:c>
    </x:row>
    <x:row r="1085" ht="40" customHeight="1">
      <x:c r="A1085" s="30" t="str">
        <x:v>SC13</x:v>
      </x:c>
      <x:c r="B1085" s="30" t="str">
        <x:v>海岸丘陵/崖壁/滨海失踪搜索</x:v>
      </x:c>
      <x:c r="C1085" s="30" t="str">
        <x:v>T075</x:v>
      </x:c>
      <x:c r="D1085" s="30" t="str">
        <x:v>局部信念与过时信息维护</x:v>
      </x:c>
      <x:c r="E1085" s="30" t="str">
        <x:v>可候选；Agent决定是否创建/执行</x:v>
      </x:c>
      <x:c r="F1085" s="30" t="str">
        <x:v>基线：依实际装配启用</x:v>
      </x:c>
    </x:row>
    <x:row r="1086" ht="40" customHeight="1">
      <x:c r="A1086" s="30" t="str">
        <x:v>SC13</x:v>
      </x:c>
      <x:c r="B1086" s="30" t="str">
        <x:v>海岸丘陵/崖壁/滨海失踪搜索</x:v>
      </x:c>
      <x:c r="C1086" s="30" t="str">
        <x:v>T076</x:v>
      </x:c>
      <x:c r="D1086" s="30" t="str">
        <x:v>轨迹/证据归档与回放</x:v>
      </x:c>
      <x:c r="E1086" s="30" t="str">
        <x:v>可候选；Agent决定是否创建/执行</x:v>
      </x:c>
      <x:c r="F1086" s="30" t="str">
        <x:v>基线：依实际装配启用</x:v>
      </x:c>
    </x:row>
    <x:row r="1087" ht="40" customHeight="1">
      <x:c r="A1087" s="30" t="str">
        <x:v>SC13</x:v>
      </x:c>
      <x:c r="B1087" s="30" t="str">
        <x:v>海岸丘陵/崖壁/滨海失踪搜索</x:v>
      </x:c>
      <x:c r="C1087" s="30" t="str">
        <x:v>T077</x:v>
      </x:c>
      <x:c r="D1087" s="30" t="str">
        <x:v>接收并解释当前使命</x:v>
      </x:c>
      <x:c r="E1087" s="30" t="str">
        <x:v>可候选；Agent决定是否创建/执行</x:v>
      </x:c>
      <x:c r="F1087" s="30" t="str">
        <x:v>基线：依实际装配启用</x:v>
      </x:c>
    </x:row>
    <x:row r="1088" ht="40" customHeight="1">
      <x:c r="A1088" s="30" t="str">
        <x:v>SC13</x:v>
      </x:c>
      <x:c r="B1088" s="30" t="str">
        <x:v>海岸丘陵/崖壁/滨海失踪搜索</x:v>
      </x:c>
      <x:c r="C1088" s="30" t="str">
        <x:v>T078</x:v>
      </x:c>
      <x:c r="D1088" s="30" t="str">
        <x:v>自主任务分解与候选生成</x:v>
      </x:c>
      <x:c r="E1088" s="30" t="str">
        <x:v>可候选；Agent决定是否创建/执行</x:v>
      </x:c>
      <x:c r="F1088" s="30" t="str">
        <x:v>基线：依实际装配启用</x:v>
      </x:c>
    </x:row>
    <x:row r="1089" ht="40" customHeight="1">
      <x:c r="A1089" s="30" t="str">
        <x:v>SC13</x:v>
      </x:c>
      <x:c r="B1089" s="30" t="str">
        <x:v>海岸丘陵/崖壁/滨海失踪搜索</x:v>
      </x:c>
      <x:c r="C1089" s="30" t="str">
        <x:v>T079</x:v>
      </x:c>
      <x:c r="D1089" s="30" t="str">
        <x:v>本机参与筛选与出价</x:v>
      </x:c>
      <x:c r="E1089" s="30" t="str">
        <x:v>可候选；Agent决定是否创建/执行</x:v>
      </x:c>
      <x:c r="F1089" s="30" t="str">
        <x:v>基线：依实际装配启用</x:v>
      </x:c>
    </x:row>
    <x:row r="1090" ht="40" customHeight="1">
      <x:c r="A1090" s="30" t="str">
        <x:v>SC13</x:v>
      </x:c>
      <x:c r="B1090" s="30" t="str">
        <x:v>海岸丘陵/崖壁/滨海失踪搜索</x:v>
      </x:c>
      <x:c r="C1090" s="30" t="str">
        <x:v>T080</x:v>
      </x:c>
      <x:c r="D1090" s="30" t="str">
        <x:v>多平台任务分配与协调</x:v>
      </x:c>
      <x:c r="E1090" s="30" t="str">
        <x:v>可候选；Agent决定是否创建/执行</x:v>
      </x:c>
      <x:c r="F1090" s="30" t="str">
        <x:v>基线：依实际装配启用</x:v>
      </x:c>
    </x:row>
    <x:row r="1091" ht="40" customHeight="1">
      <x:c r="A1091" s="30" t="str">
        <x:v>SC13</x:v>
      </x:c>
      <x:c r="B1091" s="30" t="str">
        <x:v>海岸丘陵/崖壁/滨海失踪搜索</x:v>
      </x:c>
      <x:c r="C1091" s="30" t="str">
        <x:v>T081</x:v>
      </x:c>
      <x:c r="D1091" s="30" t="str">
        <x:v>任务接受/拒绝与承诺</x:v>
      </x:c>
      <x:c r="E1091" s="30" t="str">
        <x:v>可候选；Agent决定是否创建/执行</x:v>
      </x:c>
      <x:c r="F1091" s="30" t="str">
        <x:v>基线：依实际装配启用</x:v>
      </x:c>
    </x:row>
    <x:row r="1092" ht="40" customHeight="1">
      <x:c r="A1092" s="30" t="str">
        <x:v>SC13</x:v>
      </x:c>
      <x:c r="B1092" s="30" t="str">
        <x:v>海岸丘陵/崖壁/滨海失踪搜索</x:v>
      </x:c>
      <x:c r="C1092" s="30" t="str">
        <x:v>T082</x:v>
      </x:c>
      <x:c r="D1092" s="30" t="str">
        <x:v>进度监控与完成确认</x:v>
      </x:c>
      <x:c r="E1092" s="30" t="str">
        <x:v>可候选；Agent决定是否创建/执行</x:v>
      </x:c>
      <x:c r="F1092" s="30" t="str">
        <x:v>基线：依实际装配启用</x:v>
      </x:c>
    </x:row>
    <x:row r="1093" ht="40" customHeight="1">
      <x:c r="A1093" s="30" t="str">
        <x:v>SC13</x:v>
      </x:c>
      <x:c r="B1093" s="30" t="str">
        <x:v>海岸丘陵/崖壁/滨海失踪搜索</x:v>
      </x:c>
      <x:c r="C1093" s="30" t="str">
        <x:v>T083</x:v>
      </x:c>
      <x:c r="D1093" s="30" t="str">
        <x:v>任务取消/抢占</x:v>
      </x:c>
      <x:c r="E1093" s="30" t="str">
        <x:v>可候选；Agent决定是否创建/执行</x:v>
      </x:c>
      <x:c r="F1093" s="30" t="str">
        <x:v>基线：依实际装配启用</x:v>
      </x:c>
    </x:row>
    <x:row r="1094" ht="40" customHeight="1">
      <x:c r="A1094" s="30" t="str">
        <x:v>SC13</x:v>
      </x:c>
      <x:c r="B1094" s="30" t="str">
        <x:v>海岸丘陵/崖壁/滨海失踪搜索</x:v>
      </x:c>
      <x:c r="C1094" s="30" t="str">
        <x:v>T084</x:v>
      </x:c>
      <x:c r="D1094" s="30" t="str">
        <x:v>恢复原任务</x:v>
      </x:c>
      <x:c r="E1094" s="30" t="str">
        <x:v>可候选；Agent决定是否创建/执行</x:v>
      </x:c>
      <x:c r="F1094" s="30" t="str">
        <x:v>基线：依实际装配启用</x:v>
      </x:c>
    </x:row>
    <x:row r="1095" ht="40" customHeight="1">
      <x:c r="A1095" s="30" t="str">
        <x:v>SC13</x:v>
      </x:c>
      <x:c r="B1095" s="30" t="str">
        <x:v>海岸丘陵/崖壁/滨海失踪搜索</x:v>
      </x:c>
      <x:c r="C1095" s="30" t="str">
        <x:v>T085</x:v>
      </x:c>
      <x:c r="D1095" s="30" t="str">
        <x:v>跨Agent任务与证据交接</x:v>
      </x:c>
      <x:c r="E1095" s="30" t="str">
        <x:v>可候选；Agent决定是否创建/执行</x:v>
      </x:c>
      <x:c r="F1095" s="30" t="str">
        <x:v>基线：依实际装配启用</x:v>
      </x:c>
    </x:row>
    <x:row r="1096" ht="40" customHeight="1">
      <x:c r="A1096" s="30" t="str">
        <x:v>SC13</x:v>
      </x:c>
      <x:c r="B1096" s="30" t="str">
        <x:v>海岸丘陵/崖壁/滨海失踪搜索</x:v>
      </x:c>
      <x:c r="C1096" s="30" t="str">
        <x:v>T086</x:v>
      </x:c>
      <x:c r="D1096" s="30" t="str">
        <x:v>失败重规划与重派</x:v>
      </x:c>
      <x:c r="E1096" s="30" t="str">
        <x:v>可候选；Agent决定是否创建/执行</x:v>
      </x:c>
      <x:c r="F1096" s="30" t="str">
        <x:v>基线：依实际装配启用</x:v>
      </x:c>
    </x:row>
    <x:row r="1097" ht="40" customHeight="1">
      <x:c r="A1097" s="30" t="str">
        <x:v>SC13</x:v>
      </x:c>
      <x:c r="B1097" s="30" t="str">
        <x:v>海岸丘陵/崖壁/滨海失踪搜索</x:v>
      </x:c>
      <x:c r="C1097" s="30" t="str">
        <x:v>T087</x:v>
      </x:c>
      <x:c r="D1097" s="30" t="str">
        <x:v>请求专业救援/工程力量</x:v>
      </x:c>
      <x:c r="E1097" s="30" t="str">
        <x:v>可候选；Agent决定是否创建/执行</x:v>
      </x:c>
      <x:c r="F1097" s="30" t="str">
        <x:v>基线：依实际装配启用</x:v>
      </x:c>
    </x:row>
    <x:row r="1098" ht="40" customHeight="1">
      <x:c r="A1098" s="30" t="str">
        <x:v>SC13</x:v>
      </x:c>
      <x:c r="B1098" s="30" t="str">
        <x:v>海岸丘陵/崖壁/滨海失踪搜索</x:v>
      </x:c>
      <x:c r="C1098" s="30" t="str">
        <x:v>T088</x:v>
      </x:c>
      <x:c r="D1098" s="30" t="str">
        <x:v>工作现场闭合与阶段移交</x:v>
      </x:c>
      <x:c r="E1098" s="30" t="str">
        <x:v>可候选；Agent决定是否创建/执行</x:v>
      </x:c>
      <x:c r="F1098" s="30" t="str">
        <x:v>基线：依实际装配启用</x:v>
      </x:c>
    </x:row>
    <x:row r="1099" ht="40" customHeight="1">
      <x:c r="A1099" s="30" t="str">
        <x:v>SC13</x:v>
      </x:c>
      <x:c r="B1099" s="30" t="str">
        <x:v>海岸丘陵/崖壁/滨海失踪搜索</x:v>
      </x:c>
      <x:c r="C1099" s="30" t="str">
        <x:v>T089</x:v>
      </x:c>
      <x:c r="D1099" s="30" t="str">
        <x:v>次生危险动态监视</x:v>
      </x:c>
      <x:c r="E1099" s="30" t="str">
        <x:v>可候选；Agent决定是否创建/执行</x:v>
      </x:c>
      <x:c r="F1099" s="30" t="str">
        <x:v>基线：依实际装配启用</x:v>
      </x:c>
    </x:row>
    <x:row r="1100" ht="40" customHeight="1">
      <x:c r="A1100" s="30" t="str">
        <x:v>SC13</x:v>
      </x:c>
      <x:c r="B1100" s="30" t="str">
        <x:v>海岸丘陵/崖壁/滨海失踪搜索</x:v>
      </x:c>
      <x:c r="C1100" s="30" t="str">
        <x:v>T090</x:v>
      </x:c>
      <x:c r="D1100" s="30" t="str">
        <x:v>平台/能源/服务健康监视</x:v>
      </x:c>
      <x:c r="E1100" s="30" t="str">
        <x:v>可候选；Agent决定是否创建/执行</x:v>
      </x:c>
      <x:c r="F1100" s="30" t="str">
        <x:v>基线：依实际装配启用</x:v>
      </x:c>
    </x:row>
    <x:row r="1101" ht="40" customHeight="1">
      <x:c r="A1101" s="30" t="str">
        <x:v>SC13</x:v>
      </x:c>
      <x:c r="B1101" s="30" t="str">
        <x:v>海岸丘陵/崖壁/滨海失踪搜索</x:v>
      </x:c>
      <x:c r="C1101" s="30" t="str">
        <x:v>T091</x:v>
      </x:c>
      <x:c r="D1101" s="30" t="str">
        <x:v>安全等待与驻留观察</x:v>
      </x:c>
      <x:c r="E1101" s="30" t="str">
        <x:v>可候选；Agent决定是否创建/执行</x:v>
      </x:c>
      <x:c r="F1101" s="30" t="str">
        <x:v>基线：依实际装配启用</x:v>
      </x:c>
    </x:row>
    <x:row r="1102" ht="40" customHeight="1">
      <x:c r="A1102" s="30" t="str">
        <x:v>SC13</x:v>
      </x:c>
      <x:c r="B1102" s="30" t="str">
        <x:v>海岸丘陵/崖壁/滨海失踪搜索</x:v>
      </x:c>
      <x:c r="C1102" s="30" t="str">
        <x:v>T092</x:v>
      </x:c>
      <x:c r="D1102" s="30" t="str">
        <x:v>设备/传感器/服务故障诊断</x:v>
      </x:c>
      <x:c r="E1102" s="30" t="str">
        <x:v>可候选；Agent决定是否创建/执行</x:v>
      </x:c>
      <x:c r="F1102" s="30" t="str">
        <x:v>基线：依实际装配启用</x:v>
      </x:c>
    </x:row>
    <x:row r="1103" ht="40" customHeight="1">
      <x:c r="A1103" s="30" t="str">
        <x:v>SC13</x:v>
      </x:c>
      <x:c r="B1103" s="30" t="str">
        <x:v>海岸丘陵/崖壁/滨海失踪搜索</x:v>
      </x:c>
      <x:c r="C1103" s="30" t="str">
        <x:v>T096</x:v>
      </x:c>
      <x:c r="D1103" s="30" t="str">
        <x:v>跨模型特征/潜表示适配</x:v>
      </x:c>
      <x:c r="E1103" s="30" t="str">
        <x:v>可候选；Agent决定是否创建/执行</x:v>
      </x:c>
      <x:c r="F1103" s="30" t="str">
        <x:v>条件扩展：明确设备/专业服务后启用</x:v>
      </x:c>
    </x:row>
    <x:row r="1104" ht="40" customHeight="1">
      <x:c r="A1104" s="30" t="str">
        <x:v>SC14</x:v>
      </x:c>
      <x:c r="B1104" s="30" t="str">
        <x:v>地下城市/地铁/多层地下设施</x:v>
      </x:c>
      <x:c r="C1104" s="30" t="str">
        <x:v>T001</x:v>
      </x:c>
      <x:c r="D1104" s="30" t="str">
        <x:v>区域快速普查</x:v>
      </x:c>
      <x:c r="E1104" s="30" t="str">
        <x:v>可候选；Agent决定是否创建/执行</x:v>
      </x:c>
      <x:c r="F1104" s="30" t="str">
        <x:v>基线：依实际装配启用</x:v>
      </x:c>
    </x:row>
    <x:row r="1105" ht="40" customHeight="1">
      <x:c r="A1105" s="30" t="str">
        <x:v>SC14</x:v>
      </x:c>
      <x:c r="B1105" s="30" t="str">
        <x:v>地下城市/地铁/多层地下设施</x:v>
      </x:c>
      <x:c r="C1105" s="30" t="str">
        <x:v>T003</x:v>
      </x:c>
      <x:c r="D1105" s="30" t="str">
        <x:v>道路与通路灾后评估</x:v>
      </x:c>
      <x:c r="E1105" s="30" t="str">
        <x:v>可候选；Agent决定是否创建/执行</x:v>
      </x:c>
      <x:c r="F1105" s="30" t="str">
        <x:v>基线：依实际装配启用</x:v>
      </x:c>
    </x:row>
    <x:row r="1106" ht="40" customHeight="1">
      <x:c r="A1106" s="30" t="str">
        <x:v>SC14</x:v>
      </x:c>
      <x:c r="B1106" s="30" t="str">
        <x:v>地下城市/地铁/多层地下设施</x:v>
      </x:c>
      <x:c r="C1106" s="30" t="str">
        <x:v>T004</x:v>
      </x:c>
      <x:c r="D1106" s="30" t="str">
        <x:v>入口与屋顶交付区检查</x:v>
      </x:c>
      <x:c r="E1106" s="30" t="str">
        <x:v>可候选；Agent决定是否创建/执行</x:v>
      </x:c>
      <x:c r="F1106" s="30" t="str">
        <x:v>基线：依实际装配启用</x:v>
      </x:c>
    </x:row>
    <x:row r="1107" ht="40" customHeight="1">
      <x:c r="A1107" s="30" t="str">
        <x:v>SC14</x:v>
      </x:c>
      <x:c r="B1107" s="30" t="str">
        <x:v>地下城市/地铁/多层地下设施</x:v>
      </x:c>
      <x:c r="C1107" s="30" t="str">
        <x:v>T006</x:v>
      </x:c>
      <x:c r="D1107" s="30" t="str">
        <x:v>火烟与危险源侦察</x:v>
      </x:c>
      <x:c r="E1107" s="30" t="str">
        <x:v>可候选；Agent决定是否创建/执行</x:v>
      </x:c>
      <x:c r="F1107" s="30" t="str">
        <x:v>基线：依实际装配启用</x:v>
      </x:c>
    </x:row>
    <x:row r="1108" ht="40" customHeight="1">
      <x:c r="A1108" s="30" t="str">
        <x:v>SC14</x:v>
      </x:c>
      <x:c r="B1108" s="30" t="str">
        <x:v>地下城市/地铁/多层地下设施</x:v>
      </x:c>
      <x:c r="C1108" s="30" t="str">
        <x:v>T008</x:v>
      </x:c>
      <x:c r="D1108" s="30" t="str">
        <x:v>建筑/区域覆盖登记</x:v>
      </x:c>
      <x:c r="E1108" s="30" t="str">
        <x:v>可候选；Agent决定是否创建/执行</x:v>
      </x:c>
      <x:c r="F1108" s="30" t="str">
        <x:v>基线：依实际装配启用</x:v>
      </x:c>
    </x:row>
    <x:row r="1109" ht="40" customHeight="1">
      <x:c r="A1109" s="30" t="str">
        <x:v>SC14</x:v>
      </x:c>
      <x:c r="B1109" s="30" t="str">
        <x:v>地下城市/地铁/多层地下设施</x:v>
      </x:c>
      <x:c r="C1109" s="30" t="str">
        <x:v>T009</x:v>
      </x:c>
      <x:c r="D1109" s="30" t="str">
        <x:v>系统空中人员搜索</x:v>
      </x:c>
      <x:c r="E1109" s="30" t="str">
        <x:v>可候选；Agent决定是否创建/执行</x:v>
      </x:c>
      <x:c r="F1109" s="30" t="str">
        <x:v>基线：依实际装配启用</x:v>
      </x:c>
    </x:row>
    <x:row r="1110" ht="40" customHeight="1">
      <x:c r="A1110" s="30" t="str">
        <x:v>SC14</x:v>
      </x:c>
      <x:c r="B1110" s="30" t="str">
        <x:v>地下城市/地铁/多层地下设施</x:v>
      </x:c>
      <x:c r="C1110" s="30" t="str">
        <x:v>T010</x:v>
      </x:c>
      <x:c r="D1110" s="30" t="str">
        <x:v>线索发现与语义解读</x:v>
      </x:c>
      <x:c r="E1110" s="30" t="str">
        <x:v>可候选；Agent决定是否创建/执行</x:v>
      </x:c>
      <x:c r="F1110" s="30" t="str">
        <x:v>基线：依实际装配启用</x:v>
      </x:c>
    </x:row>
    <x:row r="1111" ht="40" customHeight="1">
      <x:c r="A1111" s="30" t="str">
        <x:v>SC14</x:v>
      </x:c>
      <x:c r="B1111" s="30" t="str">
        <x:v>地下城市/地铁/多层地下设施</x:v>
      </x:c>
      <x:c r="C1111" s="30" t="str">
        <x:v>T011</x:v>
      </x:c>
      <x:c r="D1111" s="30" t="str">
        <x:v>疑似目标多视角复核</x:v>
      </x:c>
      <x:c r="E1111" s="30" t="str">
        <x:v>可候选；Agent决定是否创建/执行</x:v>
      </x:c>
      <x:c r="F1111" s="30" t="str">
        <x:v>基线：依实际装配启用</x:v>
      </x:c>
    </x:row>
    <x:row r="1112" ht="40" customHeight="1">
      <x:c r="A1112" s="30" t="str">
        <x:v>SC14</x:v>
      </x:c>
      <x:c r="B1112" s="30" t="str">
        <x:v>地下城市/地铁/多层地下设施</x:v>
      </x:c>
      <x:c r="C1112" s="30" t="str">
        <x:v>T012</x:v>
      </x:c>
      <x:c r="D1112" s="30" t="str">
        <x:v>目标定位跟踪与跨视角关联</x:v>
      </x:c>
      <x:c r="E1112" s="30" t="str">
        <x:v>可候选；Agent决定是否创建/执行</x:v>
      </x:c>
      <x:c r="F1112" s="30" t="str">
        <x:v>基线：依实际装配启用</x:v>
      </x:c>
    </x:row>
    <x:row r="1113" ht="40" customHeight="1">
      <x:c r="A1113" s="30" t="str">
        <x:v>SC14</x:v>
      </x:c>
      <x:c r="B1113" s="30" t="str">
        <x:v>地下城市/地铁/多层地下设施</x:v>
      </x:c>
      <x:c r="C1113" s="30" t="str">
        <x:v>T013</x:v>
      </x:c>
      <x:c r="D1113" s="30" t="str">
        <x:v>近地外部与狭窄区搜索</x:v>
      </x:c>
      <x:c r="E1113" s="30" t="str">
        <x:v>可候选；Agent决定是否创建/执行</x:v>
      </x:c>
      <x:c r="F1113" s="30" t="str">
        <x:v>基线：依实际装配启用</x:v>
      </x:c>
    </x:row>
    <x:row r="1114" ht="40" customHeight="1">
      <x:c r="A1114" s="30" t="str">
        <x:v>SC14</x:v>
      </x:c>
      <x:c r="B1114" s="30" t="str">
        <x:v>地下城市/地铁/多层地下设施</x:v>
      </x:c>
      <x:c r="C1114" s="30" t="str">
        <x:v>T014</x:v>
      </x:c>
      <x:c r="D1114" s="30" t="str">
        <x:v>建筑内部初次抽象搜索</x:v>
      </x:c>
      <x:c r="E1114" s="30" t="str">
        <x:v>可候选；Agent决定是否创建/执行</x:v>
      </x:c>
      <x:c r="F1114" s="30" t="str">
        <x:v>基线：依实际装配启用</x:v>
      </x:c>
    </x:row>
    <x:row r="1115" ht="40" customHeight="1">
      <x:c r="A1115" s="30" t="str">
        <x:v>SC14</x:v>
      </x:c>
      <x:c r="B1115" s="30" t="str">
        <x:v>地下城市/地铁/多层地下设施</x:v>
      </x:c>
      <x:c r="C1115" s="30" t="str">
        <x:v>T015</x:v>
      </x:c>
      <x:c r="D1115" s="30" t="str">
        <x:v>建筑内部复搜/完整搜索</x:v>
      </x:c>
      <x:c r="E1115" s="30" t="str">
        <x:v>可候选；Agent决定是否创建/执行</x:v>
      </x:c>
      <x:c r="F1115" s="30" t="str">
        <x:v>基线：依实际装配启用</x:v>
      </x:c>
    </x:row>
    <x:row r="1116" ht="40" customHeight="1">
      <x:c r="A1116" s="30" t="str">
        <x:v>SC14</x:v>
      </x:c>
      <x:c r="B1116" s="30" t="str">
        <x:v>地下城市/地铁/多层地下设施</x:v>
      </x:c>
      <x:c r="C1116" s="30" t="str">
        <x:v>T016</x:v>
      </x:c>
      <x:c r="D1116" s="30" t="str">
        <x:v>热成像补充搜索</x:v>
      </x:c>
      <x:c r="E1116" s="30" t="str">
        <x:v>可候选；Agent决定是否创建/执行</x:v>
      </x:c>
      <x:c r="F1116" s="30" t="str">
        <x:v>条件扩展：明确设备/专业服务后启用</x:v>
      </x:c>
    </x:row>
    <x:row r="1117" ht="40" customHeight="1">
      <x:c r="A1117" s="30" t="str">
        <x:v>SC14</x:v>
      </x:c>
      <x:c r="B1117" s="30" t="str">
        <x:v>地下城市/地铁/多层地下设施</x:v>
      </x:c>
      <x:c r="C1117" s="30" t="str">
        <x:v>T017</x:v>
      </x:c>
      <x:c r="D1117" s="30" t="str">
        <x:v>声音线索搜索</x:v>
      </x:c>
      <x:c r="E1117" s="30" t="str">
        <x:v>可候选；Agent决定是否创建/执行</x:v>
      </x:c>
      <x:c r="F1117" s="30" t="str">
        <x:v>条件扩展：明确设备/专业服务后启用</x:v>
      </x:c>
    </x:row>
    <x:row r="1118" ht="40" customHeight="1">
      <x:c r="A1118" s="30" t="str">
        <x:v>SC14</x:v>
      </x:c>
      <x:c r="B1118" s="30" t="str">
        <x:v>地下城市/地铁/多层地下设施</x:v>
      </x:c>
      <x:c r="C1118" s="30" t="str">
        <x:v>T018</x:v>
      </x:c>
      <x:c r="D1118" s="30" t="str">
        <x:v>RF/手机线索搜索</x:v>
      </x:c>
      <x:c r="E1118" s="30" t="str">
        <x:v>可候选；Agent决定是否创建/执行</x:v>
      </x:c>
      <x:c r="F1118" s="30" t="str">
        <x:v>条件扩展：明确设备/专业服务后启用</x:v>
      </x:c>
    </x:row>
    <x:row r="1119" ht="40" customHeight="1">
      <x:c r="A1119" s="30" t="str">
        <x:v>SC14</x:v>
      </x:c>
      <x:c r="B1119" s="30" t="str">
        <x:v>地下城市/地铁/多层地下设施</x:v>
      </x:c>
      <x:c r="C1119" s="30" t="str">
        <x:v>T019</x:v>
      </x:c>
      <x:c r="D1119" s="30" t="str">
        <x:v>空中转场与观察点到达</x:v>
      </x:c>
      <x:c r="E1119" s="30" t="str">
        <x:v>可候选；Agent决定是否创建/执行</x:v>
      </x:c>
      <x:c r="F1119" s="30" t="str">
        <x:v>基线：依实际装配启用</x:v>
      </x:c>
    </x:row>
    <x:row r="1120" ht="40" customHeight="1">
      <x:c r="A1120" s="30" t="str">
        <x:v>SC14</x:v>
      </x:c>
      <x:c r="B1120" s="30" t="str">
        <x:v>地下城市/地铁/多层地下设施</x:v>
      </x:c>
      <x:c r="C1120" s="30" t="str">
        <x:v>T020</x:v>
      </x:c>
      <x:c r="D1120" s="30" t="str">
        <x:v>地面转场与绕行</x:v>
      </x:c>
      <x:c r="E1120" s="30" t="str">
        <x:v>可候选；Agent决定是否创建/执行</x:v>
      </x:c>
      <x:c r="F1120" s="30" t="str">
        <x:v>基线：依实际装配启用</x:v>
      </x:c>
    </x:row>
    <x:row r="1121" ht="40" customHeight="1">
      <x:c r="A1121" s="30" t="str">
        <x:v>SC14</x:v>
      </x:c>
      <x:c r="B1121" s="30" t="str">
        <x:v>地下城市/地铁/多层地下设施</x:v>
      </x:c>
      <x:c r="C1121" s="30" t="str">
        <x:v>T021</x:v>
      </x:c>
      <x:c r="D1121" s="30" t="str">
        <x:v>障碍接近探测与路径验证</x:v>
      </x:c>
      <x:c r="E1121" s="30" t="str">
        <x:v>可候选；Agent决定是否创建/执行</x:v>
      </x:c>
      <x:c r="F1121" s="30" t="str">
        <x:v>基线：依实际装配启用</x:v>
      </x:c>
    </x:row>
    <x:row r="1122" ht="40" customHeight="1">
      <x:c r="A1122" s="30" t="str">
        <x:v>SC14</x:v>
      </x:c>
      <x:c r="B1122" s="30" t="str">
        <x:v>地下城市/地铁/多层地下设施</x:v>
      </x:c>
      <x:c r="C1122" s="30" t="str">
        <x:v>T022</x:v>
      </x:c>
      <x:c r="D1122" s="30" t="str">
        <x:v>轻型残骸移除</x:v>
      </x:c>
      <x:c r="E1122" s="30" t="str">
        <x:v>可候选；Agent决定是否创建/执行</x:v>
      </x:c>
      <x:c r="F1122" s="30" t="str">
        <x:v>条件扩展：明确设备/专业服务后启用</x:v>
      </x:c>
    </x:row>
    <x:row r="1123" ht="40" customHeight="1">
      <x:c r="A1123" s="30" t="str">
        <x:v>SC14</x:v>
      </x:c>
      <x:c r="B1123" s="30" t="str">
        <x:v>地下城市/地铁/多层地下设施</x:v>
      </x:c>
      <x:c r="C1123" s="30" t="str">
        <x:v>T023</x:v>
      </x:c>
      <x:c r="D1123" s="30" t="str">
        <x:v>重型道路清障</x:v>
      </x:c>
      <x:c r="E1123" s="30" t="str">
        <x:v>可候选；Agent决定是否创建/执行</x:v>
      </x:c>
      <x:c r="F1123" s="30" t="str">
        <x:v>条件扩展：明确设备/专业服务后启用</x:v>
      </x:c>
    </x:row>
    <x:row r="1124" ht="40" customHeight="1">
      <x:c r="A1124" s="30" t="str">
        <x:v>SC14</x:v>
      </x:c>
      <x:c r="B1124" s="30" t="str">
        <x:v>地下城市/地铁/多层地下设施</x:v>
      </x:c>
      <x:c r="C1124" s="30" t="str">
        <x:v>T024</x:v>
      </x:c>
      <x:c r="D1124" s="30" t="str">
        <x:v>入口开辟与局部破拆</x:v>
      </x:c>
      <x:c r="E1124" s="30" t="str">
        <x:v>可候选；Agent决定是否创建/执行</x:v>
      </x:c>
      <x:c r="F1124" s="30" t="str">
        <x:v>条件扩展：明确设备/专业服务后启用</x:v>
      </x:c>
    </x:row>
    <x:row r="1125" ht="40" customHeight="1">
      <x:c r="A1125" s="30" t="str">
        <x:v>SC14</x:v>
      </x:c>
      <x:c r="B1125" s="30" t="str">
        <x:v>地下城市/地铁/多层地下设施</x:v>
      </x:c>
      <x:c r="C1125" s="30" t="str">
        <x:v>T025</x:v>
      </x:c>
      <x:c r="D1125" s="30" t="str">
        <x:v>危险结构临时支撑</x:v>
      </x:c>
      <x:c r="E1125" s="30" t="str">
        <x:v>可候选；Agent决定是否创建/执行</x:v>
      </x:c>
      <x:c r="F1125" s="30" t="str">
        <x:v>条件扩展：明确设备/专业服务后启用</x:v>
      </x:c>
    </x:row>
    <x:row r="1126" ht="40" customHeight="1">
      <x:c r="A1126" s="30" t="str">
        <x:v>SC14</x:v>
      </x:c>
      <x:c r="B1126" s="30" t="str">
        <x:v>地下城市/地铁/多层地下设施</x:v>
      </x:c>
      <x:c r="C1126" s="30" t="str">
        <x:v>T026</x:v>
      </x:c>
      <x:c r="D1126" s="30" t="str">
        <x:v>吊升/移置大块障碍</x:v>
      </x:c>
      <x:c r="E1126" s="30" t="str">
        <x:v>可候选；Agent决定是否创建/执行</x:v>
      </x:c>
      <x:c r="F1126" s="30" t="str">
        <x:v>条件扩展：明确设备/专业服务后启用</x:v>
      </x:c>
    </x:row>
    <x:row r="1127" ht="40" customHeight="1">
      <x:c r="A1127" s="30" t="str">
        <x:v>SC14</x:v>
      </x:c>
      <x:c r="B1127" s="30" t="str">
        <x:v>地下城市/地铁/多层地下设施</x:v>
      </x:c>
      <x:c r="C1127" s="30" t="str">
        <x:v>T027</x:v>
      </x:c>
      <x:c r="D1127" s="30" t="str">
        <x:v>建立联系并确认需求</x:v>
      </x:c>
      <x:c r="E1127" s="30" t="str">
        <x:v>可候选；Agent决定是否创建/执行</x:v>
      </x:c>
      <x:c r="F1127" s="30" t="str">
        <x:v>基线：依实际装配启用</x:v>
      </x:c>
    </x:row>
    <x:row r="1128" ht="40" customHeight="1">
      <x:c r="A1128" s="30" t="str">
        <x:v>SC14</x:v>
      </x:c>
      <x:c r="B1128" s="30" t="str">
        <x:v>地下城市/地铁/多层地下设施</x:v>
      </x:c>
      <x:c r="C1128" s="30" t="str">
        <x:v>T028</x:v>
      </x:c>
      <x:c r="D1128" s="30" t="str">
        <x:v>安全警示与避险引导</x:v>
      </x:c>
      <x:c r="E1128" s="30" t="str">
        <x:v>可候选；Agent决定是否创建/执行</x:v>
      </x:c>
      <x:c r="F1128" s="30" t="str">
        <x:v>基线：依实际装配启用</x:v>
      </x:c>
    </x:row>
    <x:row r="1129" ht="40" customHeight="1">
      <x:c r="A1129" s="30" t="str">
        <x:v>SC14</x:v>
      </x:c>
      <x:c r="B1129" s="30" t="str">
        <x:v>地下城市/地铁/多层地下设施</x:v>
      </x:c>
      <x:c r="C1129" s="30" t="str">
        <x:v>T029</x:v>
      </x:c>
      <x:c r="D1129" s="30" t="str">
        <x:v>专业伤员评估与分级</x:v>
      </x:c>
      <x:c r="E1129" s="30" t="str">
        <x:v>可候选；Agent决定是否创建/执行</x:v>
      </x:c>
      <x:c r="F1129" s="30" t="str">
        <x:v>条件扩展：明确设备/专业服务后启用</x:v>
      </x:c>
    </x:row>
    <x:row r="1130" ht="40" customHeight="1">
      <x:c r="A1130" s="30" t="str">
        <x:v>SC14</x:v>
      </x:c>
      <x:c r="B1130" s="30" t="str">
        <x:v>地下城市/地铁/多层地下设施</x:v>
      </x:c>
      <x:c r="C1130" s="30" t="str">
        <x:v>T030</x:v>
      </x:c>
      <x:c r="D1130" s="30" t="str">
        <x:v>人员基础物资支援</x:v>
      </x:c>
      <x:c r="E1130" s="30" t="str">
        <x:v>可候选；Agent决定是否创建/执行</x:v>
      </x:c>
      <x:c r="F1130" s="30" t="str">
        <x:v>基线：依实际装配启用</x:v>
      </x:c>
    </x:row>
    <x:row r="1131" ht="40" customHeight="1">
      <x:c r="A1131" s="30" t="str">
        <x:v>SC14</x:v>
      </x:c>
      <x:c r="B1131" s="30" t="str">
        <x:v>地下城市/地铁/多层地下设施</x:v>
      </x:c>
      <x:c r="C1131" s="30" t="str">
        <x:v>T031</x:v>
      </x:c>
      <x:c r="D1131" s="30" t="str">
        <x:v>专业初步救护</x:v>
      </x:c>
      <x:c r="E1131" s="30" t="str">
        <x:v>可候选；Agent决定是否创建/执行</x:v>
      </x:c>
      <x:c r="F1131" s="30" t="str">
        <x:v>条件扩展：明确设备/专业服务后启用</x:v>
      </x:c>
    </x:row>
    <x:row r="1132" ht="40" customHeight="1">
      <x:c r="A1132" s="30" t="str">
        <x:v>SC14</x:v>
      </x:c>
      <x:c r="B1132" s="30" t="str">
        <x:v>地下城市/地铁/多层地下设施</x:v>
      </x:c>
      <x:c r="C1132" s="30" t="str">
        <x:v>T032</x:v>
      </x:c>
      <x:c r="D1132" s="30" t="str">
        <x:v>受困解除/解困</x:v>
      </x:c>
      <x:c r="E1132" s="30" t="str">
        <x:v>可候选；Agent决定是否创建/执行</x:v>
      </x:c>
      <x:c r="F1132" s="30" t="str">
        <x:v>条件扩展：明确设备/专业服务后启用</x:v>
      </x:c>
    </x:row>
    <x:row r="1133" ht="40" customHeight="1">
      <x:c r="A1133" s="30" t="str">
        <x:v>SC14</x:v>
      </x:c>
      <x:c r="B1133" s="30" t="str">
        <x:v>地下城市/地铁/多层地下设施</x:v>
      </x:c>
      <x:c r="C1133" s="30" t="str">
        <x:v>T033</x:v>
      </x:c>
      <x:c r="D1133" s="30" t="str">
        <x:v>人员装载</x:v>
      </x:c>
      <x:c r="E1133" s="30" t="str">
        <x:v>可候选；Agent决定是否创建/执行</x:v>
      </x:c>
      <x:c r="F1133" s="30" t="str">
        <x:v>条件扩展：明确设备/专业服务后启用</x:v>
      </x:c>
    </x:row>
    <x:row r="1134" ht="40" customHeight="1">
      <x:c r="A1134" s="30" t="str">
        <x:v>SC14</x:v>
      </x:c>
      <x:c r="B1134" s="30" t="str">
        <x:v>地下城市/地铁/多层地下设施</x:v>
      </x:c>
      <x:c r="C1134" s="30" t="str">
        <x:v>T034</x:v>
      </x:c>
      <x:c r="D1134" s="30" t="str">
        <x:v>人员转运</x:v>
      </x:c>
      <x:c r="E1134" s="30" t="str">
        <x:v>可候选；Agent决定是否创建/执行</x:v>
      </x:c>
      <x:c r="F1134" s="30" t="str">
        <x:v>条件扩展：明确设备/专业服务后启用</x:v>
      </x:c>
    </x:row>
    <x:row r="1135" ht="40" customHeight="1">
      <x:c r="A1135" s="30" t="str">
        <x:v>SC14</x:v>
      </x:c>
      <x:c r="B1135" s="30" t="str">
        <x:v>地下城市/地铁/多层地下设施</x:v>
      </x:c>
      <x:c r="C1135" s="30" t="str">
        <x:v>T035</x:v>
      </x:c>
      <x:c r="D1135" s="30" t="str">
        <x:v>救援/医疗最终移交</x:v>
      </x:c>
      <x:c r="E1135" s="30" t="str">
        <x:v>可候选；Agent决定是否创建/执行</x:v>
      </x:c>
      <x:c r="F1135" s="30" t="str">
        <x:v>条件扩展：明确设备/专业服务后启用</x:v>
      </x:c>
    </x:row>
    <x:row r="1136" ht="40" customHeight="1">
      <x:c r="A1136" s="30" t="str">
        <x:v>SC14</x:v>
      </x:c>
      <x:c r="B1136" s="30" t="str">
        <x:v>地下城市/地铁/多层地下设施</x:v>
      </x:c>
      <x:c r="C1136" s="30" t="str">
        <x:v>T038</x:v>
      </x:c>
      <x:c r="D1136" s="30" t="str">
        <x:v>货物取用与挂载</x:v>
      </x:c>
      <x:c r="E1136" s="30" t="str">
        <x:v>可候选；Agent决定是否创建/执行</x:v>
      </x:c>
      <x:c r="F1136" s="30" t="str">
        <x:v>基线：依实际装配启用</x:v>
      </x:c>
    </x:row>
    <x:row r="1137" ht="40" customHeight="1">
      <x:c r="A1137" s="30" t="str">
        <x:v>SC14</x:v>
      </x:c>
      <x:c r="B1137" s="30" t="str">
        <x:v>地下城市/地铁/多层地下设施</x:v>
      </x:c>
      <x:c r="C1137" s="30" t="str">
        <x:v>T039</x:v>
      </x:c>
      <x:c r="D1137" s="30" t="str">
        <x:v>无人机精确物资投送</x:v>
      </x:c>
      <x:c r="E1137" s="30" t="str">
        <x:v>可候选；Agent决定是否创建/执行</x:v>
      </x:c>
      <x:c r="F1137" s="30" t="str">
        <x:v>基线：依实际装配启用</x:v>
      </x:c>
    </x:row>
    <x:row r="1138" ht="40" customHeight="1">
      <x:c r="A1138" s="30" t="str">
        <x:v>SC14</x:v>
      </x:c>
      <x:c r="B1138" s="30" t="str">
        <x:v>地下城市/地铁/多层地下设施</x:v>
      </x:c>
      <x:c r="C1138" s="30" t="str">
        <x:v>T040</x:v>
      </x:c>
      <x:c r="D1138" s="30" t="str">
        <x:v>地面物资送达与卸放</x:v>
      </x:c>
      <x:c r="E1138" s="30" t="str">
        <x:v>可候选；Agent决定是否创建/执行</x:v>
      </x:c>
      <x:c r="F1138" s="30" t="str">
        <x:v>基线：依实际装配启用</x:v>
      </x:c>
    </x:row>
    <x:row r="1139" ht="40" customHeight="1">
      <x:c r="A1139" s="30" t="str">
        <x:v>SC14</x:v>
      </x:c>
      <x:c r="B1139" s="30" t="str">
        <x:v>地下城市/地铁/多层地下设施</x:v>
      </x:c>
      <x:c r="C1139" s="30" t="str">
        <x:v>T041</x:v>
      </x:c>
      <x:c r="D1139" s="30" t="str">
        <x:v>交付复核与收货报告</x:v>
      </x:c>
      <x:c r="E1139" s="30" t="str">
        <x:v>可候选；Agent决定是否创建/执行</x:v>
      </x:c>
      <x:c r="F1139" s="30" t="str">
        <x:v>基线：依实际装配启用</x:v>
      </x:c>
    </x:row>
    <x:row r="1140" ht="40" customHeight="1">
      <x:c r="A1140" s="30" t="str">
        <x:v>SC14</x:v>
      </x:c>
      <x:c r="B1140" s="30" t="str">
        <x:v>地下城市/地铁/多层地下设施</x:v>
      </x:c>
      <x:c r="C1140" s="30" t="str">
        <x:v>T042</x:v>
      </x:c>
      <x:c r="D1140" s="30" t="str">
        <x:v>物资/器材补给</x:v>
      </x:c>
      <x:c r="E1140" s="30" t="str">
        <x:v>可候选；Agent决定是否创建/执行</x:v>
      </x:c>
      <x:c r="F1140" s="30" t="str">
        <x:v>基线：依实际装配启用</x:v>
      </x:c>
    </x:row>
    <x:row r="1141" ht="40" customHeight="1">
      <x:c r="A1141" s="30" t="str">
        <x:v>SC14</x:v>
      </x:c>
      <x:c r="B1141" s="30" t="str">
        <x:v>地下城市/地铁/多层地下设施</x:v>
      </x:c>
      <x:c r="C1141" s="30" t="str">
        <x:v>T043</x:v>
      </x:c>
      <x:c r="D1141" s="30" t="str">
        <x:v>平台充电</x:v>
      </x:c>
      <x:c r="E1141" s="30" t="str">
        <x:v>可候选；Agent决定是否创建/执行</x:v>
      </x:c>
      <x:c r="F1141" s="30" t="str">
        <x:v>基线：依实际装配启用</x:v>
      </x:c>
    </x:row>
    <x:row r="1142" ht="40" customHeight="1">
      <x:c r="A1142" s="30" t="str">
        <x:v>SC14</x:v>
      </x:c>
      <x:c r="B1142" s="30" t="str">
        <x:v>地下城市/地铁/多层地下设施</x:v>
      </x:c>
      <x:c r="C1142" s="30" t="str">
        <x:v>T044</x:v>
      </x:c>
      <x:c r="D1142" s="30" t="str">
        <x:v>平台换电</x:v>
      </x:c>
      <x:c r="E1142" s="30" t="str">
        <x:v>可候选；Agent决定是否创建/执行</x:v>
      </x:c>
      <x:c r="F1142" s="30" t="str">
        <x:v>基线：依实际装配启用</x:v>
      </x:c>
    </x:row>
    <x:row r="1143" ht="40" customHeight="1">
      <x:c r="A1143" s="30" t="str">
        <x:v>SC14</x:v>
      </x:c>
      <x:c r="B1143" s="30" t="str">
        <x:v>地下城市/地铁/多层地下设施</x:v>
      </x:c>
      <x:c r="C1143" s="30" t="str">
        <x:v>T045</x:v>
      </x:c>
      <x:c r="D1143" s="30" t="str">
        <x:v>返航/返站与安全撤离</x:v>
      </x:c>
      <x:c r="E1143" s="30" t="str">
        <x:v>可候选；Agent决定是否创建/执行</x:v>
      </x:c>
      <x:c r="F1143" s="30" t="str">
        <x:v>基线：依实际装配启用</x:v>
      </x:c>
    </x:row>
    <x:row r="1144" ht="40" customHeight="1">
      <x:c r="A1144" s="30" t="str">
        <x:v>SC14</x:v>
      </x:c>
      <x:c r="B1144" s="30" t="str">
        <x:v>地下城市/地铁/多层地下设施</x:v>
      </x:c>
      <x:c r="C1144" s="30" t="str">
        <x:v>T046</x:v>
      </x:c>
      <x:c r="D1144" s="30" t="str">
        <x:v>失效平台回收</x:v>
      </x:c>
      <x:c r="E1144" s="30" t="str">
        <x:v>可候选；Agent决定是否创建/执行</x:v>
      </x:c>
      <x:c r="F1144" s="30" t="str">
        <x:v>条件扩展：明确设备/专业服务后启用</x:v>
      </x:c>
    </x:row>
    <x:row r="1145" ht="40" customHeight="1">
      <x:c r="A1145" s="30" t="str">
        <x:v>SC14</x:v>
      </x:c>
      <x:c r="B1145" s="30" t="str">
        <x:v>地下城市/地铁/多层地下设施</x:v>
      </x:c>
      <x:c r="C1145" s="30" t="str">
        <x:v>T047</x:v>
      </x:c>
      <x:c r="D1145" s="30" t="str">
        <x:v>链路探测与质量估计</x:v>
      </x:c>
      <x:c r="E1145" s="30" t="str">
        <x:v>可候选；Agent决定是否创建/执行</x:v>
      </x:c>
      <x:c r="F1145" s="30" t="str">
        <x:v>基线：依实际装配启用</x:v>
      </x:c>
    </x:row>
    <x:row r="1146" ht="40" customHeight="1">
      <x:c r="A1146" s="30" t="str">
        <x:v>SC14</x:v>
      </x:c>
      <x:c r="B1146" s="30" t="str">
        <x:v>地下城市/地铁/多层地下设施</x:v>
      </x:c>
      <x:c r="C1146" s="30" t="str">
        <x:v>T048</x:v>
      </x:c>
      <x:c r="D1146" s="30" t="str">
        <x:v>通信会合与重定位</x:v>
      </x:c>
      <x:c r="E1146" s="30" t="str">
        <x:v>可候选；Agent决定是否创建/执行</x:v>
      </x:c>
      <x:c r="F1146" s="30" t="str">
        <x:v>基线：依实际装配启用</x:v>
      </x:c>
    </x:row>
    <x:row r="1147" ht="40" customHeight="1">
      <x:c r="A1147" s="30" t="str">
        <x:v>SC14</x:v>
      </x:c>
      <x:c r="B1147" s="30" t="str">
        <x:v>地下城市/地铁/多层地下设施</x:v>
      </x:c>
      <x:c r="C1147" s="30" t="str">
        <x:v>T049</x:v>
      </x:c>
      <x:c r="D1147" s="30" t="str">
        <x:v>空中中继保持</x:v>
      </x:c>
      <x:c r="E1147" s="30" t="str">
        <x:v>可候选；Agent决定是否创建/执行</x:v>
      </x:c>
      <x:c r="F1147" s="30" t="str">
        <x:v>基线：依实际装配启用</x:v>
      </x:c>
    </x:row>
    <x:row r="1148" ht="40" customHeight="1">
      <x:c r="A1148" s="30" t="str">
        <x:v>SC14</x:v>
      </x:c>
      <x:c r="B1148" s="30" t="str">
        <x:v>地下城市/地铁/多层地下设施</x:v>
      </x:c>
      <x:c r="C1148" s="30" t="str">
        <x:v>T050</x:v>
      </x:c>
      <x:c r="D1148" s="30" t="str">
        <x:v>通信节点布放</x:v>
      </x:c>
      <x:c r="E1148" s="30" t="str">
        <x:v>可候选；Agent决定是否创建/执行</x:v>
      </x:c>
      <x:c r="F1148" s="30" t="str">
        <x:v>条件扩展：明确设备/专业服务后启用</x:v>
      </x:c>
    </x:row>
    <x:row r="1149" ht="40" customHeight="1">
      <x:c r="A1149" s="30" t="str">
        <x:v>SC14</x:v>
      </x:c>
      <x:c r="B1149" s="30" t="str">
        <x:v>地下城市/地铁/多层地下设施</x:v>
      </x:c>
      <x:c r="C1149" s="30" t="str">
        <x:v>T051</x:v>
      </x:c>
      <x:c r="D1149" s="30" t="str">
        <x:v>多跳业务转发</x:v>
      </x:c>
      <x:c r="E1149" s="30" t="str">
        <x:v>可候选；Agent决定是否创建/执行</x:v>
      </x:c>
      <x:c r="F1149" s="30" t="str">
        <x:v>基线：依实际装配启用</x:v>
      </x:c>
    </x:row>
    <x:row r="1150" ht="40" customHeight="1">
      <x:c r="A1150" s="30" t="str">
        <x:v>SC14</x:v>
      </x:c>
      <x:c r="B1150" s="30" t="str">
        <x:v>地下城市/地铁/多层地下设施</x:v>
      </x:c>
      <x:c r="C1150" s="30" t="str">
        <x:v>T052</x:v>
      </x:c>
      <x:c r="D1150" s="30" t="str">
        <x:v>图像/证据数据上传</x:v>
      </x:c>
      <x:c r="E1150" s="30" t="str">
        <x:v>可候选；Agent决定是否创建/执行</x:v>
      </x:c>
      <x:c r="F1150" s="30" t="str">
        <x:v>基线：依实际装配启用</x:v>
      </x:c>
    </x:row>
    <x:row r="1151" ht="40" customHeight="1">
      <x:c r="A1151" s="30" t="str">
        <x:v>SC14</x:v>
      </x:c>
      <x:c r="B1151" s="30" t="str">
        <x:v>地下城市/地铁/多层地下设施</x:v>
      </x:c>
      <x:c r="C1151" s="30" t="str">
        <x:v>T053</x:v>
      </x:c>
      <x:c r="D1151" s="30" t="str">
        <x:v>可靠回执与超时重传</x:v>
      </x:c>
      <x:c r="E1151" s="30" t="str">
        <x:v>可候选；Agent决定是否创建/执行</x:v>
      </x:c>
      <x:c r="F1151" s="30" t="str">
        <x:v>基线：依实际装配启用</x:v>
      </x:c>
    </x:row>
    <x:row r="1152" ht="40" customHeight="1">
      <x:c r="A1152" s="30" t="str">
        <x:v>SC14</x:v>
      </x:c>
      <x:c r="B1152" s="30" t="str">
        <x:v>地下城市/地铁/多层地下设施</x:v>
      </x:c>
      <x:c r="C1152" s="30" t="str">
        <x:v>T054</x:v>
      </x:c>
      <x:c r="D1152" s="30" t="str">
        <x:v>断联存储-携带-转发</x:v>
      </x:c>
      <x:c r="E1152" s="30" t="str">
        <x:v>可候选；Agent决定是否创建/执行</x:v>
      </x:c>
      <x:c r="F1152" s="30" t="str">
        <x:v>基线：依实际装配启用</x:v>
      </x:c>
    </x:row>
    <x:row r="1153" ht="40" customHeight="1">
      <x:c r="A1153" s="30" t="str">
        <x:v>SC14</x:v>
      </x:c>
      <x:c r="B1153" s="30" t="str">
        <x:v>地下城市/地铁/多层地下设施</x:v>
      </x:c>
      <x:c r="C1153" s="30" t="str">
        <x:v>T055</x:v>
      </x:c>
      <x:c r="D1153" s="30" t="str">
        <x:v>信道/功率/传输优先级调整</x:v>
      </x:c>
      <x:c r="E1153" s="30" t="str">
        <x:v>可候选；Agent决定是否创建/执行</x:v>
      </x:c>
      <x:c r="F1153" s="30" t="str">
        <x:v>基线：依实际装配启用</x:v>
      </x:c>
    </x:row>
    <x:row r="1154" ht="40" customHeight="1">
      <x:c r="A1154" s="30" t="str">
        <x:v>SC14</x:v>
      </x:c>
      <x:c r="B1154" s="30" t="str">
        <x:v>地下城市/地铁/多层地下设施</x:v>
      </x:c>
      <x:c r="C1154" s="30" t="str">
        <x:v>T056</x:v>
      </x:c>
      <x:c r="D1154" s="30" t="str">
        <x:v>失联后的连接恢复</x:v>
      </x:c>
      <x:c r="E1154" s="30" t="str">
        <x:v>可候选；Agent决定是否创建/执行</x:v>
      </x:c>
      <x:c r="F1154" s="30" t="str">
        <x:v>基线：依实际装配启用</x:v>
      </x:c>
    </x:row>
    <x:row r="1155" ht="40" customHeight="1">
      <x:c r="A1155" s="30" t="str">
        <x:v>SC14</x:v>
      </x:c>
      <x:c r="B1155" s="30" t="str">
        <x:v>地下城市/地铁/多层地下设施</x:v>
      </x:c>
      <x:c r="C1155" s="30" t="str">
        <x:v>T057</x:v>
      </x:c>
      <x:c r="D1155" s="30" t="str">
        <x:v>计算与模型服务发现</x:v>
      </x:c>
      <x:c r="E1155" s="30" t="str">
        <x:v>可候选；Agent决定是否创建/执行</x:v>
      </x:c>
      <x:c r="F1155" s="30" t="str">
        <x:v>基线：依实际装配启用</x:v>
      </x:c>
    </x:row>
    <x:row r="1156" ht="40" customHeight="1">
      <x:c r="A1156" s="30" t="str">
        <x:v>SC14</x:v>
      </x:c>
      <x:c r="B1156" s="30" t="str">
        <x:v>地下城市/地铁/多层地下设施</x:v>
      </x:c>
      <x:c r="C1156" s="30" t="str">
        <x:v>T058</x:v>
      </x:c>
      <x:c r="D1156" s="30" t="str">
        <x:v>本地视觉检测</x:v>
      </x:c>
      <x:c r="E1156" s="30" t="str">
        <x:v>可候选；Agent决定是否创建/执行</x:v>
      </x:c>
      <x:c r="F1156" s="30" t="str">
        <x:v>基线：依实际装配启用</x:v>
      </x:c>
    </x:row>
    <x:row r="1157" ht="40" customHeight="1">
      <x:c r="A1157" s="30" t="str">
        <x:v>SC14</x:v>
      </x:c>
      <x:c r="B1157" s="30" t="str">
        <x:v>地下城市/地铁/多层地下设施</x:v>
      </x:c>
      <x:c r="C1157" s="30" t="str">
        <x:v>T059</x:v>
      </x:c>
      <x:c r="D1157" s="30" t="str">
        <x:v>本地语义/任务推理</x:v>
      </x:c>
      <x:c r="E1157" s="30" t="str">
        <x:v>可候选；Agent决定是否创建/执行</x:v>
      </x:c>
      <x:c r="F1157" s="30" t="str">
        <x:v>基线：依实际装配启用</x:v>
      </x:c>
    </x:row>
    <x:row r="1158" ht="40" customHeight="1">
      <x:c r="A1158" s="30" t="str">
        <x:v>SC14</x:v>
      </x:c>
      <x:c r="B1158" s="30" t="str">
        <x:v>地下城市/地铁/多层地下设施</x:v>
      </x:c>
      <x:c r="C1158" s="30" t="str">
        <x:v>T060</x:v>
      </x:c>
      <x:c r="D1158" s="30" t="str">
        <x:v>远程视觉复核/推理卸载</x:v>
      </x:c>
      <x:c r="E1158" s="30" t="str">
        <x:v>可候选；Agent决定是否创建/执行</x:v>
      </x:c>
      <x:c r="F1158" s="30" t="str">
        <x:v>基线：依实际装配启用</x:v>
      </x:c>
    </x:row>
    <x:row r="1159" ht="40" customHeight="1">
      <x:c r="A1159" s="30" t="str">
        <x:v>SC14</x:v>
      </x:c>
      <x:c r="B1159" s="30" t="str">
        <x:v>地下城市/地铁/多层地下设施</x:v>
      </x:c>
      <x:c r="C1159" s="30" t="str">
        <x:v>T061</x:v>
      </x:c>
      <x:c r="D1159" s="30" t="str">
        <x:v>执行节点与模型选择</x:v>
      </x:c>
      <x:c r="E1159" s="30" t="str">
        <x:v>可候选；Agent决定是否创建/执行</x:v>
      </x:c>
      <x:c r="F1159" s="30" t="str">
        <x:v>基线：依实际装配启用</x:v>
      </x:c>
    </x:row>
    <x:row r="1160" ht="40" customHeight="1">
      <x:c r="A1160" s="30" t="str">
        <x:v>SC14</x:v>
      </x:c>
      <x:c r="B1160" s="30" t="str">
        <x:v>地下城市/地铁/多层地下设施</x:v>
      </x:c>
      <x:c r="C1160" s="30" t="str">
        <x:v>T062</x:v>
      </x:c>
      <x:c r="D1160" s="30" t="str">
        <x:v>计算作业准入与排队</x:v>
      </x:c>
      <x:c r="E1160" s="30" t="str">
        <x:v>可候选；Agent决定是否创建/执行</x:v>
      </x:c>
      <x:c r="F1160" s="30" t="str">
        <x:v>基线：依实际装配启用</x:v>
      </x:c>
    </x:row>
    <x:row r="1161" ht="40" customHeight="1">
      <x:c r="A1161" s="30" t="str">
        <x:v>SC14</x:v>
      </x:c>
      <x:c r="B1161" s="30" t="str">
        <x:v>地下城市/地铁/多层地下设施</x:v>
      </x:c>
      <x:c r="C1161" s="30" t="str">
        <x:v>T063</x:v>
      </x:c>
      <x:c r="D1161" s="30" t="str">
        <x:v>模型服务加载/卸载</x:v>
      </x:c>
      <x:c r="E1161" s="30" t="str">
        <x:v>可候选；Agent决定是否创建/执行</x:v>
      </x:c>
      <x:c r="F1161" s="30" t="str">
        <x:v>基线：依实际装配启用</x:v>
      </x:c>
    </x:row>
    <x:row r="1162" ht="40" customHeight="1">
      <x:c r="A1162" s="30" t="str">
        <x:v>SC14</x:v>
      </x:c>
      <x:c r="B1162" s="30" t="str">
        <x:v>地下城市/地铁/多层地下设施</x:v>
      </x:c>
      <x:c r="C1162" s="30" t="str">
        <x:v>T064</x:v>
      </x:c>
      <x:c r="D1162" s="30" t="str">
        <x:v>上下文/表示缓存复用</x:v>
      </x:c>
      <x:c r="E1162" s="30" t="str">
        <x:v>可候选；Agent决定是否创建/执行</x:v>
      </x:c>
      <x:c r="F1162" s="30" t="str">
        <x:v>基线：依实际装配启用</x:v>
      </x:c>
    </x:row>
    <x:row r="1163" ht="40" customHeight="1">
      <x:c r="A1163" s="30" t="str">
        <x:v>SC14</x:v>
      </x:c>
      <x:c r="B1163" s="30" t="str">
        <x:v>地下城市/地铁/多层地下设施</x:v>
      </x:c>
      <x:c r="C1163" s="30" t="str">
        <x:v>T065</x:v>
      </x:c>
      <x:c r="D1163" s="30" t="str">
        <x:v>服务/作业迁移与恢复</x:v>
      </x:c>
      <x:c r="E1163" s="30" t="str">
        <x:v>可候选；Agent决定是否创建/执行</x:v>
      </x:c>
      <x:c r="F1163" s="30" t="str">
        <x:v>条件扩展：明确设备/专业服务后启用</x:v>
      </x:c>
    </x:row>
    <x:row r="1164" ht="40" customHeight="1">
      <x:c r="A1164" s="30" t="str">
        <x:v>SC14</x:v>
      </x:c>
      <x:c r="B1164" s="30" t="str">
        <x:v>地下城市/地铁/多层地下设施</x:v>
      </x:c>
      <x:c r="C1164" s="30" t="str">
        <x:v>T066</x:v>
      </x:c>
      <x:c r="D1164" s="30" t="str">
        <x:v>预算耗尽/失败作业取消重试</x:v>
      </x:c>
      <x:c r="E1164" s="30" t="str">
        <x:v>可候选；Agent决定是否创建/执行</x:v>
      </x:c>
      <x:c r="F1164" s="30" t="str">
        <x:v>基线：依实际装配启用</x:v>
      </x:c>
    </x:row>
    <x:row r="1165" ht="40" customHeight="1">
      <x:c r="A1165" s="30" t="str">
        <x:v>SC14</x:v>
      </x:c>
      <x:c r="B1165" s="30" t="str">
        <x:v>地下城市/地铁/多层地下设施</x:v>
      </x:c>
      <x:c r="C1165" s="30" t="str">
        <x:v>T067</x:v>
      </x:c>
      <x:c r="D1165" s="30" t="str">
        <x:v>批处理/多源联合推理</x:v>
      </x:c>
      <x:c r="E1165" s="30" t="str">
        <x:v>可候选；Agent决定是否创建/执行</x:v>
      </x:c>
      <x:c r="F1165" s="30" t="str">
        <x:v>基线：依实际装配启用</x:v>
      </x:c>
    </x:row>
    <x:row r="1166" ht="40" customHeight="1">
      <x:c r="A1166" s="30" t="str">
        <x:v>SC14</x:v>
      </x:c>
      <x:c r="B1166" s="30" t="str">
        <x:v>地下城市/地铁/多层地下设施</x:v>
      </x:c>
      <x:c r="C1166" s="30" t="str">
        <x:v>T068</x:v>
      </x:c>
      <x:c r="D1166" s="30" t="str">
        <x:v>计算资源释放与缓存清理</x:v>
      </x:c>
      <x:c r="E1166" s="30" t="str">
        <x:v>可候选；Agent决定是否创建/执行</x:v>
      </x:c>
      <x:c r="F1166" s="30" t="str">
        <x:v>基线：依实际装配启用</x:v>
      </x:c>
    </x:row>
    <x:row r="1167" ht="40" customHeight="1">
      <x:c r="A1167" s="30" t="str">
        <x:v>SC14</x:v>
      </x:c>
      <x:c r="B1167" s="30" t="str">
        <x:v>地下城市/地铁/多层地下设施</x:v>
      </x:c>
      <x:c r="C1167" s="30" t="str">
        <x:v>T069</x:v>
      </x:c>
      <x:c r="D1167" s="30" t="str">
        <x:v>跨源时间坐标对齐</x:v>
      </x:c>
      <x:c r="E1167" s="30" t="str">
        <x:v>可候选；Agent决定是否创建/执行</x:v>
      </x:c>
      <x:c r="F1167" s="30" t="str">
        <x:v>基线：依实际装配启用</x:v>
      </x:c>
    </x:row>
    <x:row r="1168" ht="40" customHeight="1">
      <x:c r="A1168" s="30" t="str">
        <x:v>SC14</x:v>
      </x:c>
      <x:c r="B1168" s="30" t="str">
        <x:v>地下城市/地铁/多层地下设施</x:v>
      </x:c>
      <x:c r="C1168" s="30" t="str">
        <x:v>T070</x:v>
      </x:c>
      <x:c r="D1168" s="30" t="str">
        <x:v>任务条件化本地历史检索</x:v>
      </x:c>
      <x:c r="E1168" s="30" t="str">
        <x:v>可候选；Agent决定是否创建/执行</x:v>
      </x:c>
      <x:c r="F1168" s="30" t="str">
        <x:v>基线：依实际装配启用</x:v>
      </x:c>
    </x:row>
    <x:row r="1169" ht="40" customHeight="1">
      <x:c r="A1169" s="30" t="str">
        <x:v>SC14</x:v>
      </x:c>
      <x:c r="B1169" s="30" t="str">
        <x:v>地下城市/地铁/多层地下设施</x:v>
      </x:c>
      <x:c r="C1169" s="30" t="str">
        <x:v>T071</x:v>
      </x:c>
      <x:c r="D1169" s="30" t="str">
        <x:v>图像裁剪/编码/证据打包</x:v>
      </x:c>
      <x:c r="E1169" s="30" t="str">
        <x:v>可候选；Agent决定是否创建/执行</x:v>
      </x:c>
      <x:c r="F1169" s="30" t="str">
        <x:v>基线：依实际装配启用</x:v>
      </x:c>
    </x:row>
    <x:row r="1170" ht="40" customHeight="1">
      <x:c r="A1170" s="30" t="str">
        <x:v>SC14</x:v>
      </x:c>
      <x:c r="B1170" s="30" t="str">
        <x:v>地下城市/地铁/多层地下设施</x:v>
      </x:c>
      <x:c r="C1170" s="30" t="str">
        <x:v>T072</x:v>
      </x:c>
      <x:c r="D1170" s="30" t="str">
        <x:v>置信度与证据充分性判断</x:v>
      </x:c>
      <x:c r="E1170" s="30" t="str">
        <x:v>可候选；Agent决定是否创建/执行</x:v>
      </x:c>
      <x:c r="F1170" s="30" t="str">
        <x:v>基线：依实际装配启用</x:v>
      </x:c>
    </x:row>
    <x:row r="1171" ht="40" customHeight="1">
      <x:c r="A1171" s="30" t="str">
        <x:v>SC14</x:v>
      </x:c>
      <x:c r="B1171" s="30" t="str">
        <x:v>地下城市/地铁/多层地下设施</x:v>
      </x:c>
      <x:c r="C1171" s="30" t="str">
        <x:v>T073</x:v>
      </x:c>
      <x:c r="D1171" s="30" t="str">
        <x:v>多源融合与冲突更正</x:v>
      </x:c>
      <x:c r="E1171" s="30" t="str">
        <x:v>可候选；Agent决定是否创建/执行</x:v>
      </x:c>
      <x:c r="F1171" s="30" t="str">
        <x:v>基线：依实际装配启用</x:v>
      </x:c>
    </x:row>
    <x:row r="1172" ht="40" customHeight="1">
      <x:c r="A1172" s="30" t="str">
        <x:v>SC14</x:v>
      </x:c>
      <x:c r="B1172" s="30" t="str">
        <x:v>地下城市/地铁/多层地下设施</x:v>
      </x:c>
      <x:c r="C1172" s="30" t="str">
        <x:v>T074</x:v>
      </x:c>
      <x:c r="D1172" s="30" t="str">
        <x:v>面向任务的信息选择与共享</x:v>
      </x:c>
      <x:c r="E1172" s="30" t="str">
        <x:v>可候选；Agent决定是否创建/执行</x:v>
      </x:c>
      <x:c r="F1172" s="30" t="str">
        <x:v>基线：依实际装配启用</x:v>
      </x:c>
    </x:row>
    <x:row r="1173" ht="40" customHeight="1">
      <x:c r="A1173" s="30" t="str">
        <x:v>SC14</x:v>
      </x:c>
      <x:c r="B1173" s="30" t="str">
        <x:v>地下城市/地铁/多层地下设施</x:v>
      </x:c>
      <x:c r="C1173" s="30" t="str">
        <x:v>T075</x:v>
      </x:c>
      <x:c r="D1173" s="30" t="str">
        <x:v>局部信念与过时信息维护</x:v>
      </x:c>
      <x:c r="E1173" s="30" t="str">
        <x:v>可候选；Agent决定是否创建/执行</x:v>
      </x:c>
      <x:c r="F1173" s="30" t="str">
        <x:v>基线：依实际装配启用</x:v>
      </x:c>
    </x:row>
    <x:row r="1174" ht="40" customHeight="1">
      <x:c r="A1174" s="30" t="str">
        <x:v>SC14</x:v>
      </x:c>
      <x:c r="B1174" s="30" t="str">
        <x:v>地下城市/地铁/多层地下设施</x:v>
      </x:c>
      <x:c r="C1174" s="30" t="str">
        <x:v>T076</x:v>
      </x:c>
      <x:c r="D1174" s="30" t="str">
        <x:v>轨迹/证据归档与回放</x:v>
      </x:c>
      <x:c r="E1174" s="30" t="str">
        <x:v>可候选；Agent决定是否创建/执行</x:v>
      </x:c>
      <x:c r="F1174" s="30" t="str">
        <x:v>基线：依实际装配启用</x:v>
      </x:c>
    </x:row>
    <x:row r="1175" ht="40" customHeight="1">
      <x:c r="A1175" s="30" t="str">
        <x:v>SC14</x:v>
      </x:c>
      <x:c r="B1175" s="30" t="str">
        <x:v>地下城市/地铁/多层地下设施</x:v>
      </x:c>
      <x:c r="C1175" s="30" t="str">
        <x:v>T077</x:v>
      </x:c>
      <x:c r="D1175" s="30" t="str">
        <x:v>接收并解释当前使命</x:v>
      </x:c>
      <x:c r="E1175" s="30" t="str">
        <x:v>可候选；Agent决定是否创建/执行</x:v>
      </x:c>
      <x:c r="F1175" s="30" t="str">
        <x:v>基线：依实际装配启用</x:v>
      </x:c>
    </x:row>
    <x:row r="1176" ht="40" customHeight="1">
      <x:c r="A1176" s="30" t="str">
        <x:v>SC14</x:v>
      </x:c>
      <x:c r="B1176" s="30" t="str">
        <x:v>地下城市/地铁/多层地下设施</x:v>
      </x:c>
      <x:c r="C1176" s="30" t="str">
        <x:v>T078</x:v>
      </x:c>
      <x:c r="D1176" s="30" t="str">
        <x:v>自主任务分解与候选生成</x:v>
      </x:c>
      <x:c r="E1176" s="30" t="str">
        <x:v>可候选；Agent决定是否创建/执行</x:v>
      </x:c>
      <x:c r="F1176" s="30" t="str">
        <x:v>基线：依实际装配启用</x:v>
      </x:c>
    </x:row>
    <x:row r="1177" ht="40" customHeight="1">
      <x:c r="A1177" s="30" t="str">
        <x:v>SC14</x:v>
      </x:c>
      <x:c r="B1177" s="30" t="str">
        <x:v>地下城市/地铁/多层地下设施</x:v>
      </x:c>
      <x:c r="C1177" s="30" t="str">
        <x:v>T079</x:v>
      </x:c>
      <x:c r="D1177" s="30" t="str">
        <x:v>本机参与筛选与出价</x:v>
      </x:c>
      <x:c r="E1177" s="30" t="str">
        <x:v>可候选；Agent决定是否创建/执行</x:v>
      </x:c>
      <x:c r="F1177" s="30" t="str">
        <x:v>基线：依实际装配启用</x:v>
      </x:c>
    </x:row>
    <x:row r="1178" ht="40" customHeight="1">
      <x:c r="A1178" s="30" t="str">
        <x:v>SC14</x:v>
      </x:c>
      <x:c r="B1178" s="30" t="str">
        <x:v>地下城市/地铁/多层地下设施</x:v>
      </x:c>
      <x:c r="C1178" s="30" t="str">
        <x:v>T080</x:v>
      </x:c>
      <x:c r="D1178" s="30" t="str">
        <x:v>多平台任务分配与协调</x:v>
      </x:c>
      <x:c r="E1178" s="30" t="str">
        <x:v>可候选；Agent决定是否创建/执行</x:v>
      </x:c>
      <x:c r="F1178" s="30" t="str">
        <x:v>基线：依实际装配启用</x:v>
      </x:c>
    </x:row>
    <x:row r="1179" ht="40" customHeight="1">
      <x:c r="A1179" s="30" t="str">
        <x:v>SC14</x:v>
      </x:c>
      <x:c r="B1179" s="30" t="str">
        <x:v>地下城市/地铁/多层地下设施</x:v>
      </x:c>
      <x:c r="C1179" s="30" t="str">
        <x:v>T081</x:v>
      </x:c>
      <x:c r="D1179" s="30" t="str">
        <x:v>任务接受/拒绝与承诺</x:v>
      </x:c>
      <x:c r="E1179" s="30" t="str">
        <x:v>可候选；Agent决定是否创建/执行</x:v>
      </x:c>
      <x:c r="F1179" s="30" t="str">
        <x:v>基线：依实际装配启用</x:v>
      </x:c>
    </x:row>
    <x:row r="1180" ht="40" customHeight="1">
      <x:c r="A1180" s="30" t="str">
        <x:v>SC14</x:v>
      </x:c>
      <x:c r="B1180" s="30" t="str">
        <x:v>地下城市/地铁/多层地下设施</x:v>
      </x:c>
      <x:c r="C1180" s="30" t="str">
        <x:v>T082</x:v>
      </x:c>
      <x:c r="D1180" s="30" t="str">
        <x:v>进度监控与完成确认</x:v>
      </x:c>
      <x:c r="E1180" s="30" t="str">
        <x:v>可候选；Agent决定是否创建/执行</x:v>
      </x:c>
      <x:c r="F1180" s="30" t="str">
        <x:v>基线：依实际装配启用</x:v>
      </x:c>
    </x:row>
    <x:row r="1181" ht="40" customHeight="1">
      <x:c r="A1181" s="30" t="str">
        <x:v>SC14</x:v>
      </x:c>
      <x:c r="B1181" s="30" t="str">
        <x:v>地下城市/地铁/多层地下设施</x:v>
      </x:c>
      <x:c r="C1181" s="30" t="str">
        <x:v>T083</x:v>
      </x:c>
      <x:c r="D1181" s="30" t="str">
        <x:v>任务取消/抢占</x:v>
      </x:c>
      <x:c r="E1181" s="30" t="str">
        <x:v>可候选；Agent决定是否创建/执行</x:v>
      </x:c>
      <x:c r="F1181" s="30" t="str">
        <x:v>基线：依实际装配启用</x:v>
      </x:c>
    </x:row>
    <x:row r="1182" ht="40" customHeight="1">
      <x:c r="A1182" s="30" t="str">
        <x:v>SC14</x:v>
      </x:c>
      <x:c r="B1182" s="30" t="str">
        <x:v>地下城市/地铁/多层地下设施</x:v>
      </x:c>
      <x:c r="C1182" s="30" t="str">
        <x:v>T084</x:v>
      </x:c>
      <x:c r="D1182" s="30" t="str">
        <x:v>恢复原任务</x:v>
      </x:c>
      <x:c r="E1182" s="30" t="str">
        <x:v>可候选；Agent决定是否创建/执行</x:v>
      </x:c>
      <x:c r="F1182" s="30" t="str">
        <x:v>基线：依实际装配启用</x:v>
      </x:c>
    </x:row>
    <x:row r="1183" ht="40" customHeight="1">
      <x:c r="A1183" s="30" t="str">
        <x:v>SC14</x:v>
      </x:c>
      <x:c r="B1183" s="30" t="str">
        <x:v>地下城市/地铁/多层地下设施</x:v>
      </x:c>
      <x:c r="C1183" s="30" t="str">
        <x:v>T085</x:v>
      </x:c>
      <x:c r="D1183" s="30" t="str">
        <x:v>跨Agent任务与证据交接</x:v>
      </x:c>
      <x:c r="E1183" s="30" t="str">
        <x:v>可候选；Agent决定是否创建/执行</x:v>
      </x:c>
      <x:c r="F1183" s="30" t="str">
        <x:v>基线：依实际装配启用</x:v>
      </x:c>
    </x:row>
    <x:row r="1184" ht="40" customHeight="1">
      <x:c r="A1184" s="30" t="str">
        <x:v>SC14</x:v>
      </x:c>
      <x:c r="B1184" s="30" t="str">
        <x:v>地下城市/地铁/多层地下设施</x:v>
      </x:c>
      <x:c r="C1184" s="30" t="str">
        <x:v>T086</x:v>
      </x:c>
      <x:c r="D1184" s="30" t="str">
        <x:v>失败重规划与重派</x:v>
      </x:c>
      <x:c r="E1184" s="30" t="str">
        <x:v>可候选；Agent决定是否创建/执行</x:v>
      </x:c>
      <x:c r="F1184" s="30" t="str">
        <x:v>基线：依实际装配启用</x:v>
      </x:c>
    </x:row>
    <x:row r="1185" ht="40" customHeight="1">
      <x:c r="A1185" s="30" t="str">
        <x:v>SC14</x:v>
      </x:c>
      <x:c r="B1185" s="30" t="str">
        <x:v>地下城市/地铁/多层地下设施</x:v>
      </x:c>
      <x:c r="C1185" s="30" t="str">
        <x:v>T087</x:v>
      </x:c>
      <x:c r="D1185" s="30" t="str">
        <x:v>请求专业救援/工程力量</x:v>
      </x:c>
      <x:c r="E1185" s="30" t="str">
        <x:v>可候选；Agent决定是否创建/执行</x:v>
      </x:c>
      <x:c r="F1185" s="30" t="str">
        <x:v>基线：依实际装配启用</x:v>
      </x:c>
    </x:row>
    <x:row r="1186" ht="40" customHeight="1">
      <x:c r="A1186" s="30" t="str">
        <x:v>SC14</x:v>
      </x:c>
      <x:c r="B1186" s="30" t="str">
        <x:v>地下城市/地铁/多层地下设施</x:v>
      </x:c>
      <x:c r="C1186" s="30" t="str">
        <x:v>T088</x:v>
      </x:c>
      <x:c r="D1186" s="30" t="str">
        <x:v>工作现场闭合与阶段移交</x:v>
      </x:c>
      <x:c r="E1186" s="30" t="str">
        <x:v>可候选；Agent决定是否创建/执行</x:v>
      </x:c>
      <x:c r="F1186" s="30" t="str">
        <x:v>基线：依实际装配启用</x:v>
      </x:c>
    </x:row>
    <x:row r="1187" ht="40" customHeight="1">
      <x:c r="A1187" s="30" t="str">
        <x:v>SC14</x:v>
      </x:c>
      <x:c r="B1187" s="30" t="str">
        <x:v>地下城市/地铁/多层地下设施</x:v>
      </x:c>
      <x:c r="C1187" s="30" t="str">
        <x:v>T089</x:v>
      </x:c>
      <x:c r="D1187" s="30" t="str">
        <x:v>次生危险动态监视</x:v>
      </x:c>
      <x:c r="E1187" s="30" t="str">
        <x:v>可候选；Agent决定是否创建/执行</x:v>
      </x:c>
      <x:c r="F1187" s="30" t="str">
        <x:v>基线：依实际装配启用</x:v>
      </x:c>
    </x:row>
    <x:row r="1188" ht="40" customHeight="1">
      <x:c r="A1188" s="30" t="str">
        <x:v>SC14</x:v>
      </x:c>
      <x:c r="B1188" s="30" t="str">
        <x:v>地下城市/地铁/多层地下设施</x:v>
      </x:c>
      <x:c r="C1188" s="30" t="str">
        <x:v>T090</x:v>
      </x:c>
      <x:c r="D1188" s="30" t="str">
        <x:v>平台/能源/服务健康监视</x:v>
      </x:c>
      <x:c r="E1188" s="30" t="str">
        <x:v>可候选；Agent决定是否创建/执行</x:v>
      </x:c>
      <x:c r="F1188" s="30" t="str">
        <x:v>基线：依实际装配启用</x:v>
      </x:c>
    </x:row>
    <x:row r="1189" ht="40" customHeight="1">
      <x:c r="A1189" s="30" t="str">
        <x:v>SC14</x:v>
      </x:c>
      <x:c r="B1189" s="30" t="str">
        <x:v>地下城市/地铁/多层地下设施</x:v>
      </x:c>
      <x:c r="C1189" s="30" t="str">
        <x:v>T091</x:v>
      </x:c>
      <x:c r="D1189" s="30" t="str">
        <x:v>安全等待与驻留观察</x:v>
      </x:c>
      <x:c r="E1189" s="30" t="str">
        <x:v>可候选；Agent决定是否创建/执行</x:v>
      </x:c>
      <x:c r="F1189" s="30" t="str">
        <x:v>基线：依实际装配启用</x:v>
      </x:c>
    </x:row>
    <x:row r="1190" ht="40" customHeight="1">
      <x:c r="A1190" s="30" t="str">
        <x:v>SC14</x:v>
      </x:c>
      <x:c r="B1190" s="30" t="str">
        <x:v>地下城市/地铁/多层地下设施</x:v>
      </x:c>
      <x:c r="C1190" s="30" t="str">
        <x:v>T092</x:v>
      </x:c>
      <x:c r="D1190" s="30" t="str">
        <x:v>设备/传感器/服务故障诊断</x:v>
      </x:c>
      <x:c r="E1190" s="30" t="str">
        <x:v>可候选；Agent决定是否创建/执行</x:v>
      </x:c>
      <x:c r="F1190" s="30" t="str">
        <x:v>基线：依实际装配启用</x:v>
      </x:c>
    </x:row>
    <x:row r="1191" ht="40" customHeight="1">
      <x:c r="A1191" s="30" t="str">
        <x:v>SC14</x:v>
      </x:c>
      <x:c r="B1191" s="30" t="str">
        <x:v>地下城市/地铁/多层地下设施</x:v>
      </x:c>
      <x:c r="C1191" s="30" t="str">
        <x:v>T095</x:v>
      </x:c>
      <x:c r="D1191" s="30" t="str">
        <x:v>危险源隔离/警戒区建立</x:v>
      </x:c>
      <x:c r="E1191" s="30" t="str">
        <x:v>可候选；Agent决定是否创建/执行</x:v>
      </x:c>
      <x:c r="F1191" s="30" t="str">
        <x:v>条件扩展：明确设备/专业服务后启用</x:v>
      </x:c>
    </x:row>
    <x:row r="1192" ht="40" customHeight="1">
      <x:c r="A1192" s="30" t="str">
        <x:v>SC14</x:v>
      </x:c>
      <x:c r="B1192" s="30" t="str">
        <x:v>地下城市/地铁/多层地下设施</x:v>
      </x:c>
      <x:c r="C1192" s="30" t="str">
        <x:v>T096</x:v>
      </x:c>
      <x:c r="D1192" s="30" t="str">
        <x:v>跨模型特征/潜表示适配</x:v>
      </x:c>
      <x:c r="E1192" s="30" t="str">
        <x:v>可候选；Agent决定是否创建/执行</x:v>
      </x:c>
      <x:c r="F1192" s="30" t="str">
        <x:v>条件扩展：明确设备/专业服务后启用</x:v>
      </x:c>
    </x:row>
    <x:row r="1193" ht="40" customHeight="1">
      <x:c r="A1193" s="30" t="str">
        <x:v>SC15</x:v>
      </x:c>
      <x:c r="B1193" s="30" t="str">
        <x:v>隧道/矿井设施</x:v>
      </x:c>
      <x:c r="C1193" s="30" t="str">
        <x:v>T001</x:v>
      </x:c>
      <x:c r="D1193" s="30" t="str">
        <x:v>区域快速普查</x:v>
      </x:c>
      <x:c r="E1193" s="30" t="str">
        <x:v>可候选；Agent决定是否创建/执行</x:v>
      </x:c>
      <x:c r="F1193" s="30" t="str">
        <x:v>基线：依实际装配启用</x:v>
      </x:c>
    </x:row>
    <x:row r="1194" ht="40" customHeight="1">
      <x:c r="A1194" s="30" t="str">
        <x:v>SC15</x:v>
      </x:c>
      <x:c r="B1194" s="30" t="str">
        <x:v>隧道/矿井设施</x:v>
      </x:c>
      <x:c r="C1194" s="30" t="str">
        <x:v>T003</x:v>
      </x:c>
      <x:c r="D1194" s="30" t="str">
        <x:v>道路与通路灾后评估</x:v>
      </x:c>
      <x:c r="E1194" s="30" t="str">
        <x:v>可候选；Agent决定是否创建/执行</x:v>
      </x:c>
      <x:c r="F1194" s="30" t="str">
        <x:v>基线：依实际装配启用</x:v>
      </x:c>
    </x:row>
    <x:row r="1195" ht="40" customHeight="1">
      <x:c r="A1195" s="30" t="str">
        <x:v>SC15</x:v>
      </x:c>
      <x:c r="B1195" s="30" t="str">
        <x:v>隧道/矿井设施</x:v>
      </x:c>
      <x:c r="C1195" s="30" t="str">
        <x:v>T004</x:v>
      </x:c>
      <x:c r="D1195" s="30" t="str">
        <x:v>入口与屋顶交付区检查</x:v>
      </x:c>
      <x:c r="E1195" s="30" t="str">
        <x:v>可候选；Agent决定是否创建/执行</x:v>
      </x:c>
      <x:c r="F1195" s="30" t="str">
        <x:v>基线：依实际装配启用</x:v>
      </x:c>
    </x:row>
    <x:row r="1196" ht="40" customHeight="1">
      <x:c r="A1196" s="30" t="str">
        <x:v>SC15</x:v>
      </x:c>
      <x:c r="B1196" s="30" t="str">
        <x:v>隧道/矿井设施</x:v>
      </x:c>
      <x:c r="C1196" s="30" t="str">
        <x:v>T006</x:v>
      </x:c>
      <x:c r="D1196" s="30" t="str">
        <x:v>火烟与危险源侦察</x:v>
      </x:c>
      <x:c r="E1196" s="30" t="str">
        <x:v>可候选；Agent决定是否创建/执行</x:v>
      </x:c>
      <x:c r="F1196" s="30" t="str">
        <x:v>基线：依实际装配启用</x:v>
      </x:c>
    </x:row>
    <x:row r="1197" ht="40" customHeight="1">
      <x:c r="A1197" s="30" t="str">
        <x:v>SC15</x:v>
      </x:c>
      <x:c r="B1197" s="30" t="str">
        <x:v>隧道/矿井设施</x:v>
      </x:c>
      <x:c r="C1197" s="30" t="str">
        <x:v>T008</x:v>
      </x:c>
      <x:c r="D1197" s="30" t="str">
        <x:v>建筑/区域覆盖登记</x:v>
      </x:c>
      <x:c r="E1197" s="30" t="str">
        <x:v>可候选；Agent决定是否创建/执行</x:v>
      </x:c>
      <x:c r="F1197" s="30" t="str">
        <x:v>基线：依实际装配启用</x:v>
      </x:c>
    </x:row>
    <x:row r="1198" ht="40" customHeight="1">
      <x:c r="A1198" s="30" t="str">
        <x:v>SC15</x:v>
      </x:c>
      <x:c r="B1198" s="30" t="str">
        <x:v>隧道/矿井设施</x:v>
      </x:c>
      <x:c r="C1198" s="30" t="str">
        <x:v>T009</x:v>
      </x:c>
      <x:c r="D1198" s="30" t="str">
        <x:v>系统空中人员搜索</x:v>
      </x:c>
      <x:c r="E1198" s="30" t="str">
        <x:v>可候选；Agent决定是否创建/执行</x:v>
      </x:c>
      <x:c r="F1198" s="30" t="str">
        <x:v>基线：依实际装配启用</x:v>
      </x:c>
    </x:row>
    <x:row r="1199" ht="40" customHeight="1">
      <x:c r="A1199" s="30" t="str">
        <x:v>SC15</x:v>
      </x:c>
      <x:c r="B1199" s="30" t="str">
        <x:v>隧道/矿井设施</x:v>
      </x:c>
      <x:c r="C1199" s="30" t="str">
        <x:v>T010</x:v>
      </x:c>
      <x:c r="D1199" s="30" t="str">
        <x:v>线索发现与语义解读</x:v>
      </x:c>
      <x:c r="E1199" s="30" t="str">
        <x:v>可候选；Agent决定是否创建/执行</x:v>
      </x:c>
      <x:c r="F1199" s="30" t="str">
        <x:v>基线：依实际装配启用</x:v>
      </x:c>
    </x:row>
    <x:row r="1200" ht="40" customHeight="1">
      <x:c r="A1200" s="30" t="str">
        <x:v>SC15</x:v>
      </x:c>
      <x:c r="B1200" s="30" t="str">
        <x:v>隧道/矿井设施</x:v>
      </x:c>
      <x:c r="C1200" s="30" t="str">
        <x:v>T011</x:v>
      </x:c>
      <x:c r="D1200" s="30" t="str">
        <x:v>疑似目标多视角复核</x:v>
      </x:c>
      <x:c r="E1200" s="30" t="str">
        <x:v>可候选；Agent决定是否创建/执行</x:v>
      </x:c>
      <x:c r="F1200" s="30" t="str">
        <x:v>基线：依实际装配启用</x:v>
      </x:c>
    </x:row>
    <x:row r="1201" ht="40" customHeight="1">
      <x:c r="A1201" s="30" t="str">
        <x:v>SC15</x:v>
      </x:c>
      <x:c r="B1201" s="30" t="str">
        <x:v>隧道/矿井设施</x:v>
      </x:c>
      <x:c r="C1201" s="30" t="str">
        <x:v>T012</x:v>
      </x:c>
      <x:c r="D1201" s="30" t="str">
        <x:v>目标定位跟踪与跨视角关联</x:v>
      </x:c>
      <x:c r="E1201" s="30" t="str">
        <x:v>可候选；Agent决定是否创建/执行</x:v>
      </x:c>
      <x:c r="F1201" s="30" t="str">
        <x:v>基线：依实际装配启用</x:v>
      </x:c>
    </x:row>
    <x:row r="1202" ht="40" customHeight="1">
      <x:c r="A1202" s="30" t="str">
        <x:v>SC15</x:v>
      </x:c>
      <x:c r="B1202" s="30" t="str">
        <x:v>隧道/矿井设施</x:v>
      </x:c>
      <x:c r="C1202" s="30" t="str">
        <x:v>T013</x:v>
      </x:c>
      <x:c r="D1202" s="30" t="str">
        <x:v>近地外部与狭窄区搜索</x:v>
      </x:c>
      <x:c r="E1202" s="30" t="str">
        <x:v>可候选；Agent决定是否创建/执行</x:v>
      </x:c>
      <x:c r="F1202" s="30" t="str">
        <x:v>基线：依实际装配启用</x:v>
      </x:c>
    </x:row>
    <x:row r="1203" ht="40" customHeight="1">
      <x:c r="A1203" s="30" t="str">
        <x:v>SC15</x:v>
      </x:c>
      <x:c r="B1203" s="30" t="str">
        <x:v>隧道/矿井设施</x:v>
      </x:c>
      <x:c r="C1203" s="30" t="str">
        <x:v>T014</x:v>
      </x:c>
      <x:c r="D1203" s="30" t="str">
        <x:v>建筑内部初次抽象搜索</x:v>
      </x:c>
      <x:c r="E1203" s="30" t="str">
        <x:v>可候选；Agent决定是否创建/执行</x:v>
      </x:c>
      <x:c r="F1203" s="30" t="str">
        <x:v>基线：依实际装配启用</x:v>
      </x:c>
    </x:row>
    <x:row r="1204" ht="40" customHeight="1">
      <x:c r="A1204" s="30" t="str">
        <x:v>SC15</x:v>
      </x:c>
      <x:c r="B1204" s="30" t="str">
        <x:v>隧道/矿井设施</x:v>
      </x:c>
      <x:c r="C1204" s="30" t="str">
        <x:v>T015</x:v>
      </x:c>
      <x:c r="D1204" s="30" t="str">
        <x:v>建筑内部复搜/完整搜索</x:v>
      </x:c>
      <x:c r="E1204" s="30" t="str">
        <x:v>可候选；Agent决定是否创建/执行</x:v>
      </x:c>
      <x:c r="F1204" s="30" t="str">
        <x:v>基线：依实际装配启用</x:v>
      </x:c>
    </x:row>
    <x:row r="1205" ht="40" customHeight="1">
      <x:c r="A1205" s="30" t="str">
        <x:v>SC15</x:v>
      </x:c>
      <x:c r="B1205" s="30" t="str">
        <x:v>隧道/矿井设施</x:v>
      </x:c>
      <x:c r="C1205" s="30" t="str">
        <x:v>T016</x:v>
      </x:c>
      <x:c r="D1205" s="30" t="str">
        <x:v>热成像补充搜索</x:v>
      </x:c>
      <x:c r="E1205" s="30" t="str">
        <x:v>可候选；Agent决定是否创建/执行</x:v>
      </x:c>
      <x:c r="F1205" s="30" t="str">
        <x:v>条件扩展：明确设备/专业服务后启用</x:v>
      </x:c>
    </x:row>
    <x:row r="1206" ht="40" customHeight="1">
      <x:c r="A1206" s="30" t="str">
        <x:v>SC15</x:v>
      </x:c>
      <x:c r="B1206" s="30" t="str">
        <x:v>隧道/矿井设施</x:v>
      </x:c>
      <x:c r="C1206" s="30" t="str">
        <x:v>T017</x:v>
      </x:c>
      <x:c r="D1206" s="30" t="str">
        <x:v>声音线索搜索</x:v>
      </x:c>
      <x:c r="E1206" s="30" t="str">
        <x:v>可候选；Agent决定是否创建/执行</x:v>
      </x:c>
      <x:c r="F1206" s="30" t="str">
        <x:v>条件扩展：明确设备/专业服务后启用</x:v>
      </x:c>
    </x:row>
    <x:row r="1207" ht="40" customHeight="1">
      <x:c r="A1207" s="30" t="str">
        <x:v>SC15</x:v>
      </x:c>
      <x:c r="B1207" s="30" t="str">
        <x:v>隧道/矿井设施</x:v>
      </x:c>
      <x:c r="C1207" s="30" t="str">
        <x:v>T018</x:v>
      </x:c>
      <x:c r="D1207" s="30" t="str">
        <x:v>RF/手机线索搜索</x:v>
      </x:c>
      <x:c r="E1207" s="30" t="str">
        <x:v>可候选；Agent决定是否创建/执行</x:v>
      </x:c>
      <x:c r="F1207" s="30" t="str">
        <x:v>条件扩展：明确设备/专业服务后启用</x:v>
      </x:c>
    </x:row>
    <x:row r="1208" ht="40" customHeight="1">
      <x:c r="A1208" s="30" t="str">
        <x:v>SC15</x:v>
      </x:c>
      <x:c r="B1208" s="30" t="str">
        <x:v>隧道/矿井设施</x:v>
      </x:c>
      <x:c r="C1208" s="30" t="str">
        <x:v>T019</x:v>
      </x:c>
      <x:c r="D1208" s="30" t="str">
        <x:v>空中转场与观察点到达</x:v>
      </x:c>
      <x:c r="E1208" s="30" t="str">
        <x:v>可候选；Agent决定是否创建/执行</x:v>
      </x:c>
      <x:c r="F1208" s="30" t="str">
        <x:v>基线：依实际装配启用</x:v>
      </x:c>
    </x:row>
    <x:row r="1209" ht="40" customHeight="1">
      <x:c r="A1209" s="30" t="str">
        <x:v>SC15</x:v>
      </x:c>
      <x:c r="B1209" s="30" t="str">
        <x:v>隧道/矿井设施</x:v>
      </x:c>
      <x:c r="C1209" s="30" t="str">
        <x:v>T020</x:v>
      </x:c>
      <x:c r="D1209" s="30" t="str">
        <x:v>地面转场与绕行</x:v>
      </x:c>
      <x:c r="E1209" s="30" t="str">
        <x:v>可候选；Agent决定是否创建/执行</x:v>
      </x:c>
      <x:c r="F1209" s="30" t="str">
        <x:v>基线：依实际装配启用</x:v>
      </x:c>
    </x:row>
    <x:row r="1210" ht="40" customHeight="1">
      <x:c r="A1210" s="30" t="str">
        <x:v>SC15</x:v>
      </x:c>
      <x:c r="B1210" s="30" t="str">
        <x:v>隧道/矿井设施</x:v>
      </x:c>
      <x:c r="C1210" s="30" t="str">
        <x:v>T021</x:v>
      </x:c>
      <x:c r="D1210" s="30" t="str">
        <x:v>障碍接近探测与路径验证</x:v>
      </x:c>
      <x:c r="E1210" s="30" t="str">
        <x:v>可候选；Agent决定是否创建/执行</x:v>
      </x:c>
      <x:c r="F1210" s="30" t="str">
        <x:v>基线：依实际装配启用</x:v>
      </x:c>
    </x:row>
    <x:row r="1211" ht="40" customHeight="1">
      <x:c r="A1211" s="30" t="str">
        <x:v>SC15</x:v>
      </x:c>
      <x:c r="B1211" s="30" t="str">
        <x:v>隧道/矿井设施</x:v>
      </x:c>
      <x:c r="C1211" s="30" t="str">
        <x:v>T022</x:v>
      </x:c>
      <x:c r="D1211" s="30" t="str">
        <x:v>轻型残骸移除</x:v>
      </x:c>
      <x:c r="E1211" s="30" t="str">
        <x:v>可候选；Agent决定是否创建/执行</x:v>
      </x:c>
      <x:c r="F1211" s="30" t="str">
        <x:v>条件扩展：明确设备/专业服务后启用</x:v>
      </x:c>
    </x:row>
    <x:row r="1212" ht="40" customHeight="1">
      <x:c r="A1212" s="30" t="str">
        <x:v>SC15</x:v>
      </x:c>
      <x:c r="B1212" s="30" t="str">
        <x:v>隧道/矿井设施</x:v>
      </x:c>
      <x:c r="C1212" s="30" t="str">
        <x:v>T023</x:v>
      </x:c>
      <x:c r="D1212" s="30" t="str">
        <x:v>重型道路清障</x:v>
      </x:c>
      <x:c r="E1212" s="30" t="str">
        <x:v>可候选；Agent决定是否创建/执行</x:v>
      </x:c>
      <x:c r="F1212" s="30" t="str">
        <x:v>条件扩展：明确设备/专业服务后启用</x:v>
      </x:c>
    </x:row>
    <x:row r="1213" ht="40" customHeight="1">
      <x:c r="A1213" s="30" t="str">
        <x:v>SC15</x:v>
      </x:c>
      <x:c r="B1213" s="30" t="str">
        <x:v>隧道/矿井设施</x:v>
      </x:c>
      <x:c r="C1213" s="30" t="str">
        <x:v>T024</x:v>
      </x:c>
      <x:c r="D1213" s="30" t="str">
        <x:v>入口开辟与局部破拆</x:v>
      </x:c>
      <x:c r="E1213" s="30" t="str">
        <x:v>可候选；Agent决定是否创建/执行</x:v>
      </x:c>
      <x:c r="F1213" s="30" t="str">
        <x:v>条件扩展：明确设备/专业服务后启用</x:v>
      </x:c>
    </x:row>
    <x:row r="1214" ht="40" customHeight="1">
      <x:c r="A1214" s="30" t="str">
        <x:v>SC15</x:v>
      </x:c>
      <x:c r="B1214" s="30" t="str">
        <x:v>隧道/矿井设施</x:v>
      </x:c>
      <x:c r="C1214" s="30" t="str">
        <x:v>T025</x:v>
      </x:c>
      <x:c r="D1214" s="30" t="str">
        <x:v>危险结构临时支撑</x:v>
      </x:c>
      <x:c r="E1214" s="30" t="str">
        <x:v>可候选；Agent决定是否创建/执行</x:v>
      </x:c>
      <x:c r="F1214" s="30" t="str">
        <x:v>条件扩展：明确设备/专业服务后启用</x:v>
      </x:c>
    </x:row>
    <x:row r="1215" ht="40" customHeight="1">
      <x:c r="A1215" s="30" t="str">
        <x:v>SC15</x:v>
      </x:c>
      <x:c r="B1215" s="30" t="str">
        <x:v>隧道/矿井设施</x:v>
      </x:c>
      <x:c r="C1215" s="30" t="str">
        <x:v>T026</x:v>
      </x:c>
      <x:c r="D1215" s="30" t="str">
        <x:v>吊升/移置大块障碍</x:v>
      </x:c>
      <x:c r="E1215" s="30" t="str">
        <x:v>可候选；Agent决定是否创建/执行</x:v>
      </x:c>
      <x:c r="F1215" s="30" t="str">
        <x:v>条件扩展：明确设备/专业服务后启用</x:v>
      </x:c>
    </x:row>
    <x:row r="1216" ht="40" customHeight="1">
      <x:c r="A1216" s="30" t="str">
        <x:v>SC15</x:v>
      </x:c>
      <x:c r="B1216" s="30" t="str">
        <x:v>隧道/矿井设施</x:v>
      </x:c>
      <x:c r="C1216" s="30" t="str">
        <x:v>T027</x:v>
      </x:c>
      <x:c r="D1216" s="30" t="str">
        <x:v>建立联系并确认需求</x:v>
      </x:c>
      <x:c r="E1216" s="30" t="str">
        <x:v>可候选；Agent决定是否创建/执行</x:v>
      </x:c>
      <x:c r="F1216" s="30" t="str">
        <x:v>基线：依实际装配启用</x:v>
      </x:c>
    </x:row>
    <x:row r="1217" ht="40" customHeight="1">
      <x:c r="A1217" s="30" t="str">
        <x:v>SC15</x:v>
      </x:c>
      <x:c r="B1217" s="30" t="str">
        <x:v>隧道/矿井设施</x:v>
      </x:c>
      <x:c r="C1217" s="30" t="str">
        <x:v>T028</x:v>
      </x:c>
      <x:c r="D1217" s="30" t="str">
        <x:v>安全警示与避险引导</x:v>
      </x:c>
      <x:c r="E1217" s="30" t="str">
        <x:v>可候选；Agent决定是否创建/执行</x:v>
      </x:c>
      <x:c r="F1217" s="30" t="str">
        <x:v>基线：依实际装配启用</x:v>
      </x:c>
    </x:row>
    <x:row r="1218" ht="40" customHeight="1">
      <x:c r="A1218" s="30" t="str">
        <x:v>SC15</x:v>
      </x:c>
      <x:c r="B1218" s="30" t="str">
        <x:v>隧道/矿井设施</x:v>
      </x:c>
      <x:c r="C1218" s="30" t="str">
        <x:v>T029</x:v>
      </x:c>
      <x:c r="D1218" s="30" t="str">
        <x:v>专业伤员评估与分级</x:v>
      </x:c>
      <x:c r="E1218" s="30" t="str">
        <x:v>可候选；Agent决定是否创建/执行</x:v>
      </x:c>
      <x:c r="F1218" s="30" t="str">
        <x:v>条件扩展：明确设备/专业服务后启用</x:v>
      </x:c>
    </x:row>
    <x:row r="1219" ht="40" customHeight="1">
      <x:c r="A1219" s="30" t="str">
        <x:v>SC15</x:v>
      </x:c>
      <x:c r="B1219" s="30" t="str">
        <x:v>隧道/矿井设施</x:v>
      </x:c>
      <x:c r="C1219" s="30" t="str">
        <x:v>T030</x:v>
      </x:c>
      <x:c r="D1219" s="30" t="str">
        <x:v>人员基础物资支援</x:v>
      </x:c>
      <x:c r="E1219" s="30" t="str">
        <x:v>可候选；Agent决定是否创建/执行</x:v>
      </x:c>
      <x:c r="F1219" s="30" t="str">
        <x:v>基线：依实际装配启用</x:v>
      </x:c>
    </x:row>
    <x:row r="1220" ht="40" customHeight="1">
      <x:c r="A1220" s="30" t="str">
        <x:v>SC15</x:v>
      </x:c>
      <x:c r="B1220" s="30" t="str">
        <x:v>隧道/矿井设施</x:v>
      </x:c>
      <x:c r="C1220" s="30" t="str">
        <x:v>T031</x:v>
      </x:c>
      <x:c r="D1220" s="30" t="str">
        <x:v>专业初步救护</x:v>
      </x:c>
      <x:c r="E1220" s="30" t="str">
        <x:v>可候选；Agent决定是否创建/执行</x:v>
      </x:c>
      <x:c r="F1220" s="30" t="str">
        <x:v>条件扩展：明确设备/专业服务后启用</x:v>
      </x:c>
    </x:row>
    <x:row r="1221" ht="40" customHeight="1">
      <x:c r="A1221" s="30" t="str">
        <x:v>SC15</x:v>
      </x:c>
      <x:c r="B1221" s="30" t="str">
        <x:v>隧道/矿井设施</x:v>
      </x:c>
      <x:c r="C1221" s="30" t="str">
        <x:v>T032</x:v>
      </x:c>
      <x:c r="D1221" s="30" t="str">
        <x:v>受困解除/解困</x:v>
      </x:c>
      <x:c r="E1221" s="30" t="str">
        <x:v>可候选；Agent决定是否创建/执行</x:v>
      </x:c>
      <x:c r="F1221" s="30" t="str">
        <x:v>条件扩展：明确设备/专业服务后启用</x:v>
      </x:c>
    </x:row>
    <x:row r="1222" ht="40" customHeight="1">
      <x:c r="A1222" s="30" t="str">
        <x:v>SC15</x:v>
      </x:c>
      <x:c r="B1222" s="30" t="str">
        <x:v>隧道/矿井设施</x:v>
      </x:c>
      <x:c r="C1222" s="30" t="str">
        <x:v>T033</x:v>
      </x:c>
      <x:c r="D1222" s="30" t="str">
        <x:v>人员装载</x:v>
      </x:c>
      <x:c r="E1222" s="30" t="str">
        <x:v>可候选；Agent决定是否创建/执行</x:v>
      </x:c>
      <x:c r="F1222" s="30" t="str">
        <x:v>条件扩展：明确设备/专业服务后启用</x:v>
      </x:c>
    </x:row>
    <x:row r="1223" ht="40" customHeight="1">
      <x:c r="A1223" s="30" t="str">
        <x:v>SC15</x:v>
      </x:c>
      <x:c r="B1223" s="30" t="str">
        <x:v>隧道/矿井设施</x:v>
      </x:c>
      <x:c r="C1223" s="30" t="str">
        <x:v>T034</x:v>
      </x:c>
      <x:c r="D1223" s="30" t="str">
        <x:v>人员转运</x:v>
      </x:c>
      <x:c r="E1223" s="30" t="str">
        <x:v>可候选；Agent决定是否创建/执行</x:v>
      </x:c>
      <x:c r="F1223" s="30" t="str">
        <x:v>条件扩展：明确设备/专业服务后启用</x:v>
      </x:c>
    </x:row>
    <x:row r="1224" ht="40" customHeight="1">
      <x:c r="A1224" s="30" t="str">
        <x:v>SC15</x:v>
      </x:c>
      <x:c r="B1224" s="30" t="str">
        <x:v>隧道/矿井设施</x:v>
      </x:c>
      <x:c r="C1224" s="30" t="str">
        <x:v>T035</x:v>
      </x:c>
      <x:c r="D1224" s="30" t="str">
        <x:v>救援/医疗最终移交</x:v>
      </x:c>
      <x:c r="E1224" s="30" t="str">
        <x:v>可候选；Agent决定是否创建/执行</x:v>
      </x:c>
      <x:c r="F1224" s="30" t="str">
        <x:v>条件扩展：明确设备/专业服务后启用</x:v>
      </x:c>
    </x:row>
    <x:row r="1225" ht="40" customHeight="1">
      <x:c r="A1225" s="30" t="str">
        <x:v>SC15</x:v>
      </x:c>
      <x:c r="B1225" s="30" t="str">
        <x:v>隧道/矿井设施</x:v>
      </x:c>
      <x:c r="C1225" s="30" t="str">
        <x:v>T038</x:v>
      </x:c>
      <x:c r="D1225" s="30" t="str">
        <x:v>货物取用与挂载</x:v>
      </x:c>
      <x:c r="E1225" s="30" t="str">
        <x:v>可候选；Agent决定是否创建/执行</x:v>
      </x:c>
      <x:c r="F1225" s="30" t="str">
        <x:v>基线：依实际装配启用</x:v>
      </x:c>
    </x:row>
    <x:row r="1226" ht="40" customHeight="1">
      <x:c r="A1226" s="30" t="str">
        <x:v>SC15</x:v>
      </x:c>
      <x:c r="B1226" s="30" t="str">
        <x:v>隧道/矿井设施</x:v>
      </x:c>
      <x:c r="C1226" s="30" t="str">
        <x:v>T039</x:v>
      </x:c>
      <x:c r="D1226" s="30" t="str">
        <x:v>无人机精确物资投送</x:v>
      </x:c>
      <x:c r="E1226" s="30" t="str">
        <x:v>可候选；Agent决定是否创建/执行</x:v>
      </x:c>
      <x:c r="F1226" s="30" t="str">
        <x:v>基线：依实际装配启用</x:v>
      </x:c>
    </x:row>
    <x:row r="1227" ht="40" customHeight="1">
      <x:c r="A1227" s="30" t="str">
        <x:v>SC15</x:v>
      </x:c>
      <x:c r="B1227" s="30" t="str">
        <x:v>隧道/矿井设施</x:v>
      </x:c>
      <x:c r="C1227" s="30" t="str">
        <x:v>T040</x:v>
      </x:c>
      <x:c r="D1227" s="30" t="str">
        <x:v>地面物资送达与卸放</x:v>
      </x:c>
      <x:c r="E1227" s="30" t="str">
        <x:v>可候选；Agent决定是否创建/执行</x:v>
      </x:c>
      <x:c r="F1227" s="30" t="str">
        <x:v>基线：依实际装配启用</x:v>
      </x:c>
    </x:row>
    <x:row r="1228" ht="40" customHeight="1">
      <x:c r="A1228" s="30" t="str">
        <x:v>SC15</x:v>
      </x:c>
      <x:c r="B1228" s="30" t="str">
        <x:v>隧道/矿井设施</x:v>
      </x:c>
      <x:c r="C1228" s="30" t="str">
        <x:v>T041</x:v>
      </x:c>
      <x:c r="D1228" s="30" t="str">
        <x:v>交付复核与收货报告</x:v>
      </x:c>
      <x:c r="E1228" s="30" t="str">
        <x:v>可候选；Agent决定是否创建/执行</x:v>
      </x:c>
      <x:c r="F1228" s="30" t="str">
        <x:v>基线：依实际装配启用</x:v>
      </x:c>
    </x:row>
    <x:row r="1229" ht="40" customHeight="1">
      <x:c r="A1229" s="30" t="str">
        <x:v>SC15</x:v>
      </x:c>
      <x:c r="B1229" s="30" t="str">
        <x:v>隧道/矿井设施</x:v>
      </x:c>
      <x:c r="C1229" s="30" t="str">
        <x:v>T042</x:v>
      </x:c>
      <x:c r="D1229" s="30" t="str">
        <x:v>物资/器材补给</x:v>
      </x:c>
      <x:c r="E1229" s="30" t="str">
        <x:v>可候选；Agent决定是否创建/执行</x:v>
      </x:c>
      <x:c r="F1229" s="30" t="str">
        <x:v>基线：依实际装配启用</x:v>
      </x:c>
    </x:row>
    <x:row r="1230" ht="40" customHeight="1">
      <x:c r="A1230" s="30" t="str">
        <x:v>SC15</x:v>
      </x:c>
      <x:c r="B1230" s="30" t="str">
        <x:v>隧道/矿井设施</x:v>
      </x:c>
      <x:c r="C1230" s="30" t="str">
        <x:v>T043</x:v>
      </x:c>
      <x:c r="D1230" s="30" t="str">
        <x:v>平台充电</x:v>
      </x:c>
      <x:c r="E1230" s="30" t="str">
        <x:v>可候选；Agent决定是否创建/执行</x:v>
      </x:c>
      <x:c r="F1230" s="30" t="str">
        <x:v>基线：依实际装配启用</x:v>
      </x:c>
    </x:row>
    <x:row r="1231" ht="40" customHeight="1">
      <x:c r="A1231" s="30" t="str">
        <x:v>SC15</x:v>
      </x:c>
      <x:c r="B1231" s="30" t="str">
        <x:v>隧道/矿井设施</x:v>
      </x:c>
      <x:c r="C1231" s="30" t="str">
        <x:v>T044</x:v>
      </x:c>
      <x:c r="D1231" s="30" t="str">
        <x:v>平台换电</x:v>
      </x:c>
      <x:c r="E1231" s="30" t="str">
        <x:v>可候选；Agent决定是否创建/执行</x:v>
      </x:c>
      <x:c r="F1231" s="30" t="str">
        <x:v>基线：依实际装配启用</x:v>
      </x:c>
    </x:row>
    <x:row r="1232" ht="40" customHeight="1">
      <x:c r="A1232" s="30" t="str">
        <x:v>SC15</x:v>
      </x:c>
      <x:c r="B1232" s="30" t="str">
        <x:v>隧道/矿井设施</x:v>
      </x:c>
      <x:c r="C1232" s="30" t="str">
        <x:v>T045</x:v>
      </x:c>
      <x:c r="D1232" s="30" t="str">
        <x:v>返航/返站与安全撤离</x:v>
      </x:c>
      <x:c r="E1232" s="30" t="str">
        <x:v>可候选；Agent决定是否创建/执行</x:v>
      </x:c>
      <x:c r="F1232" s="30" t="str">
        <x:v>基线：依实际装配启用</x:v>
      </x:c>
    </x:row>
    <x:row r="1233" ht="40" customHeight="1">
      <x:c r="A1233" s="30" t="str">
        <x:v>SC15</x:v>
      </x:c>
      <x:c r="B1233" s="30" t="str">
        <x:v>隧道/矿井设施</x:v>
      </x:c>
      <x:c r="C1233" s="30" t="str">
        <x:v>T046</x:v>
      </x:c>
      <x:c r="D1233" s="30" t="str">
        <x:v>失效平台回收</x:v>
      </x:c>
      <x:c r="E1233" s="30" t="str">
        <x:v>可候选；Agent决定是否创建/执行</x:v>
      </x:c>
      <x:c r="F1233" s="30" t="str">
        <x:v>条件扩展：明确设备/专业服务后启用</x:v>
      </x:c>
    </x:row>
    <x:row r="1234" ht="40" customHeight="1">
      <x:c r="A1234" s="30" t="str">
        <x:v>SC15</x:v>
      </x:c>
      <x:c r="B1234" s="30" t="str">
        <x:v>隧道/矿井设施</x:v>
      </x:c>
      <x:c r="C1234" s="30" t="str">
        <x:v>T047</x:v>
      </x:c>
      <x:c r="D1234" s="30" t="str">
        <x:v>链路探测与质量估计</x:v>
      </x:c>
      <x:c r="E1234" s="30" t="str">
        <x:v>可候选；Agent决定是否创建/执行</x:v>
      </x:c>
      <x:c r="F1234" s="30" t="str">
        <x:v>基线：依实际装配启用</x:v>
      </x:c>
    </x:row>
    <x:row r="1235" ht="40" customHeight="1">
      <x:c r="A1235" s="30" t="str">
        <x:v>SC15</x:v>
      </x:c>
      <x:c r="B1235" s="30" t="str">
        <x:v>隧道/矿井设施</x:v>
      </x:c>
      <x:c r="C1235" s="30" t="str">
        <x:v>T048</x:v>
      </x:c>
      <x:c r="D1235" s="30" t="str">
        <x:v>通信会合与重定位</x:v>
      </x:c>
      <x:c r="E1235" s="30" t="str">
        <x:v>可候选；Agent决定是否创建/执行</x:v>
      </x:c>
      <x:c r="F1235" s="30" t="str">
        <x:v>基线：依实际装配启用</x:v>
      </x:c>
    </x:row>
    <x:row r="1236" ht="40" customHeight="1">
      <x:c r="A1236" s="30" t="str">
        <x:v>SC15</x:v>
      </x:c>
      <x:c r="B1236" s="30" t="str">
        <x:v>隧道/矿井设施</x:v>
      </x:c>
      <x:c r="C1236" s="30" t="str">
        <x:v>T049</x:v>
      </x:c>
      <x:c r="D1236" s="30" t="str">
        <x:v>空中中继保持</x:v>
      </x:c>
      <x:c r="E1236" s="30" t="str">
        <x:v>可候选；Agent决定是否创建/执行</x:v>
      </x:c>
      <x:c r="F1236" s="30" t="str">
        <x:v>基线：依实际装配启用</x:v>
      </x:c>
    </x:row>
    <x:row r="1237" ht="40" customHeight="1">
      <x:c r="A1237" s="30" t="str">
        <x:v>SC15</x:v>
      </x:c>
      <x:c r="B1237" s="30" t="str">
        <x:v>隧道/矿井设施</x:v>
      </x:c>
      <x:c r="C1237" s="30" t="str">
        <x:v>T050</x:v>
      </x:c>
      <x:c r="D1237" s="30" t="str">
        <x:v>通信节点布放</x:v>
      </x:c>
      <x:c r="E1237" s="30" t="str">
        <x:v>可候选；Agent决定是否创建/执行</x:v>
      </x:c>
      <x:c r="F1237" s="30" t="str">
        <x:v>条件扩展：明确设备/专业服务后启用</x:v>
      </x:c>
    </x:row>
    <x:row r="1238" ht="40" customHeight="1">
      <x:c r="A1238" s="30" t="str">
        <x:v>SC15</x:v>
      </x:c>
      <x:c r="B1238" s="30" t="str">
        <x:v>隧道/矿井设施</x:v>
      </x:c>
      <x:c r="C1238" s="30" t="str">
        <x:v>T051</x:v>
      </x:c>
      <x:c r="D1238" s="30" t="str">
        <x:v>多跳业务转发</x:v>
      </x:c>
      <x:c r="E1238" s="30" t="str">
        <x:v>可候选；Agent决定是否创建/执行</x:v>
      </x:c>
      <x:c r="F1238" s="30" t="str">
        <x:v>基线：依实际装配启用</x:v>
      </x:c>
    </x:row>
    <x:row r="1239" ht="40" customHeight="1">
      <x:c r="A1239" s="30" t="str">
        <x:v>SC15</x:v>
      </x:c>
      <x:c r="B1239" s="30" t="str">
        <x:v>隧道/矿井设施</x:v>
      </x:c>
      <x:c r="C1239" s="30" t="str">
        <x:v>T052</x:v>
      </x:c>
      <x:c r="D1239" s="30" t="str">
        <x:v>图像/证据数据上传</x:v>
      </x:c>
      <x:c r="E1239" s="30" t="str">
        <x:v>可候选；Agent决定是否创建/执行</x:v>
      </x:c>
      <x:c r="F1239" s="30" t="str">
        <x:v>基线：依实际装配启用</x:v>
      </x:c>
    </x:row>
    <x:row r="1240" ht="40" customHeight="1">
      <x:c r="A1240" s="30" t="str">
        <x:v>SC15</x:v>
      </x:c>
      <x:c r="B1240" s="30" t="str">
        <x:v>隧道/矿井设施</x:v>
      </x:c>
      <x:c r="C1240" s="30" t="str">
        <x:v>T053</x:v>
      </x:c>
      <x:c r="D1240" s="30" t="str">
        <x:v>可靠回执与超时重传</x:v>
      </x:c>
      <x:c r="E1240" s="30" t="str">
        <x:v>可候选；Agent决定是否创建/执行</x:v>
      </x:c>
      <x:c r="F1240" s="30" t="str">
        <x:v>基线：依实际装配启用</x:v>
      </x:c>
    </x:row>
    <x:row r="1241" ht="40" customHeight="1">
      <x:c r="A1241" s="30" t="str">
        <x:v>SC15</x:v>
      </x:c>
      <x:c r="B1241" s="30" t="str">
        <x:v>隧道/矿井设施</x:v>
      </x:c>
      <x:c r="C1241" s="30" t="str">
        <x:v>T054</x:v>
      </x:c>
      <x:c r="D1241" s="30" t="str">
        <x:v>断联存储-携带-转发</x:v>
      </x:c>
      <x:c r="E1241" s="30" t="str">
        <x:v>可候选；Agent决定是否创建/执行</x:v>
      </x:c>
      <x:c r="F1241" s="30" t="str">
        <x:v>基线：依实际装配启用</x:v>
      </x:c>
    </x:row>
    <x:row r="1242" ht="40" customHeight="1">
      <x:c r="A1242" s="30" t="str">
        <x:v>SC15</x:v>
      </x:c>
      <x:c r="B1242" s="30" t="str">
        <x:v>隧道/矿井设施</x:v>
      </x:c>
      <x:c r="C1242" s="30" t="str">
        <x:v>T055</x:v>
      </x:c>
      <x:c r="D1242" s="30" t="str">
        <x:v>信道/功率/传输优先级调整</x:v>
      </x:c>
      <x:c r="E1242" s="30" t="str">
        <x:v>可候选；Agent决定是否创建/执行</x:v>
      </x:c>
      <x:c r="F1242" s="30" t="str">
        <x:v>基线：依实际装配启用</x:v>
      </x:c>
    </x:row>
    <x:row r="1243" ht="40" customHeight="1">
      <x:c r="A1243" s="30" t="str">
        <x:v>SC15</x:v>
      </x:c>
      <x:c r="B1243" s="30" t="str">
        <x:v>隧道/矿井设施</x:v>
      </x:c>
      <x:c r="C1243" s="30" t="str">
        <x:v>T056</x:v>
      </x:c>
      <x:c r="D1243" s="30" t="str">
        <x:v>失联后的连接恢复</x:v>
      </x:c>
      <x:c r="E1243" s="30" t="str">
        <x:v>可候选；Agent决定是否创建/执行</x:v>
      </x:c>
      <x:c r="F1243" s="30" t="str">
        <x:v>基线：依实际装配启用</x:v>
      </x:c>
    </x:row>
    <x:row r="1244" ht="40" customHeight="1">
      <x:c r="A1244" s="30" t="str">
        <x:v>SC15</x:v>
      </x:c>
      <x:c r="B1244" s="30" t="str">
        <x:v>隧道/矿井设施</x:v>
      </x:c>
      <x:c r="C1244" s="30" t="str">
        <x:v>T057</x:v>
      </x:c>
      <x:c r="D1244" s="30" t="str">
        <x:v>计算与模型服务发现</x:v>
      </x:c>
      <x:c r="E1244" s="30" t="str">
        <x:v>可候选；Agent决定是否创建/执行</x:v>
      </x:c>
      <x:c r="F1244" s="30" t="str">
        <x:v>基线：依实际装配启用</x:v>
      </x:c>
    </x:row>
    <x:row r="1245" ht="40" customHeight="1">
      <x:c r="A1245" s="30" t="str">
        <x:v>SC15</x:v>
      </x:c>
      <x:c r="B1245" s="30" t="str">
        <x:v>隧道/矿井设施</x:v>
      </x:c>
      <x:c r="C1245" s="30" t="str">
        <x:v>T058</x:v>
      </x:c>
      <x:c r="D1245" s="30" t="str">
        <x:v>本地视觉检测</x:v>
      </x:c>
      <x:c r="E1245" s="30" t="str">
        <x:v>可候选；Agent决定是否创建/执行</x:v>
      </x:c>
      <x:c r="F1245" s="30" t="str">
        <x:v>基线：依实际装配启用</x:v>
      </x:c>
    </x:row>
    <x:row r="1246" ht="40" customHeight="1">
      <x:c r="A1246" s="30" t="str">
        <x:v>SC15</x:v>
      </x:c>
      <x:c r="B1246" s="30" t="str">
        <x:v>隧道/矿井设施</x:v>
      </x:c>
      <x:c r="C1246" s="30" t="str">
        <x:v>T059</x:v>
      </x:c>
      <x:c r="D1246" s="30" t="str">
        <x:v>本地语义/任务推理</x:v>
      </x:c>
      <x:c r="E1246" s="30" t="str">
        <x:v>可候选；Agent决定是否创建/执行</x:v>
      </x:c>
      <x:c r="F1246" s="30" t="str">
        <x:v>基线：依实际装配启用</x:v>
      </x:c>
    </x:row>
    <x:row r="1247" ht="40" customHeight="1">
      <x:c r="A1247" s="30" t="str">
        <x:v>SC15</x:v>
      </x:c>
      <x:c r="B1247" s="30" t="str">
        <x:v>隧道/矿井设施</x:v>
      </x:c>
      <x:c r="C1247" s="30" t="str">
        <x:v>T060</x:v>
      </x:c>
      <x:c r="D1247" s="30" t="str">
        <x:v>远程视觉复核/推理卸载</x:v>
      </x:c>
      <x:c r="E1247" s="30" t="str">
        <x:v>可候选；Agent决定是否创建/执行</x:v>
      </x:c>
      <x:c r="F1247" s="30" t="str">
        <x:v>基线：依实际装配启用</x:v>
      </x:c>
    </x:row>
    <x:row r="1248" ht="40" customHeight="1">
      <x:c r="A1248" s="30" t="str">
        <x:v>SC15</x:v>
      </x:c>
      <x:c r="B1248" s="30" t="str">
        <x:v>隧道/矿井设施</x:v>
      </x:c>
      <x:c r="C1248" s="30" t="str">
        <x:v>T061</x:v>
      </x:c>
      <x:c r="D1248" s="30" t="str">
        <x:v>执行节点与模型选择</x:v>
      </x:c>
      <x:c r="E1248" s="30" t="str">
        <x:v>可候选；Agent决定是否创建/执行</x:v>
      </x:c>
      <x:c r="F1248" s="30" t="str">
        <x:v>基线：依实际装配启用</x:v>
      </x:c>
    </x:row>
    <x:row r="1249" ht="40" customHeight="1">
      <x:c r="A1249" s="30" t="str">
        <x:v>SC15</x:v>
      </x:c>
      <x:c r="B1249" s="30" t="str">
        <x:v>隧道/矿井设施</x:v>
      </x:c>
      <x:c r="C1249" s="30" t="str">
        <x:v>T062</x:v>
      </x:c>
      <x:c r="D1249" s="30" t="str">
        <x:v>计算作业准入与排队</x:v>
      </x:c>
      <x:c r="E1249" s="30" t="str">
        <x:v>可候选；Agent决定是否创建/执行</x:v>
      </x:c>
      <x:c r="F1249" s="30" t="str">
        <x:v>基线：依实际装配启用</x:v>
      </x:c>
    </x:row>
    <x:row r="1250" ht="40" customHeight="1">
      <x:c r="A1250" s="30" t="str">
        <x:v>SC15</x:v>
      </x:c>
      <x:c r="B1250" s="30" t="str">
        <x:v>隧道/矿井设施</x:v>
      </x:c>
      <x:c r="C1250" s="30" t="str">
        <x:v>T063</x:v>
      </x:c>
      <x:c r="D1250" s="30" t="str">
        <x:v>模型服务加载/卸载</x:v>
      </x:c>
      <x:c r="E1250" s="30" t="str">
        <x:v>可候选；Agent决定是否创建/执行</x:v>
      </x:c>
      <x:c r="F1250" s="30" t="str">
        <x:v>基线：依实际装配启用</x:v>
      </x:c>
    </x:row>
    <x:row r="1251" ht="40" customHeight="1">
      <x:c r="A1251" s="30" t="str">
        <x:v>SC15</x:v>
      </x:c>
      <x:c r="B1251" s="30" t="str">
        <x:v>隧道/矿井设施</x:v>
      </x:c>
      <x:c r="C1251" s="30" t="str">
        <x:v>T064</x:v>
      </x:c>
      <x:c r="D1251" s="30" t="str">
        <x:v>上下文/表示缓存复用</x:v>
      </x:c>
      <x:c r="E1251" s="30" t="str">
        <x:v>可候选；Agent决定是否创建/执行</x:v>
      </x:c>
      <x:c r="F1251" s="30" t="str">
        <x:v>基线：依实际装配启用</x:v>
      </x:c>
    </x:row>
    <x:row r="1252" ht="40" customHeight="1">
      <x:c r="A1252" s="30" t="str">
        <x:v>SC15</x:v>
      </x:c>
      <x:c r="B1252" s="30" t="str">
        <x:v>隧道/矿井设施</x:v>
      </x:c>
      <x:c r="C1252" s="30" t="str">
        <x:v>T065</x:v>
      </x:c>
      <x:c r="D1252" s="30" t="str">
        <x:v>服务/作业迁移与恢复</x:v>
      </x:c>
      <x:c r="E1252" s="30" t="str">
        <x:v>可候选；Agent决定是否创建/执行</x:v>
      </x:c>
      <x:c r="F1252" s="30" t="str">
        <x:v>条件扩展：明确设备/专业服务后启用</x:v>
      </x:c>
    </x:row>
    <x:row r="1253" ht="40" customHeight="1">
      <x:c r="A1253" s="30" t="str">
        <x:v>SC15</x:v>
      </x:c>
      <x:c r="B1253" s="30" t="str">
        <x:v>隧道/矿井设施</x:v>
      </x:c>
      <x:c r="C1253" s="30" t="str">
        <x:v>T066</x:v>
      </x:c>
      <x:c r="D1253" s="30" t="str">
        <x:v>预算耗尽/失败作业取消重试</x:v>
      </x:c>
      <x:c r="E1253" s="30" t="str">
        <x:v>可候选；Agent决定是否创建/执行</x:v>
      </x:c>
      <x:c r="F1253" s="30" t="str">
        <x:v>基线：依实际装配启用</x:v>
      </x:c>
    </x:row>
    <x:row r="1254" ht="40" customHeight="1">
      <x:c r="A1254" s="30" t="str">
        <x:v>SC15</x:v>
      </x:c>
      <x:c r="B1254" s="30" t="str">
        <x:v>隧道/矿井设施</x:v>
      </x:c>
      <x:c r="C1254" s="30" t="str">
        <x:v>T067</x:v>
      </x:c>
      <x:c r="D1254" s="30" t="str">
        <x:v>批处理/多源联合推理</x:v>
      </x:c>
      <x:c r="E1254" s="30" t="str">
        <x:v>可候选；Agent决定是否创建/执行</x:v>
      </x:c>
      <x:c r="F1254" s="30" t="str">
        <x:v>基线：依实际装配启用</x:v>
      </x:c>
    </x:row>
    <x:row r="1255" ht="40" customHeight="1">
      <x:c r="A1255" s="30" t="str">
        <x:v>SC15</x:v>
      </x:c>
      <x:c r="B1255" s="30" t="str">
        <x:v>隧道/矿井设施</x:v>
      </x:c>
      <x:c r="C1255" s="30" t="str">
        <x:v>T068</x:v>
      </x:c>
      <x:c r="D1255" s="30" t="str">
        <x:v>计算资源释放与缓存清理</x:v>
      </x:c>
      <x:c r="E1255" s="30" t="str">
        <x:v>可候选；Agent决定是否创建/执行</x:v>
      </x:c>
      <x:c r="F1255" s="30" t="str">
        <x:v>基线：依实际装配启用</x:v>
      </x:c>
    </x:row>
    <x:row r="1256" ht="40" customHeight="1">
      <x:c r="A1256" s="30" t="str">
        <x:v>SC15</x:v>
      </x:c>
      <x:c r="B1256" s="30" t="str">
        <x:v>隧道/矿井设施</x:v>
      </x:c>
      <x:c r="C1256" s="30" t="str">
        <x:v>T069</x:v>
      </x:c>
      <x:c r="D1256" s="30" t="str">
        <x:v>跨源时间坐标对齐</x:v>
      </x:c>
      <x:c r="E1256" s="30" t="str">
        <x:v>可候选；Agent决定是否创建/执行</x:v>
      </x:c>
      <x:c r="F1256" s="30" t="str">
        <x:v>基线：依实际装配启用</x:v>
      </x:c>
    </x:row>
    <x:row r="1257" ht="40" customHeight="1">
      <x:c r="A1257" s="30" t="str">
        <x:v>SC15</x:v>
      </x:c>
      <x:c r="B1257" s="30" t="str">
        <x:v>隧道/矿井设施</x:v>
      </x:c>
      <x:c r="C1257" s="30" t="str">
        <x:v>T070</x:v>
      </x:c>
      <x:c r="D1257" s="30" t="str">
        <x:v>任务条件化本地历史检索</x:v>
      </x:c>
      <x:c r="E1257" s="30" t="str">
        <x:v>可候选；Agent决定是否创建/执行</x:v>
      </x:c>
      <x:c r="F1257" s="30" t="str">
        <x:v>基线：依实际装配启用</x:v>
      </x:c>
    </x:row>
    <x:row r="1258" ht="40" customHeight="1">
      <x:c r="A1258" s="30" t="str">
        <x:v>SC15</x:v>
      </x:c>
      <x:c r="B1258" s="30" t="str">
        <x:v>隧道/矿井设施</x:v>
      </x:c>
      <x:c r="C1258" s="30" t="str">
        <x:v>T071</x:v>
      </x:c>
      <x:c r="D1258" s="30" t="str">
        <x:v>图像裁剪/编码/证据打包</x:v>
      </x:c>
      <x:c r="E1258" s="30" t="str">
        <x:v>可候选；Agent决定是否创建/执行</x:v>
      </x:c>
      <x:c r="F1258" s="30" t="str">
        <x:v>基线：依实际装配启用</x:v>
      </x:c>
    </x:row>
    <x:row r="1259" ht="40" customHeight="1">
      <x:c r="A1259" s="30" t="str">
        <x:v>SC15</x:v>
      </x:c>
      <x:c r="B1259" s="30" t="str">
        <x:v>隧道/矿井设施</x:v>
      </x:c>
      <x:c r="C1259" s="30" t="str">
        <x:v>T072</x:v>
      </x:c>
      <x:c r="D1259" s="30" t="str">
        <x:v>置信度与证据充分性判断</x:v>
      </x:c>
      <x:c r="E1259" s="30" t="str">
        <x:v>可候选；Agent决定是否创建/执行</x:v>
      </x:c>
      <x:c r="F1259" s="30" t="str">
        <x:v>基线：依实际装配启用</x:v>
      </x:c>
    </x:row>
    <x:row r="1260" ht="40" customHeight="1">
      <x:c r="A1260" s="30" t="str">
        <x:v>SC15</x:v>
      </x:c>
      <x:c r="B1260" s="30" t="str">
        <x:v>隧道/矿井设施</x:v>
      </x:c>
      <x:c r="C1260" s="30" t="str">
        <x:v>T073</x:v>
      </x:c>
      <x:c r="D1260" s="30" t="str">
        <x:v>多源融合与冲突更正</x:v>
      </x:c>
      <x:c r="E1260" s="30" t="str">
        <x:v>可候选；Agent决定是否创建/执行</x:v>
      </x:c>
      <x:c r="F1260" s="30" t="str">
        <x:v>基线：依实际装配启用</x:v>
      </x:c>
    </x:row>
    <x:row r="1261" ht="40" customHeight="1">
      <x:c r="A1261" s="30" t="str">
        <x:v>SC15</x:v>
      </x:c>
      <x:c r="B1261" s="30" t="str">
        <x:v>隧道/矿井设施</x:v>
      </x:c>
      <x:c r="C1261" s="30" t="str">
        <x:v>T074</x:v>
      </x:c>
      <x:c r="D1261" s="30" t="str">
        <x:v>面向任务的信息选择与共享</x:v>
      </x:c>
      <x:c r="E1261" s="30" t="str">
        <x:v>可候选；Agent决定是否创建/执行</x:v>
      </x:c>
      <x:c r="F1261" s="30" t="str">
        <x:v>基线：依实际装配启用</x:v>
      </x:c>
    </x:row>
    <x:row r="1262" ht="40" customHeight="1">
      <x:c r="A1262" s="30" t="str">
        <x:v>SC15</x:v>
      </x:c>
      <x:c r="B1262" s="30" t="str">
        <x:v>隧道/矿井设施</x:v>
      </x:c>
      <x:c r="C1262" s="30" t="str">
        <x:v>T075</x:v>
      </x:c>
      <x:c r="D1262" s="30" t="str">
        <x:v>局部信念与过时信息维护</x:v>
      </x:c>
      <x:c r="E1262" s="30" t="str">
        <x:v>可候选；Agent决定是否创建/执行</x:v>
      </x:c>
      <x:c r="F1262" s="30" t="str">
        <x:v>基线：依实际装配启用</x:v>
      </x:c>
    </x:row>
    <x:row r="1263" ht="40" customHeight="1">
      <x:c r="A1263" s="30" t="str">
        <x:v>SC15</x:v>
      </x:c>
      <x:c r="B1263" s="30" t="str">
        <x:v>隧道/矿井设施</x:v>
      </x:c>
      <x:c r="C1263" s="30" t="str">
        <x:v>T076</x:v>
      </x:c>
      <x:c r="D1263" s="30" t="str">
        <x:v>轨迹/证据归档与回放</x:v>
      </x:c>
      <x:c r="E1263" s="30" t="str">
        <x:v>可候选；Agent决定是否创建/执行</x:v>
      </x:c>
      <x:c r="F1263" s="30" t="str">
        <x:v>基线：依实际装配启用</x:v>
      </x:c>
    </x:row>
    <x:row r="1264" ht="40" customHeight="1">
      <x:c r="A1264" s="30" t="str">
        <x:v>SC15</x:v>
      </x:c>
      <x:c r="B1264" s="30" t="str">
        <x:v>隧道/矿井设施</x:v>
      </x:c>
      <x:c r="C1264" s="30" t="str">
        <x:v>T077</x:v>
      </x:c>
      <x:c r="D1264" s="30" t="str">
        <x:v>接收并解释当前使命</x:v>
      </x:c>
      <x:c r="E1264" s="30" t="str">
        <x:v>可候选；Agent决定是否创建/执行</x:v>
      </x:c>
      <x:c r="F1264" s="30" t="str">
        <x:v>基线：依实际装配启用</x:v>
      </x:c>
    </x:row>
    <x:row r="1265" ht="40" customHeight="1">
      <x:c r="A1265" s="30" t="str">
        <x:v>SC15</x:v>
      </x:c>
      <x:c r="B1265" s="30" t="str">
        <x:v>隧道/矿井设施</x:v>
      </x:c>
      <x:c r="C1265" s="30" t="str">
        <x:v>T078</x:v>
      </x:c>
      <x:c r="D1265" s="30" t="str">
        <x:v>自主任务分解与候选生成</x:v>
      </x:c>
      <x:c r="E1265" s="30" t="str">
        <x:v>可候选；Agent决定是否创建/执行</x:v>
      </x:c>
      <x:c r="F1265" s="30" t="str">
        <x:v>基线：依实际装配启用</x:v>
      </x:c>
    </x:row>
    <x:row r="1266" ht="40" customHeight="1">
      <x:c r="A1266" s="30" t="str">
        <x:v>SC15</x:v>
      </x:c>
      <x:c r="B1266" s="30" t="str">
        <x:v>隧道/矿井设施</x:v>
      </x:c>
      <x:c r="C1266" s="30" t="str">
        <x:v>T079</x:v>
      </x:c>
      <x:c r="D1266" s="30" t="str">
        <x:v>本机参与筛选与出价</x:v>
      </x:c>
      <x:c r="E1266" s="30" t="str">
        <x:v>可候选；Agent决定是否创建/执行</x:v>
      </x:c>
      <x:c r="F1266" s="30" t="str">
        <x:v>基线：依实际装配启用</x:v>
      </x:c>
    </x:row>
    <x:row r="1267" ht="40" customHeight="1">
      <x:c r="A1267" s="30" t="str">
        <x:v>SC15</x:v>
      </x:c>
      <x:c r="B1267" s="30" t="str">
        <x:v>隧道/矿井设施</x:v>
      </x:c>
      <x:c r="C1267" s="30" t="str">
        <x:v>T080</x:v>
      </x:c>
      <x:c r="D1267" s="30" t="str">
        <x:v>多平台任务分配与协调</x:v>
      </x:c>
      <x:c r="E1267" s="30" t="str">
        <x:v>可候选；Agent决定是否创建/执行</x:v>
      </x:c>
      <x:c r="F1267" s="30" t="str">
        <x:v>基线：依实际装配启用</x:v>
      </x:c>
    </x:row>
    <x:row r="1268" ht="40" customHeight="1">
      <x:c r="A1268" s="30" t="str">
        <x:v>SC15</x:v>
      </x:c>
      <x:c r="B1268" s="30" t="str">
        <x:v>隧道/矿井设施</x:v>
      </x:c>
      <x:c r="C1268" s="30" t="str">
        <x:v>T081</x:v>
      </x:c>
      <x:c r="D1268" s="30" t="str">
        <x:v>任务接受/拒绝与承诺</x:v>
      </x:c>
      <x:c r="E1268" s="30" t="str">
        <x:v>可候选；Agent决定是否创建/执行</x:v>
      </x:c>
      <x:c r="F1268" s="30" t="str">
        <x:v>基线：依实际装配启用</x:v>
      </x:c>
    </x:row>
    <x:row r="1269" ht="40" customHeight="1">
      <x:c r="A1269" s="30" t="str">
        <x:v>SC15</x:v>
      </x:c>
      <x:c r="B1269" s="30" t="str">
        <x:v>隧道/矿井设施</x:v>
      </x:c>
      <x:c r="C1269" s="30" t="str">
        <x:v>T082</x:v>
      </x:c>
      <x:c r="D1269" s="30" t="str">
        <x:v>进度监控与完成确认</x:v>
      </x:c>
      <x:c r="E1269" s="30" t="str">
        <x:v>可候选；Agent决定是否创建/执行</x:v>
      </x:c>
      <x:c r="F1269" s="30" t="str">
        <x:v>基线：依实际装配启用</x:v>
      </x:c>
    </x:row>
    <x:row r="1270" ht="40" customHeight="1">
      <x:c r="A1270" s="30" t="str">
        <x:v>SC15</x:v>
      </x:c>
      <x:c r="B1270" s="30" t="str">
        <x:v>隧道/矿井设施</x:v>
      </x:c>
      <x:c r="C1270" s="30" t="str">
        <x:v>T083</x:v>
      </x:c>
      <x:c r="D1270" s="30" t="str">
        <x:v>任务取消/抢占</x:v>
      </x:c>
      <x:c r="E1270" s="30" t="str">
        <x:v>可候选；Agent决定是否创建/执行</x:v>
      </x:c>
      <x:c r="F1270" s="30" t="str">
        <x:v>基线：依实际装配启用</x:v>
      </x:c>
    </x:row>
    <x:row r="1271" ht="40" customHeight="1">
      <x:c r="A1271" s="30" t="str">
        <x:v>SC15</x:v>
      </x:c>
      <x:c r="B1271" s="30" t="str">
        <x:v>隧道/矿井设施</x:v>
      </x:c>
      <x:c r="C1271" s="30" t="str">
        <x:v>T084</x:v>
      </x:c>
      <x:c r="D1271" s="30" t="str">
        <x:v>恢复原任务</x:v>
      </x:c>
      <x:c r="E1271" s="30" t="str">
        <x:v>可候选；Agent决定是否创建/执行</x:v>
      </x:c>
      <x:c r="F1271" s="30" t="str">
        <x:v>基线：依实际装配启用</x:v>
      </x:c>
    </x:row>
    <x:row r="1272" ht="40" customHeight="1">
      <x:c r="A1272" s="30" t="str">
        <x:v>SC15</x:v>
      </x:c>
      <x:c r="B1272" s="30" t="str">
        <x:v>隧道/矿井设施</x:v>
      </x:c>
      <x:c r="C1272" s="30" t="str">
        <x:v>T085</x:v>
      </x:c>
      <x:c r="D1272" s="30" t="str">
        <x:v>跨Agent任务与证据交接</x:v>
      </x:c>
      <x:c r="E1272" s="30" t="str">
        <x:v>可候选；Agent决定是否创建/执行</x:v>
      </x:c>
      <x:c r="F1272" s="30" t="str">
        <x:v>基线：依实际装配启用</x:v>
      </x:c>
    </x:row>
    <x:row r="1273" ht="40" customHeight="1">
      <x:c r="A1273" s="30" t="str">
        <x:v>SC15</x:v>
      </x:c>
      <x:c r="B1273" s="30" t="str">
        <x:v>隧道/矿井设施</x:v>
      </x:c>
      <x:c r="C1273" s="30" t="str">
        <x:v>T086</x:v>
      </x:c>
      <x:c r="D1273" s="30" t="str">
        <x:v>失败重规划与重派</x:v>
      </x:c>
      <x:c r="E1273" s="30" t="str">
        <x:v>可候选；Agent决定是否创建/执行</x:v>
      </x:c>
      <x:c r="F1273" s="30" t="str">
        <x:v>基线：依实际装配启用</x:v>
      </x:c>
    </x:row>
    <x:row r="1274" ht="40" customHeight="1">
      <x:c r="A1274" s="30" t="str">
        <x:v>SC15</x:v>
      </x:c>
      <x:c r="B1274" s="30" t="str">
        <x:v>隧道/矿井设施</x:v>
      </x:c>
      <x:c r="C1274" s="30" t="str">
        <x:v>T087</x:v>
      </x:c>
      <x:c r="D1274" s="30" t="str">
        <x:v>请求专业救援/工程力量</x:v>
      </x:c>
      <x:c r="E1274" s="30" t="str">
        <x:v>可候选；Agent决定是否创建/执行</x:v>
      </x:c>
      <x:c r="F1274" s="30" t="str">
        <x:v>基线：依实际装配启用</x:v>
      </x:c>
    </x:row>
    <x:row r="1275" ht="40" customHeight="1">
      <x:c r="A1275" s="30" t="str">
        <x:v>SC15</x:v>
      </x:c>
      <x:c r="B1275" s="30" t="str">
        <x:v>隧道/矿井设施</x:v>
      </x:c>
      <x:c r="C1275" s="30" t="str">
        <x:v>T088</x:v>
      </x:c>
      <x:c r="D1275" s="30" t="str">
        <x:v>工作现场闭合与阶段移交</x:v>
      </x:c>
      <x:c r="E1275" s="30" t="str">
        <x:v>可候选；Agent决定是否创建/执行</x:v>
      </x:c>
      <x:c r="F1275" s="30" t="str">
        <x:v>基线：依实际装配启用</x:v>
      </x:c>
    </x:row>
    <x:row r="1276" ht="40" customHeight="1">
      <x:c r="A1276" s="30" t="str">
        <x:v>SC15</x:v>
      </x:c>
      <x:c r="B1276" s="30" t="str">
        <x:v>隧道/矿井设施</x:v>
      </x:c>
      <x:c r="C1276" s="30" t="str">
        <x:v>T089</x:v>
      </x:c>
      <x:c r="D1276" s="30" t="str">
        <x:v>次生危险动态监视</x:v>
      </x:c>
      <x:c r="E1276" s="30" t="str">
        <x:v>可候选；Agent决定是否创建/执行</x:v>
      </x:c>
      <x:c r="F1276" s="30" t="str">
        <x:v>基线：依实际装配启用</x:v>
      </x:c>
    </x:row>
    <x:row r="1277" ht="40" customHeight="1">
      <x:c r="A1277" s="30" t="str">
        <x:v>SC15</x:v>
      </x:c>
      <x:c r="B1277" s="30" t="str">
        <x:v>隧道/矿井设施</x:v>
      </x:c>
      <x:c r="C1277" s="30" t="str">
        <x:v>T090</x:v>
      </x:c>
      <x:c r="D1277" s="30" t="str">
        <x:v>平台/能源/服务健康监视</x:v>
      </x:c>
      <x:c r="E1277" s="30" t="str">
        <x:v>可候选；Agent决定是否创建/执行</x:v>
      </x:c>
      <x:c r="F1277" s="30" t="str">
        <x:v>基线：依实际装配启用</x:v>
      </x:c>
    </x:row>
    <x:row r="1278" ht="40" customHeight="1">
      <x:c r="A1278" s="30" t="str">
        <x:v>SC15</x:v>
      </x:c>
      <x:c r="B1278" s="30" t="str">
        <x:v>隧道/矿井设施</x:v>
      </x:c>
      <x:c r="C1278" s="30" t="str">
        <x:v>T091</x:v>
      </x:c>
      <x:c r="D1278" s="30" t="str">
        <x:v>安全等待与驻留观察</x:v>
      </x:c>
      <x:c r="E1278" s="30" t="str">
        <x:v>可候选；Agent决定是否创建/执行</x:v>
      </x:c>
      <x:c r="F1278" s="30" t="str">
        <x:v>基线：依实际装配启用</x:v>
      </x:c>
    </x:row>
    <x:row r="1279" ht="40" customHeight="1">
      <x:c r="A1279" s="30" t="str">
        <x:v>SC15</x:v>
      </x:c>
      <x:c r="B1279" s="30" t="str">
        <x:v>隧道/矿井设施</x:v>
      </x:c>
      <x:c r="C1279" s="30" t="str">
        <x:v>T092</x:v>
      </x:c>
      <x:c r="D1279" s="30" t="str">
        <x:v>设备/传感器/服务故障诊断</x:v>
      </x:c>
      <x:c r="E1279" s="30" t="str">
        <x:v>可候选；Agent决定是否创建/执行</x:v>
      </x:c>
      <x:c r="F1279" s="30" t="str">
        <x:v>基线：依实际装配启用</x:v>
      </x:c>
    </x:row>
    <x:row r="1280" ht="40" customHeight="1">
      <x:c r="A1280" s="30" t="str">
        <x:v>SC15</x:v>
      </x:c>
      <x:c r="B1280" s="30" t="str">
        <x:v>隧道/矿井设施</x:v>
      </x:c>
      <x:c r="C1280" s="30" t="str">
        <x:v>T095</x:v>
      </x:c>
      <x:c r="D1280" s="30" t="str">
        <x:v>危险源隔离/警戒区建立</x:v>
      </x:c>
      <x:c r="E1280" s="30" t="str">
        <x:v>可候选；Agent决定是否创建/执行</x:v>
      </x:c>
      <x:c r="F1280" s="30" t="str">
        <x:v>条件扩展：明确设备/专业服务后启用</x:v>
      </x:c>
    </x:row>
    <x:row r="1281" ht="40" customHeight="1">
      <x:c r="A1281" s="30" t="str">
        <x:v>SC15</x:v>
      </x:c>
      <x:c r="B1281" s="30" t="str">
        <x:v>隧道/矿井设施</x:v>
      </x:c>
      <x:c r="C1281" s="30" t="str">
        <x:v>T096</x:v>
      </x:c>
      <x:c r="D1281" s="30" t="str">
        <x:v>跨模型特征/潜表示适配</x:v>
      </x:c>
      <x:c r="E1281" s="30" t="str">
        <x:v>可候选；Agent决定是否创建/执行</x:v>
      </x:c>
      <x:c r="F1281" s="30" t="str">
        <x:v>条件扩展：明确设备/专业服务后启用</x:v>
      </x:c>
    </x:row>
    <x:row r="1282" ht="40" customHeight="1">
      <x:c r="A1282" s="30" t="str">
        <x:v>SC16</x:v>
      </x:c>
      <x:c r="B1282" s="30" t="str">
        <x:v>天然洞穴</x:v>
      </x:c>
      <x:c r="C1282" s="30" t="str">
        <x:v>T001</x:v>
      </x:c>
      <x:c r="D1282" s="30" t="str">
        <x:v>区域快速普查</x:v>
      </x:c>
      <x:c r="E1282" s="30" t="str">
        <x:v>可候选；Agent决定是否创建/执行</x:v>
      </x:c>
      <x:c r="F1282" s="30" t="str">
        <x:v>基线：依实际装配启用</x:v>
      </x:c>
    </x:row>
    <x:row r="1283" ht="40" customHeight="1">
      <x:c r="A1283" s="30" t="str">
        <x:v>SC16</x:v>
      </x:c>
      <x:c r="B1283" s="30" t="str">
        <x:v>天然洞穴</x:v>
      </x:c>
      <x:c r="C1283" s="30" t="str">
        <x:v>T003</x:v>
      </x:c>
      <x:c r="D1283" s="30" t="str">
        <x:v>道路与通路灾后评估</x:v>
      </x:c>
      <x:c r="E1283" s="30" t="str">
        <x:v>可候选；Agent决定是否创建/执行</x:v>
      </x:c>
      <x:c r="F1283" s="30" t="str">
        <x:v>基线：依实际装配启用</x:v>
      </x:c>
    </x:row>
    <x:row r="1284" ht="40" customHeight="1">
      <x:c r="A1284" s="30" t="str">
        <x:v>SC16</x:v>
      </x:c>
      <x:c r="B1284" s="30" t="str">
        <x:v>天然洞穴</x:v>
      </x:c>
      <x:c r="C1284" s="30" t="str">
        <x:v>T004</x:v>
      </x:c>
      <x:c r="D1284" s="30" t="str">
        <x:v>入口与屋顶交付区检查</x:v>
      </x:c>
      <x:c r="E1284" s="30" t="str">
        <x:v>可候选；Agent决定是否创建/执行</x:v>
      </x:c>
      <x:c r="F1284" s="30" t="str">
        <x:v>基线：依实际装配启用</x:v>
      </x:c>
    </x:row>
    <x:row r="1285" ht="40" customHeight="1">
      <x:c r="A1285" s="30" t="str">
        <x:v>SC16</x:v>
      </x:c>
      <x:c r="B1285" s="30" t="str">
        <x:v>天然洞穴</x:v>
      </x:c>
      <x:c r="C1285" s="30" t="str">
        <x:v>T006</x:v>
      </x:c>
      <x:c r="D1285" s="30" t="str">
        <x:v>火烟与危险源侦察</x:v>
      </x:c>
      <x:c r="E1285" s="30" t="str">
        <x:v>可候选；Agent决定是否创建/执行</x:v>
      </x:c>
      <x:c r="F1285" s="30" t="str">
        <x:v>基线：依实际装配启用</x:v>
      </x:c>
    </x:row>
    <x:row r="1286" ht="40" customHeight="1">
      <x:c r="A1286" s="30" t="str">
        <x:v>SC16</x:v>
      </x:c>
      <x:c r="B1286" s="30" t="str">
        <x:v>天然洞穴</x:v>
      </x:c>
      <x:c r="C1286" s="30" t="str">
        <x:v>T008</x:v>
      </x:c>
      <x:c r="D1286" s="30" t="str">
        <x:v>建筑/区域覆盖登记</x:v>
      </x:c>
      <x:c r="E1286" s="30" t="str">
        <x:v>可候选；Agent决定是否创建/执行</x:v>
      </x:c>
      <x:c r="F1286" s="30" t="str">
        <x:v>基线：依实际装配启用</x:v>
      </x:c>
    </x:row>
    <x:row r="1287" ht="40" customHeight="1">
      <x:c r="A1287" s="30" t="str">
        <x:v>SC16</x:v>
      </x:c>
      <x:c r="B1287" s="30" t="str">
        <x:v>天然洞穴</x:v>
      </x:c>
      <x:c r="C1287" s="30" t="str">
        <x:v>T009</x:v>
      </x:c>
      <x:c r="D1287" s="30" t="str">
        <x:v>系统空中人员搜索</x:v>
      </x:c>
      <x:c r="E1287" s="30" t="str">
        <x:v>可候选；Agent决定是否创建/执行</x:v>
      </x:c>
      <x:c r="F1287" s="30" t="str">
        <x:v>基线：依实际装配启用</x:v>
      </x:c>
    </x:row>
    <x:row r="1288" ht="40" customHeight="1">
      <x:c r="A1288" s="30" t="str">
        <x:v>SC16</x:v>
      </x:c>
      <x:c r="B1288" s="30" t="str">
        <x:v>天然洞穴</x:v>
      </x:c>
      <x:c r="C1288" s="30" t="str">
        <x:v>T010</x:v>
      </x:c>
      <x:c r="D1288" s="30" t="str">
        <x:v>线索发现与语义解读</x:v>
      </x:c>
      <x:c r="E1288" s="30" t="str">
        <x:v>可候选；Agent决定是否创建/执行</x:v>
      </x:c>
      <x:c r="F1288" s="30" t="str">
        <x:v>基线：依实际装配启用</x:v>
      </x:c>
    </x:row>
    <x:row r="1289" ht="40" customHeight="1">
      <x:c r="A1289" s="30" t="str">
        <x:v>SC16</x:v>
      </x:c>
      <x:c r="B1289" s="30" t="str">
        <x:v>天然洞穴</x:v>
      </x:c>
      <x:c r="C1289" s="30" t="str">
        <x:v>T011</x:v>
      </x:c>
      <x:c r="D1289" s="30" t="str">
        <x:v>疑似目标多视角复核</x:v>
      </x:c>
      <x:c r="E1289" s="30" t="str">
        <x:v>可候选；Agent决定是否创建/执行</x:v>
      </x:c>
      <x:c r="F1289" s="30" t="str">
        <x:v>基线：依实际装配启用</x:v>
      </x:c>
    </x:row>
    <x:row r="1290" ht="40" customHeight="1">
      <x:c r="A1290" s="30" t="str">
        <x:v>SC16</x:v>
      </x:c>
      <x:c r="B1290" s="30" t="str">
        <x:v>天然洞穴</x:v>
      </x:c>
      <x:c r="C1290" s="30" t="str">
        <x:v>T012</x:v>
      </x:c>
      <x:c r="D1290" s="30" t="str">
        <x:v>目标定位跟踪与跨视角关联</x:v>
      </x:c>
      <x:c r="E1290" s="30" t="str">
        <x:v>可候选；Agent决定是否创建/执行</x:v>
      </x:c>
      <x:c r="F1290" s="30" t="str">
        <x:v>基线：依实际装配启用</x:v>
      </x:c>
    </x:row>
    <x:row r="1291" ht="40" customHeight="1">
      <x:c r="A1291" s="30" t="str">
        <x:v>SC16</x:v>
      </x:c>
      <x:c r="B1291" s="30" t="str">
        <x:v>天然洞穴</x:v>
      </x:c>
      <x:c r="C1291" s="30" t="str">
        <x:v>T013</x:v>
      </x:c>
      <x:c r="D1291" s="30" t="str">
        <x:v>近地外部与狭窄区搜索</x:v>
      </x:c>
      <x:c r="E1291" s="30" t="str">
        <x:v>可候选；Agent决定是否创建/执行</x:v>
      </x:c>
      <x:c r="F1291" s="30" t="str">
        <x:v>基线：依实际装配启用</x:v>
      </x:c>
    </x:row>
    <x:row r="1292" ht="40" customHeight="1">
      <x:c r="A1292" s="30" t="str">
        <x:v>SC16</x:v>
      </x:c>
      <x:c r="B1292" s="30" t="str">
        <x:v>天然洞穴</x:v>
      </x:c>
      <x:c r="C1292" s="30" t="str">
        <x:v>T014</x:v>
      </x:c>
      <x:c r="D1292" s="30" t="str">
        <x:v>建筑内部初次抽象搜索</x:v>
      </x:c>
      <x:c r="E1292" s="30" t="str">
        <x:v>可候选；Agent决定是否创建/执行</x:v>
      </x:c>
      <x:c r="F1292" s="30" t="str">
        <x:v>基线：依实际装配启用</x:v>
      </x:c>
    </x:row>
    <x:row r="1293" ht="40" customHeight="1">
      <x:c r="A1293" s="30" t="str">
        <x:v>SC16</x:v>
      </x:c>
      <x:c r="B1293" s="30" t="str">
        <x:v>天然洞穴</x:v>
      </x:c>
      <x:c r="C1293" s="30" t="str">
        <x:v>T015</x:v>
      </x:c>
      <x:c r="D1293" s="30" t="str">
        <x:v>建筑内部复搜/完整搜索</x:v>
      </x:c>
      <x:c r="E1293" s="30" t="str">
        <x:v>可候选；Agent决定是否创建/执行</x:v>
      </x:c>
      <x:c r="F1293" s="30" t="str">
        <x:v>基线：依实际装配启用</x:v>
      </x:c>
    </x:row>
    <x:row r="1294" ht="40" customHeight="1">
      <x:c r="A1294" s="30" t="str">
        <x:v>SC16</x:v>
      </x:c>
      <x:c r="B1294" s="30" t="str">
        <x:v>天然洞穴</x:v>
      </x:c>
      <x:c r="C1294" s="30" t="str">
        <x:v>T016</x:v>
      </x:c>
      <x:c r="D1294" s="30" t="str">
        <x:v>热成像补充搜索</x:v>
      </x:c>
      <x:c r="E1294" s="30" t="str">
        <x:v>可候选；Agent决定是否创建/执行</x:v>
      </x:c>
      <x:c r="F1294" s="30" t="str">
        <x:v>条件扩展：明确设备/专业服务后启用</x:v>
      </x:c>
    </x:row>
    <x:row r="1295" ht="40" customHeight="1">
      <x:c r="A1295" s="30" t="str">
        <x:v>SC16</x:v>
      </x:c>
      <x:c r="B1295" s="30" t="str">
        <x:v>天然洞穴</x:v>
      </x:c>
      <x:c r="C1295" s="30" t="str">
        <x:v>T017</x:v>
      </x:c>
      <x:c r="D1295" s="30" t="str">
        <x:v>声音线索搜索</x:v>
      </x:c>
      <x:c r="E1295" s="30" t="str">
        <x:v>可候选；Agent决定是否创建/执行</x:v>
      </x:c>
      <x:c r="F1295" s="30" t="str">
        <x:v>条件扩展：明确设备/专业服务后启用</x:v>
      </x:c>
    </x:row>
    <x:row r="1296" ht="40" customHeight="1">
      <x:c r="A1296" s="30" t="str">
        <x:v>SC16</x:v>
      </x:c>
      <x:c r="B1296" s="30" t="str">
        <x:v>天然洞穴</x:v>
      </x:c>
      <x:c r="C1296" s="30" t="str">
        <x:v>T018</x:v>
      </x:c>
      <x:c r="D1296" s="30" t="str">
        <x:v>RF/手机线索搜索</x:v>
      </x:c>
      <x:c r="E1296" s="30" t="str">
        <x:v>可候选；Agent决定是否创建/执行</x:v>
      </x:c>
      <x:c r="F1296" s="30" t="str">
        <x:v>条件扩展：明确设备/专业服务后启用</x:v>
      </x:c>
    </x:row>
    <x:row r="1297" ht="40" customHeight="1">
      <x:c r="A1297" s="30" t="str">
        <x:v>SC16</x:v>
      </x:c>
      <x:c r="B1297" s="30" t="str">
        <x:v>天然洞穴</x:v>
      </x:c>
      <x:c r="C1297" s="30" t="str">
        <x:v>T019</x:v>
      </x:c>
      <x:c r="D1297" s="30" t="str">
        <x:v>空中转场与观察点到达</x:v>
      </x:c>
      <x:c r="E1297" s="30" t="str">
        <x:v>可候选；Agent决定是否创建/执行</x:v>
      </x:c>
      <x:c r="F1297" s="30" t="str">
        <x:v>基线：依实际装配启用</x:v>
      </x:c>
    </x:row>
    <x:row r="1298" ht="40" customHeight="1">
      <x:c r="A1298" s="30" t="str">
        <x:v>SC16</x:v>
      </x:c>
      <x:c r="B1298" s="30" t="str">
        <x:v>天然洞穴</x:v>
      </x:c>
      <x:c r="C1298" s="30" t="str">
        <x:v>T020</x:v>
      </x:c>
      <x:c r="D1298" s="30" t="str">
        <x:v>地面转场与绕行</x:v>
      </x:c>
      <x:c r="E1298" s="30" t="str">
        <x:v>可候选；Agent决定是否创建/执行</x:v>
      </x:c>
      <x:c r="F1298" s="30" t="str">
        <x:v>基线：依实际装配启用</x:v>
      </x:c>
    </x:row>
    <x:row r="1299" ht="40" customHeight="1">
      <x:c r="A1299" s="30" t="str">
        <x:v>SC16</x:v>
      </x:c>
      <x:c r="B1299" s="30" t="str">
        <x:v>天然洞穴</x:v>
      </x:c>
      <x:c r="C1299" s="30" t="str">
        <x:v>T021</x:v>
      </x:c>
      <x:c r="D1299" s="30" t="str">
        <x:v>障碍接近探测与路径验证</x:v>
      </x:c>
      <x:c r="E1299" s="30" t="str">
        <x:v>可候选；Agent决定是否创建/执行</x:v>
      </x:c>
      <x:c r="F1299" s="30" t="str">
        <x:v>基线：依实际装配启用</x:v>
      </x:c>
    </x:row>
    <x:row r="1300" ht="40" customHeight="1">
      <x:c r="A1300" s="30" t="str">
        <x:v>SC16</x:v>
      </x:c>
      <x:c r="B1300" s="30" t="str">
        <x:v>天然洞穴</x:v>
      </x:c>
      <x:c r="C1300" s="30" t="str">
        <x:v>T022</x:v>
      </x:c>
      <x:c r="D1300" s="30" t="str">
        <x:v>轻型残骸移除</x:v>
      </x:c>
      <x:c r="E1300" s="30" t="str">
        <x:v>可候选；Agent决定是否创建/执行</x:v>
      </x:c>
      <x:c r="F1300" s="30" t="str">
        <x:v>条件扩展：明确设备/专业服务后启用</x:v>
      </x:c>
    </x:row>
    <x:row r="1301" ht="40" customHeight="1">
      <x:c r="A1301" s="30" t="str">
        <x:v>SC16</x:v>
      </x:c>
      <x:c r="B1301" s="30" t="str">
        <x:v>天然洞穴</x:v>
      </x:c>
      <x:c r="C1301" s="30" t="str">
        <x:v>T023</x:v>
      </x:c>
      <x:c r="D1301" s="30" t="str">
        <x:v>重型道路清障</x:v>
      </x:c>
      <x:c r="E1301" s="30" t="str">
        <x:v>可候选；Agent决定是否创建/执行</x:v>
      </x:c>
      <x:c r="F1301" s="30" t="str">
        <x:v>条件扩展：明确设备/专业服务后启用</x:v>
      </x:c>
    </x:row>
    <x:row r="1302" ht="40" customHeight="1">
      <x:c r="A1302" s="30" t="str">
        <x:v>SC16</x:v>
      </x:c>
      <x:c r="B1302" s="30" t="str">
        <x:v>天然洞穴</x:v>
      </x:c>
      <x:c r="C1302" s="30" t="str">
        <x:v>T024</x:v>
      </x:c>
      <x:c r="D1302" s="30" t="str">
        <x:v>入口开辟与局部破拆</x:v>
      </x:c>
      <x:c r="E1302" s="30" t="str">
        <x:v>可候选；Agent决定是否创建/执行</x:v>
      </x:c>
      <x:c r="F1302" s="30" t="str">
        <x:v>条件扩展：明确设备/专业服务后启用</x:v>
      </x:c>
    </x:row>
    <x:row r="1303" ht="40" customHeight="1">
      <x:c r="A1303" s="30" t="str">
        <x:v>SC16</x:v>
      </x:c>
      <x:c r="B1303" s="30" t="str">
        <x:v>天然洞穴</x:v>
      </x:c>
      <x:c r="C1303" s="30" t="str">
        <x:v>T025</x:v>
      </x:c>
      <x:c r="D1303" s="30" t="str">
        <x:v>危险结构临时支撑</x:v>
      </x:c>
      <x:c r="E1303" s="30" t="str">
        <x:v>可候选；Agent决定是否创建/执行</x:v>
      </x:c>
      <x:c r="F1303" s="30" t="str">
        <x:v>条件扩展：明确设备/专业服务后启用</x:v>
      </x:c>
    </x:row>
    <x:row r="1304" ht="40" customHeight="1">
      <x:c r="A1304" s="30" t="str">
        <x:v>SC16</x:v>
      </x:c>
      <x:c r="B1304" s="30" t="str">
        <x:v>天然洞穴</x:v>
      </x:c>
      <x:c r="C1304" s="30" t="str">
        <x:v>T026</x:v>
      </x:c>
      <x:c r="D1304" s="30" t="str">
        <x:v>吊升/移置大块障碍</x:v>
      </x:c>
      <x:c r="E1304" s="30" t="str">
        <x:v>可候选；Agent决定是否创建/执行</x:v>
      </x:c>
      <x:c r="F1304" s="30" t="str">
        <x:v>条件扩展：明确设备/专业服务后启用</x:v>
      </x:c>
    </x:row>
    <x:row r="1305" ht="40" customHeight="1">
      <x:c r="A1305" s="30" t="str">
        <x:v>SC16</x:v>
      </x:c>
      <x:c r="B1305" s="30" t="str">
        <x:v>天然洞穴</x:v>
      </x:c>
      <x:c r="C1305" s="30" t="str">
        <x:v>T027</x:v>
      </x:c>
      <x:c r="D1305" s="30" t="str">
        <x:v>建立联系并确认需求</x:v>
      </x:c>
      <x:c r="E1305" s="30" t="str">
        <x:v>可候选；Agent决定是否创建/执行</x:v>
      </x:c>
      <x:c r="F1305" s="30" t="str">
        <x:v>基线：依实际装配启用</x:v>
      </x:c>
    </x:row>
    <x:row r="1306" ht="40" customHeight="1">
      <x:c r="A1306" s="30" t="str">
        <x:v>SC16</x:v>
      </x:c>
      <x:c r="B1306" s="30" t="str">
        <x:v>天然洞穴</x:v>
      </x:c>
      <x:c r="C1306" s="30" t="str">
        <x:v>T028</x:v>
      </x:c>
      <x:c r="D1306" s="30" t="str">
        <x:v>安全警示与避险引导</x:v>
      </x:c>
      <x:c r="E1306" s="30" t="str">
        <x:v>可候选；Agent决定是否创建/执行</x:v>
      </x:c>
      <x:c r="F1306" s="30" t="str">
        <x:v>基线：依实际装配启用</x:v>
      </x:c>
    </x:row>
    <x:row r="1307" ht="40" customHeight="1">
      <x:c r="A1307" s="30" t="str">
        <x:v>SC16</x:v>
      </x:c>
      <x:c r="B1307" s="30" t="str">
        <x:v>天然洞穴</x:v>
      </x:c>
      <x:c r="C1307" s="30" t="str">
        <x:v>T029</x:v>
      </x:c>
      <x:c r="D1307" s="30" t="str">
        <x:v>专业伤员评估与分级</x:v>
      </x:c>
      <x:c r="E1307" s="30" t="str">
        <x:v>可候选；Agent决定是否创建/执行</x:v>
      </x:c>
      <x:c r="F1307" s="30" t="str">
        <x:v>条件扩展：明确设备/专业服务后启用</x:v>
      </x:c>
    </x:row>
    <x:row r="1308" ht="40" customHeight="1">
      <x:c r="A1308" s="30" t="str">
        <x:v>SC16</x:v>
      </x:c>
      <x:c r="B1308" s="30" t="str">
        <x:v>天然洞穴</x:v>
      </x:c>
      <x:c r="C1308" s="30" t="str">
        <x:v>T030</x:v>
      </x:c>
      <x:c r="D1308" s="30" t="str">
        <x:v>人员基础物资支援</x:v>
      </x:c>
      <x:c r="E1308" s="30" t="str">
        <x:v>可候选；Agent决定是否创建/执行</x:v>
      </x:c>
      <x:c r="F1308" s="30" t="str">
        <x:v>基线：依实际装配启用</x:v>
      </x:c>
    </x:row>
    <x:row r="1309" ht="40" customHeight="1">
      <x:c r="A1309" s="30" t="str">
        <x:v>SC16</x:v>
      </x:c>
      <x:c r="B1309" s="30" t="str">
        <x:v>天然洞穴</x:v>
      </x:c>
      <x:c r="C1309" s="30" t="str">
        <x:v>T031</x:v>
      </x:c>
      <x:c r="D1309" s="30" t="str">
        <x:v>专业初步救护</x:v>
      </x:c>
      <x:c r="E1309" s="30" t="str">
        <x:v>可候选；Agent决定是否创建/执行</x:v>
      </x:c>
      <x:c r="F1309" s="30" t="str">
        <x:v>条件扩展：明确设备/专业服务后启用</x:v>
      </x:c>
    </x:row>
    <x:row r="1310" ht="40" customHeight="1">
      <x:c r="A1310" s="30" t="str">
        <x:v>SC16</x:v>
      </x:c>
      <x:c r="B1310" s="30" t="str">
        <x:v>天然洞穴</x:v>
      </x:c>
      <x:c r="C1310" s="30" t="str">
        <x:v>T032</x:v>
      </x:c>
      <x:c r="D1310" s="30" t="str">
        <x:v>受困解除/解困</x:v>
      </x:c>
      <x:c r="E1310" s="30" t="str">
        <x:v>可候选；Agent决定是否创建/执行</x:v>
      </x:c>
      <x:c r="F1310" s="30" t="str">
        <x:v>条件扩展：明确设备/专业服务后启用</x:v>
      </x:c>
    </x:row>
    <x:row r="1311" ht="40" customHeight="1">
      <x:c r="A1311" s="30" t="str">
        <x:v>SC16</x:v>
      </x:c>
      <x:c r="B1311" s="30" t="str">
        <x:v>天然洞穴</x:v>
      </x:c>
      <x:c r="C1311" s="30" t="str">
        <x:v>T033</x:v>
      </x:c>
      <x:c r="D1311" s="30" t="str">
        <x:v>人员装载</x:v>
      </x:c>
      <x:c r="E1311" s="30" t="str">
        <x:v>可候选；Agent决定是否创建/执行</x:v>
      </x:c>
      <x:c r="F1311" s="30" t="str">
        <x:v>条件扩展：明确设备/专业服务后启用</x:v>
      </x:c>
    </x:row>
    <x:row r="1312" ht="40" customHeight="1">
      <x:c r="A1312" s="30" t="str">
        <x:v>SC16</x:v>
      </x:c>
      <x:c r="B1312" s="30" t="str">
        <x:v>天然洞穴</x:v>
      </x:c>
      <x:c r="C1312" s="30" t="str">
        <x:v>T034</x:v>
      </x:c>
      <x:c r="D1312" s="30" t="str">
        <x:v>人员转运</x:v>
      </x:c>
      <x:c r="E1312" s="30" t="str">
        <x:v>可候选；Agent决定是否创建/执行</x:v>
      </x:c>
      <x:c r="F1312" s="30" t="str">
        <x:v>条件扩展：明确设备/专业服务后启用</x:v>
      </x:c>
    </x:row>
    <x:row r="1313" ht="40" customHeight="1">
      <x:c r="A1313" s="30" t="str">
        <x:v>SC16</x:v>
      </x:c>
      <x:c r="B1313" s="30" t="str">
        <x:v>天然洞穴</x:v>
      </x:c>
      <x:c r="C1313" s="30" t="str">
        <x:v>T035</x:v>
      </x:c>
      <x:c r="D1313" s="30" t="str">
        <x:v>救援/医疗最终移交</x:v>
      </x:c>
      <x:c r="E1313" s="30" t="str">
        <x:v>可候选；Agent决定是否创建/执行</x:v>
      </x:c>
      <x:c r="F1313" s="30" t="str">
        <x:v>条件扩展：明确设备/专业服务后启用</x:v>
      </x:c>
    </x:row>
    <x:row r="1314" ht="40" customHeight="1">
      <x:c r="A1314" s="30" t="str">
        <x:v>SC16</x:v>
      </x:c>
      <x:c r="B1314" s="30" t="str">
        <x:v>天然洞穴</x:v>
      </x:c>
      <x:c r="C1314" s="30" t="str">
        <x:v>T038</x:v>
      </x:c>
      <x:c r="D1314" s="30" t="str">
        <x:v>货物取用与挂载</x:v>
      </x:c>
      <x:c r="E1314" s="30" t="str">
        <x:v>可候选；Agent决定是否创建/执行</x:v>
      </x:c>
      <x:c r="F1314" s="30" t="str">
        <x:v>基线：依实际装配启用</x:v>
      </x:c>
    </x:row>
    <x:row r="1315" ht="40" customHeight="1">
      <x:c r="A1315" s="30" t="str">
        <x:v>SC16</x:v>
      </x:c>
      <x:c r="B1315" s="30" t="str">
        <x:v>天然洞穴</x:v>
      </x:c>
      <x:c r="C1315" s="30" t="str">
        <x:v>T039</x:v>
      </x:c>
      <x:c r="D1315" s="30" t="str">
        <x:v>无人机精确物资投送</x:v>
      </x:c>
      <x:c r="E1315" s="30" t="str">
        <x:v>可候选；Agent决定是否创建/执行</x:v>
      </x:c>
      <x:c r="F1315" s="30" t="str">
        <x:v>基线：依实际装配启用</x:v>
      </x:c>
    </x:row>
    <x:row r="1316" ht="40" customHeight="1">
      <x:c r="A1316" s="30" t="str">
        <x:v>SC16</x:v>
      </x:c>
      <x:c r="B1316" s="30" t="str">
        <x:v>天然洞穴</x:v>
      </x:c>
      <x:c r="C1316" s="30" t="str">
        <x:v>T040</x:v>
      </x:c>
      <x:c r="D1316" s="30" t="str">
        <x:v>地面物资送达与卸放</x:v>
      </x:c>
      <x:c r="E1316" s="30" t="str">
        <x:v>可候选；Agent决定是否创建/执行</x:v>
      </x:c>
      <x:c r="F1316" s="30" t="str">
        <x:v>基线：依实际装配启用</x:v>
      </x:c>
    </x:row>
    <x:row r="1317" ht="40" customHeight="1">
      <x:c r="A1317" s="30" t="str">
        <x:v>SC16</x:v>
      </x:c>
      <x:c r="B1317" s="30" t="str">
        <x:v>天然洞穴</x:v>
      </x:c>
      <x:c r="C1317" s="30" t="str">
        <x:v>T041</x:v>
      </x:c>
      <x:c r="D1317" s="30" t="str">
        <x:v>交付复核与收货报告</x:v>
      </x:c>
      <x:c r="E1317" s="30" t="str">
        <x:v>可候选；Agent决定是否创建/执行</x:v>
      </x:c>
      <x:c r="F1317" s="30" t="str">
        <x:v>基线：依实际装配启用</x:v>
      </x:c>
    </x:row>
    <x:row r="1318" ht="40" customHeight="1">
      <x:c r="A1318" s="30" t="str">
        <x:v>SC16</x:v>
      </x:c>
      <x:c r="B1318" s="30" t="str">
        <x:v>天然洞穴</x:v>
      </x:c>
      <x:c r="C1318" s="30" t="str">
        <x:v>T042</x:v>
      </x:c>
      <x:c r="D1318" s="30" t="str">
        <x:v>物资/器材补给</x:v>
      </x:c>
      <x:c r="E1318" s="30" t="str">
        <x:v>可候选；Agent决定是否创建/执行</x:v>
      </x:c>
      <x:c r="F1318" s="30" t="str">
        <x:v>基线：依实际装配启用</x:v>
      </x:c>
    </x:row>
    <x:row r="1319" ht="40" customHeight="1">
      <x:c r="A1319" s="30" t="str">
        <x:v>SC16</x:v>
      </x:c>
      <x:c r="B1319" s="30" t="str">
        <x:v>天然洞穴</x:v>
      </x:c>
      <x:c r="C1319" s="30" t="str">
        <x:v>T043</x:v>
      </x:c>
      <x:c r="D1319" s="30" t="str">
        <x:v>平台充电</x:v>
      </x:c>
      <x:c r="E1319" s="30" t="str">
        <x:v>可候选；Agent决定是否创建/执行</x:v>
      </x:c>
      <x:c r="F1319" s="30" t="str">
        <x:v>基线：依实际装配启用</x:v>
      </x:c>
    </x:row>
    <x:row r="1320" ht="40" customHeight="1">
      <x:c r="A1320" s="30" t="str">
        <x:v>SC16</x:v>
      </x:c>
      <x:c r="B1320" s="30" t="str">
        <x:v>天然洞穴</x:v>
      </x:c>
      <x:c r="C1320" s="30" t="str">
        <x:v>T044</x:v>
      </x:c>
      <x:c r="D1320" s="30" t="str">
        <x:v>平台换电</x:v>
      </x:c>
      <x:c r="E1320" s="30" t="str">
        <x:v>可候选；Agent决定是否创建/执行</x:v>
      </x:c>
      <x:c r="F1320" s="30" t="str">
        <x:v>基线：依实际装配启用</x:v>
      </x:c>
    </x:row>
    <x:row r="1321" ht="40" customHeight="1">
      <x:c r="A1321" s="30" t="str">
        <x:v>SC16</x:v>
      </x:c>
      <x:c r="B1321" s="30" t="str">
        <x:v>天然洞穴</x:v>
      </x:c>
      <x:c r="C1321" s="30" t="str">
        <x:v>T045</x:v>
      </x:c>
      <x:c r="D1321" s="30" t="str">
        <x:v>返航/返站与安全撤离</x:v>
      </x:c>
      <x:c r="E1321" s="30" t="str">
        <x:v>可候选；Agent决定是否创建/执行</x:v>
      </x:c>
      <x:c r="F1321" s="30" t="str">
        <x:v>基线：依实际装配启用</x:v>
      </x:c>
    </x:row>
    <x:row r="1322" ht="40" customHeight="1">
      <x:c r="A1322" s="30" t="str">
        <x:v>SC16</x:v>
      </x:c>
      <x:c r="B1322" s="30" t="str">
        <x:v>天然洞穴</x:v>
      </x:c>
      <x:c r="C1322" s="30" t="str">
        <x:v>T046</x:v>
      </x:c>
      <x:c r="D1322" s="30" t="str">
        <x:v>失效平台回收</x:v>
      </x:c>
      <x:c r="E1322" s="30" t="str">
        <x:v>可候选；Agent决定是否创建/执行</x:v>
      </x:c>
      <x:c r="F1322" s="30" t="str">
        <x:v>条件扩展：明确设备/专业服务后启用</x:v>
      </x:c>
    </x:row>
    <x:row r="1323" ht="40" customHeight="1">
      <x:c r="A1323" s="30" t="str">
        <x:v>SC16</x:v>
      </x:c>
      <x:c r="B1323" s="30" t="str">
        <x:v>天然洞穴</x:v>
      </x:c>
      <x:c r="C1323" s="30" t="str">
        <x:v>T047</x:v>
      </x:c>
      <x:c r="D1323" s="30" t="str">
        <x:v>链路探测与质量估计</x:v>
      </x:c>
      <x:c r="E1323" s="30" t="str">
        <x:v>可候选；Agent决定是否创建/执行</x:v>
      </x:c>
      <x:c r="F1323" s="30" t="str">
        <x:v>基线：依实际装配启用</x:v>
      </x:c>
    </x:row>
    <x:row r="1324" ht="40" customHeight="1">
      <x:c r="A1324" s="30" t="str">
        <x:v>SC16</x:v>
      </x:c>
      <x:c r="B1324" s="30" t="str">
        <x:v>天然洞穴</x:v>
      </x:c>
      <x:c r="C1324" s="30" t="str">
        <x:v>T048</x:v>
      </x:c>
      <x:c r="D1324" s="30" t="str">
        <x:v>通信会合与重定位</x:v>
      </x:c>
      <x:c r="E1324" s="30" t="str">
        <x:v>可候选；Agent决定是否创建/执行</x:v>
      </x:c>
      <x:c r="F1324" s="30" t="str">
        <x:v>基线：依实际装配启用</x:v>
      </x:c>
    </x:row>
    <x:row r="1325" ht="40" customHeight="1">
      <x:c r="A1325" s="30" t="str">
        <x:v>SC16</x:v>
      </x:c>
      <x:c r="B1325" s="30" t="str">
        <x:v>天然洞穴</x:v>
      </x:c>
      <x:c r="C1325" s="30" t="str">
        <x:v>T049</x:v>
      </x:c>
      <x:c r="D1325" s="30" t="str">
        <x:v>空中中继保持</x:v>
      </x:c>
      <x:c r="E1325" s="30" t="str">
        <x:v>可候选；Agent决定是否创建/执行</x:v>
      </x:c>
      <x:c r="F1325" s="30" t="str">
        <x:v>基线：依实际装配启用</x:v>
      </x:c>
    </x:row>
    <x:row r="1326" ht="40" customHeight="1">
      <x:c r="A1326" s="30" t="str">
        <x:v>SC16</x:v>
      </x:c>
      <x:c r="B1326" s="30" t="str">
        <x:v>天然洞穴</x:v>
      </x:c>
      <x:c r="C1326" s="30" t="str">
        <x:v>T050</x:v>
      </x:c>
      <x:c r="D1326" s="30" t="str">
        <x:v>通信节点布放</x:v>
      </x:c>
      <x:c r="E1326" s="30" t="str">
        <x:v>可候选；Agent决定是否创建/执行</x:v>
      </x:c>
      <x:c r="F1326" s="30" t="str">
        <x:v>条件扩展：明确设备/专业服务后启用</x:v>
      </x:c>
    </x:row>
    <x:row r="1327" ht="40" customHeight="1">
      <x:c r="A1327" s="30" t="str">
        <x:v>SC16</x:v>
      </x:c>
      <x:c r="B1327" s="30" t="str">
        <x:v>天然洞穴</x:v>
      </x:c>
      <x:c r="C1327" s="30" t="str">
        <x:v>T051</x:v>
      </x:c>
      <x:c r="D1327" s="30" t="str">
        <x:v>多跳业务转发</x:v>
      </x:c>
      <x:c r="E1327" s="30" t="str">
        <x:v>可候选；Agent决定是否创建/执行</x:v>
      </x:c>
      <x:c r="F1327" s="30" t="str">
        <x:v>基线：依实际装配启用</x:v>
      </x:c>
    </x:row>
    <x:row r="1328" ht="40" customHeight="1">
      <x:c r="A1328" s="30" t="str">
        <x:v>SC16</x:v>
      </x:c>
      <x:c r="B1328" s="30" t="str">
        <x:v>天然洞穴</x:v>
      </x:c>
      <x:c r="C1328" s="30" t="str">
        <x:v>T052</x:v>
      </x:c>
      <x:c r="D1328" s="30" t="str">
        <x:v>图像/证据数据上传</x:v>
      </x:c>
      <x:c r="E1328" s="30" t="str">
        <x:v>可候选；Agent决定是否创建/执行</x:v>
      </x:c>
      <x:c r="F1328" s="30" t="str">
        <x:v>基线：依实际装配启用</x:v>
      </x:c>
    </x:row>
    <x:row r="1329" ht="40" customHeight="1">
      <x:c r="A1329" s="30" t="str">
        <x:v>SC16</x:v>
      </x:c>
      <x:c r="B1329" s="30" t="str">
        <x:v>天然洞穴</x:v>
      </x:c>
      <x:c r="C1329" s="30" t="str">
        <x:v>T053</x:v>
      </x:c>
      <x:c r="D1329" s="30" t="str">
        <x:v>可靠回执与超时重传</x:v>
      </x:c>
      <x:c r="E1329" s="30" t="str">
        <x:v>可候选；Agent决定是否创建/执行</x:v>
      </x:c>
      <x:c r="F1329" s="30" t="str">
        <x:v>基线：依实际装配启用</x:v>
      </x:c>
    </x:row>
    <x:row r="1330" ht="40" customHeight="1">
      <x:c r="A1330" s="30" t="str">
        <x:v>SC16</x:v>
      </x:c>
      <x:c r="B1330" s="30" t="str">
        <x:v>天然洞穴</x:v>
      </x:c>
      <x:c r="C1330" s="30" t="str">
        <x:v>T054</x:v>
      </x:c>
      <x:c r="D1330" s="30" t="str">
        <x:v>断联存储-携带-转发</x:v>
      </x:c>
      <x:c r="E1330" s="30" t="str">
        <x:v>可候选；Agent决定是否创建/执行</x:v>
      </x:c>
      <x:c r="F1330" s="30" t="str">
        <x:v>基线：依实际装配启用</x:v>
      </x:c>
    </x:row>
    <x:row r="1331" ht="40" customHeight="1">
      <x:c r="A1331" s="30" t="str">
        <x:v>SC16</x:v>
      </x:c>
      <x:c r="B1331" s="30" t="str">
        <x:v>天然洞穴</x:v>
      </x:c>
      <x:c r="C1331" s="30" t="str">
        <x:v>T055</x:v>
      </x:c>
      <x:c r="D1331" s="30" t="str">
        <x:v>信道/功率/传输优先级调整</x:v>
      </x:c>
      <x:c r="E1331" s="30" t="str">
        <x:v>可候选；Agent决定是否创建/执行</x:v>
      </x:c>
      <x:c r="F1331" s="30" t="str">
        <x:v>基线：依实际装配启用</x:v>
      </x:c>
    </x:row>
    <x:row r="1332" ht="40" customHeight="1">
      <x:c r="A1332" s="30" t="str">
        <x:v>SC16</x:v>
      </x:c>
      <x:c r="B1332" s="30" t="str">
        <x:v>天然洞穴</x:v>
      </x:c>
      <x:c r="C1332" s="30" t="str">
        <x:v>T056</x:v>
      </x:c>
      <x:c r="D1332" s="30" t="str">
        <x:v>失联后的连接恢复</x:v>
      </x:c>
      <x:c r="E1332" s="30" t="str">
        <x:v>可候选；Agent决定是否创建/执行</x:v>
      </x:c>
      <x:c r="F1332" s="30" t="str">
        <x:v>基线：依实际装配启用</x:v>
      </x:c>
    </x:row>
    <x:row r="1333" ht="40" customHeight="1">
      <x:c r="A1333" s="30" t="str">
        <x:v>SC16</x:v>
      </x:c>
      <x:c r="B1333" s="30" t="str">
        <x:v>天然洞穴</x:v>
      </x:c>
      <x:c r="C1333" s="30" t="str">
        <x:v>T057</x:v>
      </x:c>
      <x:c r="D1333" s="30" t="str">
        <x:v>计算与模型服务发现</x:v>
      </x:c>
      <x:c r="E1333" s="30" t="str">
        <x:v>可候选；Agent决定是否创建/执行</x:v>
      </x:c>
      <x:c r="F1333" s="30" t="str">
        <x:v>基线：依实际装配启用</x:v>
      </x:c>
    </x:row>
    <x:row r="1334" ht="40" customHeight="1">
      <x:c r="A1334" s="30" t="str">
        <x:v>SC16</x:v>
      </x:c>
      <x:c r="B1334" s="30" t="str">
        <x:v>天然洞穴</x:v>
      </x:c>
      <x:c r="C1334" s="30" t="str">
        <x:v>T058</x:v>
      </x:c>
      <x:c r="D1334" s="30" t="str">
        <x:v>本地视觉检测</x:v>
      </x:c>
      <x:c r="E1334" s="30" t="str">
        <x:v>可候选；Agent决定是否创建/执行</x:v>
      </x:c>
      <x:c r="F1334" s="30" t="str">
        <x:v>基线：依实际装配启用</x:v>
      </x:c>
    </x:row>
    <x:row r="1335" ht="40" customHeight="1">
      <x:c r="A1335" s="30" t="str">
        <x:v>SC16</x:v>
      </x:c>
      <x:c r="B1335" s="30" t="str">
        <x:v>天然洞穴</x:v>
      </x:c>
      <x:c r="C1335" s="30" t="str">
        <x:v>T059</x:v>
      </x:c>
      <x:c r="D1335" s="30" t="str">
        <x:v>本地语义/任务推理</x:v>
      </x:c>
      <x:c r="E1335" s="30" t="str">
        <x:v>可候选；Agent决定是否创建/执行</x:v>
      </x:c>
      <x:c r="F1335" s="30" t="str">
        <x:v>基线：依实际装配启用</x:v>
      </x:c>
    </x:row>
    <x:row r="1336" ht="40" customHeight="1">
      <x:c r="A1336" s="30" t="str">
        <x:v>SC16</x:v>
      </x:c>
      <x:c r="B1336" s="30" t="str">
        <x:v>天然洞穴</x:v>
      </x:c>
      <x:c r="C1336" s="30" t="str">
        <x:v>T060</x:v>
      </x:c>
      <x:c r="D1336" s="30" t="str">
        <x:v>远程视觉复核/推理卸载</x:v>
      </x:c>
      <x:c r="E1336" s="30" t="str">
        <x:v>可候选；Agent决定是否创建/执行</x:v>
      </x:c>
      <x:c r="F1336" s="30" t="str">
        <x:v>基线：依实际装配启用</x:v>
      </x:c>
    </x:row>
    <x:row r="1337" ht="40" customHeight="1">
      <x:c r="A1337" s="30" t="str">
        <x:v>SC16</x:v>
      </x:c>
      <x:c r="B1337" s="30" t="str">
        <x:v>天然洞穴</x:v>
      </x:c>
      <x:c r="C1337" s="30" t="str">
        <x:v>T061</x:v>
      </x:c>
      <x:c r="D1337" s="30" t="str">
        <x:v>执行节点与模型选择</x:v>
      </x:c>
      <x:c r="E1337" s="30" t="str">
        <x:v>可候选；Agent决定是否创建/执行</x:v>
      </x:c>
      <x:c r="F1337" s="30" t="str">
        <x:v>基线：依实际装配启用</x:v>
      </x:c>
    </x:row>
    <x:row r="1338" ht="40" customHeight="1">
      <x:c r="A1338" s="30" t="str">
        <x:v>SC16</x:v>
      </x:c>
      <x:c r="B1338" s="30" t="str">
        <x:v>天然洞穴</x:v>
      </x:c>
      <x:c r="C1338" s="30" t="str">
        <x:v>T062</x:v>
      </x:c>
      <x:c r="D1338" s="30" t="str">
        <x:v>计算作业准入与排队</x:v>
      </x:c>
      <x:c r="E1338" s="30" t="str">
        <x:v>可候选；Agent决定是否创建/执行</x:v>
      </x:c>
      <x:c r="F1338" s="30" t="str">
        <x:v>基线：依实际装配启用</x:v>
      </x:c>
    </x:row>
    <x:row r="1339" ht="40" customHeight="1">
      <x:c r="A1339" s="30" t="str">
        <x:v>SC16</x:v>
      </x:c>
      <x:c r="B1339" s="30" t="str">
        <x:v>天然洞穴</x:v>
      </x:c>
      <x:c r="C1339" s="30" t="str">
        <x:v>T063</x:v>
      </x:c>
      <x:c r="D1339" s="30" t="str">
        <x:v>模型服务加载/卸载</x:v>
      </x:c>
      <x:c r="E1339" s="30" t="str">
        <x:v>可候选；Agent决定是否创建/执行</x:v>
      </x:c>
      <x:c r="F1339" s="30" t="str">
        <x:v>基线：依实际装配启用</x:v>
      </x:c>
    </x:row>
    <x:row r="1340" ht="40" customHeight="1">
      <x:c r="A1340" s="30" t="str">
        <x:v>SC16</x:v>
      </x:c>
      <x:c r="B1340" s="30" t="str">
        <x:v>天然洞穴</x:v>
      </x:c>
      <x:c r="C1340" s="30" t="str">
        <x:v>T064</x:v>
      </x:c>
      <x:c r="D1340" s="30" t="str">
        <x:v>上下文/表示缓存复用</x:v>
      </x:c>
      <x:c r="E1340" s="30" t="str">
        <x:v>可候选；Agent决定是否创建/执行</x:v>
      </x:c>
      <x:c r="F1340" s="30" t="str">
        <x:v>基线：依实际装配启用</x:v>
      </x:c>
    </x:row>
    <x:row r="1341" ht="40" customHeight="1">
      <x:c r="A1341" s="30" t="str">
        <x:v>SC16</x:v>
      </x:c>
      <x:c r="B1341" s="30" t="str">
        <x:v>天然洞穴</x:v>
      </x:c>
      <x:c r="C1341" s="30" t="str">
        <x:v>T065</x:v>
      </x:c>
      <x:c r="D1341" s="30" t="str">
        <x:v>服务/作业迁移与恢复</x:v>
      </x:c>
      <x:c r="E1341" s="30" t="str">
        <x:v>可候选；Agent决定是否创建/执行</x:v>
      </x:c>
      <x:c r="F1341" s="30" t="str">
        <x:v>条件扩展：明确设备/专业服务后启用</x:v>
      </x:c>
    </x:row>
    <x:row r="1342" ht="40" customHeight="1">
      <x:c r="A1342" s="30" t="str">
        <x:v>SC16</x:v>
      </x:c>
      <x:c r="B1342" s="30" t="str">
        <x:v>天然洞穴</x:v>
      </x:c>
      <x:c r="C1342" s="30" t="str">
        <x:v>T066</x:v>
      </x:c>
      <x:c r="D1342" s="30" t="str">
        <x:v>预算耗尽/失败作业取消重试</x:v>
      </x:c>
      <x:c r="E1342" s="30" t="str">
        <x:v>可候选；Agent决定是否创建/执行</x:v>
      </x:c>
      <x:c r="F1342" s="30" t="str">
        <x:v>基线：依实际装配启用</x:v>
      </x:c>
    </x:row>
    <x:row r="1343" ht="40" customHeight="1">
      <x:c r="A1343" s="30" t="str">
        <x:v>SC16</x:v>
      </x:c>
      <x:c r="B1343" s="30" t="str">
        <x:v>天然洞穴</x:v>
      </x:c>
      <x:c r="C1343" s="30" t="str">
        <x:v>T067</x:v>
      </x:c>
      <x:c r="D1343" s="30" t="str">
        <x:v>批处理/多源联合推理</x:v>
      </x:c>
      <x:c r="E1343" s="30" t="str">
        <x:v>可候选；Agent决定是否创建/执行</x:v>
      </x:c>
      <x:c r="F1343" s="30" t="str">
        <x:v>基线：依实际装配启用</x:v>
      </x:c>
    </x:row>
    <x:row r="1344" ht="40" customHeight="1">
      <x:c r="A1344" s="30" t="str">
        <x:v>SC16</x:v>
      </x:c>
      <x:c r="B1344" s="30" t="str">
        <x:v>天然洞穴</x:v>
      </x:c>
      <x:c r="C1344" s="30" t="str">
        <x:v>T068</x:v>
      </x:c>
      <x:c r="D1344" s="30" t="str">
        <x:v>计算资源释放与缓存清理</x:v>
      </x:c>
      <x:c r="E1344" s="30" t="str">
        <x:v>可候选；Agent决定是否创建/执行</x:v>
      </x:c>
      <x:c r="F1344" s="30" t="str">
        <x:v>基线：依实际装配启用</x:v>
      </x:c>
    </x:row>
    <x:row r="1345" ht="40" customHeight="1">
      <x:c r="A1345" s="30" t="str">
        <x:v>SC16</x:v>
      </x:c>
      <x:c r="B1345" s="30" t="str">
        <x:v>天然洞穴</x:v>
      </x:c>
      <x:c r="C1345" s="30" t="str">
        <x:v>T069</x:v>
      </x:c>
      <x:c r="D1345" s="30" t="str">
        <x:v>跨源时间坐标对齐</x:v>
      </x:c>
      <x:c r="E1345" s="30" t="str">
        <x:v>可候选；Agent决定是否创建/执行</x:v>
      </x:c>
      <x:c r="F1345" s="30" t="str">
        <x:v>基线：依实际装配启用</x:v>
      </x:c>
    </x:row>
    <x:row r="1346" ht="40" customHeight="1">
      <x:c r="A1346" s="30" t="str">
        <x:v>SC16</x:v>
      </x:c>
      <x:c r="B1346" s="30" t="str">
        <x:v>天然洞穴</x:v>
      </x:c>
      <x:c r="C1346" s="30" t="str">
        <x:v>T070</x:v>
      </x:c>
      <x:c r="D1346" s="30" t="str">
        <x:v>任务条件化本地历史检索</x:v>
      </x:c>
      <x:c r="E1346" s="30" t="str">
        <x:v>可候选；Agent决定是否创建/执行</x:v>
      </x:c>
      <x:c r="F1346" s="30" t="str">
        <x:v>基线：依实际装配启用</x:v>
      </x:c>
    </x:row>
    <x:row r="1347" ht="40" customHeight="1">
      <x:c r="A1347" s="30" t="str">
        <x:v>SC16</x:v>
      </x:c>
      <x:c r="B1347" s="30" t="str">
        <x:v>天然洞穴</x:v>
      </x:c>
      <x:c r="C1347" s="30" t="str">
        <x:v>T071</x:v>
      </x:c>
      <x:c r="D1347" s="30" t="str">
        <x:v>图像裁剪/编码/证据打包</x:v>
      </x:c>
      <x:c r="E1347" s="30" t="str">
        <x:v>可候选；Agent决定是否创建/执行</x:v>
      </x:c>
      <x:c r="F1347" s="30" t="str">
        <x:v>基线：依实际装配启用</x:v>
      </x:c>
    </x:row>
    <x:row r="1348" ht="40" customHeight="1">
      <x:c r="A1348" s="30" t="str">
        <x:v>SC16</x:v>
      </x:c>
      <x:c r="B1348" s="30" t="str">
        <x:v>天然洞穴</x:v>
      </x:c>
      <x:c r="C1348" s="30" t="str">
        <x:v>T072</x:v>
      </x:c>
      <x:c r="D1348" s="30" t="str">
        <x:v>置信度与证据充分性判断</x:v>
      </x:c>
      <x:c r="E1348" s="30" t="str">
        <x:v>可候选；Agent决定是否创建/执行</x:v>
      </x:c>
      <x:c r="F1348" s="30" t="str">
        <x:v>基线：依实际装配启用</x:v>
      </x:c>
    </x:row>
    <x:row r="1349" ht="40" customHeight="1">
      <x:c r="A1349" s="30" t="str">
        <x:v>SC16</x:v>
      </x:c>
      <x:c r="B1349" s="30" t="str">
        <x:v>天然洞穴</x:v>
      </x:c>
      <x:c r="C1349" s="30" t="str">
        <x:v>T073</x:v>
      </x:c>
      <x:c r="D1349" s="30" t="str">
        <x:v>多源融合与冲突更正</x:v>
      </x:c>
      <x:c r="E1349" s="30" t="str">
        <x:v>可候选；Agent决定是否创建/执行</x:v>
      </x:c>
      <x:c r="F1349" s="30" t="str">
        <x:v>基线：依实际装配启用</x:v>
      </x:c>
    </x:row>
    <x:row r="1350" ht="40" customHeight="1">
      <x:c r="A1350" s="30" t="str">
        <x:v>SC16</x:v>
      </x:c>
      <x:c r="B1350" s="30" t="str">
        <x:v>天然洞穴</x:v>
      </x:c>
      <x:c r="C1350" s="30" t="str">
        <x:v>T074</x:v>
      </x:c>
      <x:c r="D1350" s="30" t="str">
        <x:v>面向任务的信息选择与共享</x:v>
      </x:c>
      <x:c r="E1350" s="30" t="str">
        <x:v>可候选；Agent决定是否创建/执行</x:v>
      </x:c>
      <x:c r="F1350" s="30" t="str">
        <x:v>基线：依实际装配启用</x:v>
      </x:c>
    </x:row>
    <x:row r="1351" ht="40" customHeight="1">
      <x:c r="A1351" s="30" t="str">
        <x:v>SC16</x:v>
      </x:c>
      <x:c r="B1351" s="30" t="str">
        <x:v>天然洞穴</x:v>
      </x:c>
      <x:c r="C1351" s="30" t="str">
        <x:v>T075</x:v>
      </x:c>
      <x:c r="D1351" s="30" t="str">
        <x:v>局部信念与过时信息维护</x:v>
      </x:c>
      <x:c r="E1351" s="30" t="str">
        <x:v>可候选；Agent决定是否创建/执行</x:v>
      </x:c>
      <x:c r="F1351" s="30" t="str">
        <x:v>基线：依实际装配启用</x:v>
      </x:c>
    </x:row>
    <x:row r="1352" ht="40" customHeight="1">
      <x:c r="A1352" s="30" t="str">
        <x:v>SC16</x:v>
      </x:c>
      <x:c r="B1352" s="30" t="str">
        <x:v>天然洞穴</x:v>
      </x:c>
      <x:c r="C1352" s="30" t="str">
        <x:v>T076</x:v>
      </x:c>
      <x:c r="D1352" s="30" t="str">
        <x:v>轨迹/证据归档与回放</x:v>
      </x:c>
      <x:c r="E1352" s="30" t="str">
        <x:v>可候选；Agent决定是否创建/执行</x:v>
      </x:c>
      <x:c r="F1352" s="30" t="str">
        <x:v>基线：依实际装配启用</x:v>
      </x:c>
    </x:row>
    <x:row r="1353" ht="40" customHeight="1">
      <x:c r="A1353" s="30" t="str">
        <x:v>SC16</x:v>
      </x:c>
      <x:c r="B1353" s="30" t="str">
        <x:v>天然洞穴</x:v>
      </x:c>
      <x:c r="C1353" s="30" t="str">
        <x:v>T077</x:v>
      </x:c>
      <x:c r="D1353" s="30" t="str">
        <x:v>接收并解释当前使命</x:v>
      </x:c>
      <x:c r="E1353" s="30" t="str">
        <x:v>可候选；Agent决定是否创建/执行</x:v>
      </x:c>
      <x:c r="F1353" s="30" t="str">
        <x:v>基线：依实际装配启用</x:v>
      </x:c>
    </x:row>
    <x:row r="1354" ht="40" customHeight="1">
      <x:c r="A1354" s="30" t="str">
        <x:v>SC16</x:v>
      </x:c>
      <x:c r="B1354" s="30" t="str">
        <x:v>天然洞穴</x:v>
      </x:c>
      <x:c r="C1354" s="30" t="str">
        <x:v>T078</x:v>
      </x:c>
      <x:c r="D1354" s="30" t="str">
        <x:v>自主任务分解与候选生成</x:v>
      </x:c>
      <x:c r="E1354" s="30" t="str">
        <x:v>可候选；Agent决定是否创建/执行</x:v>
      </x:c>
      <x:c r="F1354" s="30" t="str">
        <x:v>基线：依实际装配启用</x:v>
      </x:c>
    </x:row>
    <x:row r="1355" ht="40" customHeight="1">
      <x:c r="A1355" s="30" t="str">
        <x:v>SC16</x:v>
      </x:c>
      <x:c r="B1355" s="30" t="str">
        <x:v>天然洞穴</x:v>
      </x:c>
      <x:c r="C1355" s="30" t="str">
        <x:v>T079</x:v>
      </x:c>
      <x:c r="D1355" s="30" t="str">
        <x:v>本机参与筛选与出价</x:v>
      </x:c>
      <x:c r="E1355" s="30" t="str">
        <x:v>可候选；Agent决定是否创建/执行</x:v>
      </x:c>
      <x:c r="F1355" s="30" t="str">
        <x:v>基线：依实际装配启用</x:v>
      </x:c>
    </x:row>
    <x:row r="1356" ht="40" customHeight="1">
      <x:c r="A1356" s="30" t="str">
        <x:v>SC16</x:v>
      </x:c>
      <x:c r="B1356" s="30" t="str">
        <x:v>天然洞穴</x:v>
      </x:c>
      <x:c r="C1356" s="30" t="str">
        <x:v>T080</x:v>
      </x:c>
      <x:c r="D1356" s="30" t="str">
        <x:v>多平台任务分配与协调</x:v>
      </x:c>
      <x:c r="E1356" s="30" t="str">
        <x:v>可候选；Agent决定是否创建/执行</x:v>
      </x:c>
      <x:c r="F1356" s="30" t="str">
        <x:v>基线：依实际装配启用</x:v>
      </x:c>
    </x:row>
    <x:row r="1357" ht="40" customHeight="1">
      <x:c r="A1357" s="30" t="str">
        <x:v>SC16</x:v>
      </x:c>
      <x:c r="B1357" s="30" t="str">
        <x:v>天然洞穴</x:v>
      </x:c>
      <x:c r="C1357" s="30" t="str">
        <x:v>T081</x:v>
      </x:c>
      <x:c r="D1357" s="30" t="str">
        <x:v>任务接受/拒绝与承诺</x:v>
      </x:c>
      <x:c r="E1357" s="30" t="str">
        <x:v>可候选；Agent决定是否创建/执行</x:v>
      </x:c>
      <x:c r="F1357" s="30" t="str">
        <x:v>基线：依实际装配启用</x:v>
      </x:c>
    </x:row>
    <x:row r="1358" ht="40" customHeight="1">
      <x:c r="A1358" s="30" t="str">
        <x:v>SC16</x:v>
      </x:c>
      <x:c r="B1358" s="30" t="str">
        <x:v>天然洞穴</x:v>
      </x:c>
      <x:c r="C1358" s="30" t="str">
        <x:v>T082</x:v>
      </x:c>
      <x:c r="D1358" s="30" t="str">
        <x:v>进度监控与完成确认</x:v>
      </x:c>
      <x:c r="E1358" s="30" t="str">
        <x:v>可候选；Agent决定是否创建/执行</x:v>
      </x:c>
      <x:c r="F1358" s="30" t="str">
        <x:v>基线：依实际装配启用</x:v>
      </x:c>
    </x:row>
    <x:row r="1359" ht="40" customHeight="1">
      <x:c r="A1359" s="30" t="str">
        <x:v>SC16</x:v>
      </x:c>
      <x:c r="B1359" s="30" t="str">
        <x:v>天然洞穴</x:v>
      </x:c>
      <x:c r="C1359" s="30" t="str">
        <x:v>T083</x:v>
      </x:c>
      <x:c r="D1359" s="30" t="str">
        <x:v>任务取消/抢占</x:v>
      </x:c>
      <x:c r="E1359" s="30" t="str">
        <x:v>可候选；Agent决定是否创建/执行</x:v>
      </x:c>
      <x:c r="F1359" s="30" t="str">
        <x:v>基线：依实际装配启用</x:v>
      </x:c>
    </x:row>
    <x:row r="1360" ht="40" customHeight="1">
      <x:c r="A1360" s="30" t="str">
        <x:v>SC16</x:v>
      </x:c>
      <x:c r="B1360" s="30" t="str">
        <x:v>天然洞穴</x:v>
      </x:c>
      <x:c r="C1360" s="30" t="str">
        <x:v>T084</x:v>
      </x:c>
      <x:c r="D1360" s="30" t="str">
        <x:v>恢复原任务</x:v>
      </x:c>
      <x:c r="E1360" s="30" t="str">
        <x:v>可候选；Agent决定是否创建/执行</x:v>
      </x:c>
      <x:c r="F1360" s="30" t="str">
        <x:v>基线：依实际装配启用</x:v>
      </x:c>
    </x:row>
    <x:row r="1361" ht="40" customHeight="1">
      <x:c r="A1361" s="30" t="str">
        <x:v>SC16</x:v>
      </x:c>
      <x:c r="B1361" s="30" t="str">
        <x:v>天然洞穴</x:v>
      </x:c>
      <x:c r="C1361" s="30" t="str">
        <x:v>T085</x:v>
      </x:c>
      <x:c r="D1361" s="30" t="str">
        <x:v>跨Agent任务与证据交接</x:v>
      </x:c>
      <x:c r="E1361" s="30" t="str">
        <x:v>可候选；Agent决定是否创建/执行</x:v>
      </x:c>
      <x:c r="F1361" s="30" t="str">
        <x:v>基线：依实际装配启用</x:v>
      </x:c>
    </x:row>
    <x:row r="1362" ht="40" customHeight="1">
      <x:c r="A1362" s="30" t="str">
        <x:v>SC16</x:v>
      </x:c>
      <x:c r="B1362" s="30" t="str">
        <x:v>天然洞穴</x:v>
      </x:c>
      <x:c r="C1362" s="30" t="str">
        <x:v>T086</x:v>
      </x:c>
      <x:c r="D1362" s="30" t="str">
        <x:v>失败重规划与重派</x:v>
      </x:c>
      <x:c r="E1362" s="30" t="str">
        <x:v>可候选；Agent决定是否创建/执行</x:v>
      </x:c>
      <x:c r="F1362" s="30" t="str">
        <x:v>基线：依实际装配启用</x:v>
      </x:c>
    </x:row>
    <x:row r="1363" ht="40" customHeight="1">
      <x:c r="A1363" s="30" t="str">
        <x:v>SC16</x:v>
      </x:c>
      <x:c r="B1363" s="30" t="str">
        <x:v>天然洞穴</x:v>
      </x:c>
      <x:c r="C1363" s="30" t="str">
        <x:v>T087</x:v>
      </x:c>
      <x:c r="D1363" s="30" t="str">
        <x:v>请求专业救援/工程力量</x:v>
      </x:c>
      <x:c r="E1363" s="30" t="str">
        <x:v>可候选；Agent决定是否创建/执行</x:v>
      </x:c>
      <x:c r="F1363" s="30" t="str">
        <x:v>基线：依实际装配启用</x:v>
      </x:c>
    </x:row>
    <x:row r="1364" ht="40" customHeight="1">
      <x:c r="A1364" s="30" t="str">
        <x:v>SC16</x:v>
      </x:c>
      <x:c r="B1364" s="30" t="str">
        <x:v>天然洞穴</x:v>
      </x:c>
      <x:c r="C1364" s="30" t="str">
        <x:v>T088</x:v>
      </x:c>
      <x:c r="D1364" s="30" t="str">
        <x:v>工作现场闭合与阶段移交</x:v>
      </x:c>
      <x:c r="E1364" s="30" t="str">
        <x:v>可候选；Agent决定是否创建/执行</x:v>
      </x:c>
      <x:c r="F1364" s="30" t="str">
        <x:v>基线：依实际装配启用</x:v>
      </x:c>
    </x:row>
    <x:row r="1365" ht="40" customHeight="1">
      <x:c r="A1365" s="30" t="str">
        <x:v>SC16</x:v>
      </x:c>
      <x:c r="B1365" s="30" t="str">
        <x:v>天然洞穴</x:v>
      </x:c>
      <x:c r="C1365" s="30" t="str">
        <x:v>T089</x:v>
      </x:c>
      <x:c r="D1365" s="30" t="str">
        <x:v>次生危险动态监视</x:v>
      </x:c>
      <x:c r="E1365" s="30" t="str">
        <x:v>可候选；Agent决定是否创建/执行</x:v>
      </x:c>
      <x:c r="F1365" s="30" t="str">
        <x:v>基线：依实际装配启用</x:v>
      </x:c>
    </x:row>
    <x:row r="1366" ht="40" customHeight="1">
      <x:c r="A1366" s="30" t="str">
        <x:v>SC16</x:v>
      </x:c>
      <x:c r="B1366" s="30" t="str">
        <x:v>天然洞穴</x:v>
      </x:c>
      <x:c r="C1366" s="30" t="str">
        <x:v>T090</x:v>
      </x:c>
      <x:c r="D1366" s="30" t="str">
        <x:v>平台/能源/服务健康监视</x:v>
      </x:c>
      <x:c r="E1366" s="30" t="str">
        <x:v>可候选；Agent决定是否创建/执行</x:v>
      </x:c>
      <x:c r="F1366" s="30" t="str">
        <x:v>基线：依实际装配启用</x:v>
      </x:c>
    </x:row>
    <x:row r="1367" ht="40" customHeight="1">
      <x:c r="A1367" s="30" t="str">
        <x:v>SC16</x:v>
      </x:c>
      <x:c r="B1367" s="30" t="str">
        <x:v>天然洞穴</x:v>
      </x:c>
      <x:c r="C1367" s="30" t="str">
        <x:v>T091</x:v>
      </x:c>
      <x:c r="D1367" s="30" t="str">
        <x:v>安全等待与驻留观察</x:v>
      </x:c>
      <x:c r="E1367" s="30" t="str">
        <x:v>可候选；Agent决定是否创建/执行</x:v>
      </x:c>
      <x:c r="F1367" s="30" t="str">
        <x:v>基线：依实际装配启用</x:v>
      </x:c>
    </x:row>
    <x:row r="1368" ht="40" customHeight="1">
      <x:c r="A1368" s="30" t="str">
        <x:v>SC16</x:v>
      </x:c>
      <x:c r="B1368" s="30" t="str">
        <x:v>天然洞穴</x:v>
      </x:c>
      <x:c r="C1368" s="30" t="str">
        <x:v>T092</x:v>
      </x:c>
      <x:c r="D1368" s="30" t="str">
        <x:v>设备/传感器/服务故障诊断</x:v>
      </x:c>
      <x:c r="E1368" s="30" t="str">
        <x:v>可候选；Agent决定是否创建/执行</x:v>
      </x:c>
      <x:c r="F1368" s="30" t="str">
        <x:v>基线：依实际装配启用</x:v>
      </x:c>
    </x:row>
    <x:row r="1369" ht="40" customHeight="1">
      <x:c r="A1369" s="30" t="str">
        <x:v>SC16</x:v>
      </x:c>
      <x:c r="B1369" s="30" t="str">
        <x:v>天然洞穴</x:v>
      </x:c>
      <x:c r="C1369" s="30" t="str">
        <x:v>T095</x:v>
      </x:c>
      <x:c r="D1369" s="30" t="str">
        <x:v>危险源隔离/警戒区建立</x:v>
      </x:c>
      <x:c r="E1369" s="30" t="str">
        <x:v>可候选；Agent决定是否创建/执行</x:v>
      </x:c>
      <x:c r="F1369" s="30" t="str">
        <x:v>条件扩展：明确设备/专业服务后启用</x:v>
      </x:c>
    </x:row>
    <x:row r="1370" ht="40" customHeight="1">
      <x:c r="A1370" s="30" t="str">
        <x:v>SC16</x:v>
      </x:c>
      <x:c r="B1370" s="30" t="str">
        <x:v>天然洞穴</x:v>
      </x:c>
      <x:c r="C1370" s="30" t="str">
        <x:v>T096</x:v>
      </x:c>
      <x:c r="D1370" s="30" t="str">
        <x:v>跨模型特征/潜表示适配</x:v>
      </x:c>
      <x:c r="E1370" s="30" t="str">
        <x:v>可候选；Agent决定是否创建/执行</x:v>
      </x:c>
      <x:c r="F1370" s="30" t="str">
        <x:v>条件扩展：明确设备/专业服务后启用</x:v>
      </x:c>
    </x:row>
    <x:row r="1371" ht="40" customHeight="1">
      <x:c r="A1371" s="30" t="str">
        <x:v>SC17</x:v>
      </x:c>
      <x:c r="B1371" s="30" t="str">
        <x:v>交通/工业事故与多伤员现场</x:v>
      </x:c>
      <x:c r="C1371" s="30" t="str">
        <x:v>T001</x:v>
      </x:c>
      <x:c r="D1371" s="30" t="str">
        <x:v>区域快速普查</x:v>
      </x:c>
      <x:c r="E1371" s="30" t="str">
        <x:v>可候选；Agent决定是否创建/执行</x:v>
      </x:c>
      <x:c r="F1371" s="30" t="str">
        <x:v>基线：依实际装配启用</x:v>
      </x:c>
    </x:row>
    <x:row r="1372" ht="40" customHeight="1">
      <x:c r="A1372" s="30" t="str">
        <x:v>SC17</x:v>
      </x:c>
      <x:c r="B1372" s="30" t="str">
        <x:v>交通/工业事故与多伤员现场</x:v>
      </x:c>
      <x:c r="C1372" s="30" t="str">
        <x:v>T003</x:v>
      </x:c>
      <x:c r="D1372" s="30" t="str">
        <x:v>道路与通路灾后评估</x:v>
      </x:c>
      <x:c r="E1372" s="30" t="str">
        <x:v>可候选；Agent决定是否创建/执行</x:v>
      </x:c>
      <x:c r="F1372" s="30" t="str">
        <x:v>基线：依实际装配启用</x:v>
      </x:c>
    </x:row>
    <x:row r="1373" ht="40" customHeight="1">
      <x:c r="A1373" s="30" t="str">
        <x:v>SC17</x:v>
      </x:c>
      <x:c r="B1373" s="30" t="str">
        <x:v>交通/工业事故与多伤员现场</x:v>
      </x:c>
      <x:c r="C1373" s="30" t="str">
        <x:v>T004</x:v>
      </x:c>
      <x:c r="D1373" s="30" t="str">
        <x:v>入口与屋顶交付区检查</x:v>
      </x:c>
      <x:c r="E1373" s="30" t="str">
        <x:v>可候选；Agent决定是否创建/执行</x:v>
      </x:c>
      <x:c r="F1373" s="30" t="str">
        <x:v>基线：依实际装配启用</x:v>
      </x:c>
    </x:row>
    <x:row r="1374" ht="40" customHeight="1">
      <x:c r="A1374" s="30" t="str">
        <x:v>SC17</x:v>
      </x:c>
      <x:c r="B1374" s="30" t="str">
        <x:v>交通/工业事故与多伤员现场</x:v>
      </x:c>
      <x:c r="C1374" s="30" t="str">
        <x:v>T006</x:v>
      </x:c>
      <x:c r="D1374" s="30" t="str">
        <x:v>火烟与危险源侦察</x:v>
      </x:c>
      <x:c r="E1374" s="30" t="str">
        <x:v>可候选；Agent决定是否创建/执行</x:v>
      </x:c>
      <x:c r="F1374" s="30" t="str">
        <x:v>基线：依实际装配启用</x:v>
      </x:c>
    </x:row>
    <x:row r="1375" ht="40" customHeight="1">
      <x:c r="A1375" s="30" t="str">
        <x:v>SC17</x:v>
      </x:c>
      <x:c r="B1375" s="30" t="str">
        <x:v>交通/工业事故与多伤员现场</x:v>
      </x:c>
      <x:c r="C1375" s="30" t="str">
        <x:v>T008</x:v>
      </x:c>
      <x:c r="D1375" s="30" t="str">
        <x:v>建筑/区域覆盖登记</x:v>
      </x:c>
      <x:c r="E1375" s="30" t="str">
        <x:v>可候选；Agent决定是否创建/执行</x:v>
      </x:c>
      <x:c r="F1375" s="30" t="str">
        <x:v>基线：依实际装配启用</x:v>
      </x:c>
    </x:row>
    <x:row r="1376" ht="40" customHeight="1">
      <x:c r="A1376" s="30" t="str">
        <x:v>SC17</x:v>
      </x:c>
      <x:c r="B1376" s="30" t="str">
        <x:v>交通/工业事故与多伤员现场</x:v>
      </x:c>
      <x:c r="C1376" s="30" t="str">
        <x:v>T009</x:v>
      </x:c>
      <x:c r="D1376" s="30" t="str">
        <x:v>系统空中人员搜索</x:v>
      </x:c>
      <x:c r="E1376" s="30" t="str">
        <x:v>可候选；Agent决定是否创建/执行</x:v>
      </x:c>
      <x:c r="F1376" s="30" t="str">
        <x:v>基线：依实际装配启用</x:v>
      </x:c>
    </x:row>
    <x:row r="1377" ht="40" customHeight="1">
      <x:c r="A1377" s="30" t="str">
        <x:v>SC17</x:v>
      </x:c>
      <x:c r="B1377" s="30" t="str">
        <x:v>交通/工业事故与多伤员现场</x:v>
      </x:c>
      <x:c r="C1377" s="30" t="str">
        <x:v>T010</x:v>
      </x:c>
      <x:c r="D1377" s="30" t="str">
        <x:v>线索发现与语义解读</x:v>
      </x:c>
      <x:c r="E1377" s="30" t="str">
        <x:v>可候选；Agent决定是否创建/执行</x:v>
      </x:c>
      <x:c r="F1377" s="30" t="str">
        <x:v>基线：依实际装配启用</x:v>
      </x:c>
    </x:row>
    <x:row r="1378" ht="40" customHeight="1">
      <x:c r="A1378" s="30" t="str">
        <x:v>SC17</x:v>
      </x:c>
      <x:c r="B1378" s="30" t="str">
        <x:v>交通/工业事故与多伤员现场</x:v>
      </x:c>
      <x:c r="C1378" s="30" t="str">
        <x:v>T011</x:v>
      </x:c>
      <x:c r="D1378" s="30" t="str">
        <x:v>疑似目标多视角复核</x:v>
      </x:c>
      <x:c r="E1378" s="30" t="str">
        <x:v>可候选；Agent决定是否创建/执行</x:v>
      </x:c>
      <x:c r="F1378" s="30" t="str">
        <x:v>基线：依实际装配启用</x:v>
      </x:c>
    </x:row>
    <x:row r="1379" ht="40" customHeight="1">
      <x:c r="A1379" s="30" t="str">
        <x:v>SC17</x:v>
      </x:c>
      <x:c r="B1379" s="30" t="str">
        <x:v>交通/工业事故与多伤员现场</x:v>
      </x:c>
      <x:c r="C1379" s="30" t="str">
        <x:v>T012</x:v>
      </x:c>
      <x:c r="D1379" s="30" t="str">
        <x:v>目标定位跟踪与跨视角关联</x:v>
      </x:c>
      <x:c r="E1379" s="30" t="str">
        <x:v>可候选；Agent决定是否创建/执行</x:v>
      </x:c>
      <x:c r="F1379" s="30" t="str">
        <x:v>基线：依实际装配启用</x:v>
      </x:c>
    </x:row>
    <x:row r="1380" ht="40" customHeight="1">
      <x:c r="A1380" s="30" t="str">
        <x:v>SC17</x:v>
      </x:c>
      <x:c r="B1380" s="30" t="str">
        <x:v>交通/工业事故与多伤员现场</x:v>
      </x:c>
      <x:c r="C1380" s="30" t="str">
        <x:v>T013</x:v>
      </x:c>
      <x:c r="D1380" s="30" t="str">
        <x:v>近地外部与狭窄区搜索</x:v>
      </x:c>
      <x:c r="E1380" s="30" t="str">
        <x:v>可候选；Agent决定是否创建/执行</x:v>
      </x:c>
      <x:c r="F1380" s="30" t="str">
        <x:v>基线：依实际装配启用</x:v>
      </x:c>
    </x:row>
    <x:row r="1381" ht="40" customHeight="1">
      <x:c r="A1381" s="30" t="str">
        <x:v>SC17</x:v>
      </x:c>
      <x:c r="B1381" s="30" t="str">
        <x:v>交通/工业事故与多伤员现场</x:v>
      </x:c>
      <x:c r="C1381" s="30" t="str">
        <x:v>T014</x:v>
      </x:c>
      <x:c r="D1381" s="30" t="str">
        <x:v>建筑内部初次抽象搜索</x:v>
      </x:c>
      <x:c r="E1381" s="30" t="str">
        <x:v>可候选；Agent决定是否创建/执行</x:v>
      </x:c>
      <x:c r="F1381" s="30" t="str">
        <x:v>基线：依实际装配启用</x:v>
      </x:c>
    </x:row>
    <x:row r="1382" ht="40" customHeight="1">
      <x:c r="A1382" s="30" t="str">
        <x:v>SC17</x:v>
      </x:c>
      <x:c r="B1382" s="30" t="str">
        <x:v>交通/工业事故与多伤员现场</x:v>
      </x:c>
      <x:c r="C1382" s="30" t="str">
        <x:v>T015</x:v>
      </x:c>
      <x:c r="D1382" s="30" t="str">
        <x:v>建筑内部复搜/完整搜索</x:v>
      </x:c>
      <x:c r="E1382" s="30" t="str">
        <x:v>可候选；Agent决定是否创建/执行</x:v>
      </x:c>
      <x:c r="F1382" s="30" t="str">
        <x:v>基线：依实际装配启用</x:v>
      </x:c>
    </x:row>
    <x:row r="1383" ht="40" customHeight="1">
      <x:c r="A1383" s="30" t="str">
        <x:v>SC17</x:v>
      </x:c>
      <x:c r="B1383" s="30" t="str">
        <x:v>交通/工业事故与多伤员现场</x:v>
      </x:c>
      <x:c r="C1383" s="30" t="str">
        <x:v>T016</x:v>
      </x:c>
      <x:c r="D1383" s="30" t="str">
        <x:v>热成像补充搜索</x:v>
      </x:c>
      <x:c r="E1383" s="30" t="str">
        <x:v>可候选；Agent决定是否创建/执行</x:v>
      </x:c>
      <x:c r="F1383" s="30" t="str">
        <x:v>条件扩展：明确设备/专业服务后启用</x:v>
      </x:c>
    </x:row>
    <x:row r="1384" ht="40" customHeight="1">
      <x:c r="A1384" s="30" t="str">
        <x:v>SC17</x:v>
      </x:c>
      <x:c r="B1384" s="30" t="str">
        <x:v>交通/工业事故与多伤员现场</x:v>
      </x:c>
      <x:c r="C1384" s="30" t="str">
        <x:v>T017</x:v>
      </x:c>
      <x:c r="D1384" s="30" t="str">
        <x:v>声音线索搜索</x:v>
      </x:c>
      <x:c r="E1384" s="30" t="str">
        <x:v>可候选；Agent决定是否创建/执行</x:v>
      </x:c>
      <x:c r="F1384" s="30" t="str">
        <x:v>条件扩展：明确设备/专业服务后启用</x:v>
      </x:c>
    </x:row>
    <x:row r="1385" ht="40" customHeight="1">
      <x:c r="A1385" s="30" t="str">
        <x:v>SC17</x:v>
      </x:c>
      <x:c r="B1385" s="30" t="str">
        <x:v>交通/工业事故与多伤员现场</x:v>
      </x:c>
      <x:c r="C1385" s="30" t="str">
        <x:v>T018</x:v>
      </x:c>
      <x:c r="D1385" s="30" t="str">
        <x:v>RF/手机线索搜索</x:v>
      </x:c>
      <x:c r="E1385" s="30" t="str">
        <x:v>可候选；Agent决定是否创建/执行</x:v>
      </x:c>
      <x:c r="F1385" s="30" t="str">
        <x:v>条件扩展：明确设备/专业服务后启用</x:v>
      </x:c>
    </x:row>
    <x:row r="1386" ht="40" customHeight="1">
      <x:c r="A1386" s="30" t="str">
        <x:v>SC17</x:v>
      </x:c>
      <x:c r="B1386" s="30" t="str">
        <x:v>交通/工业事故与多伤员现场</x:v>
      </x:c>
      <x:c r="C1386" s="30" t="str">
        <x:v>T019</x:v>
      </x:c>
      <x:c r="D1386" s="30" t="str">
        <x:v>空中转场与观察点到达</x:v>
      </x:c>
      <x:c r="E1386" s="30" t="str">
        <x:v>可候选；Agent决定是否创建/执行</x:v>
      </x:c>
      <x:c r="F1386" s="30" t="str">
        <x:v>基线：依实际装配启用</x:v>
      </x:c>
    </x:row>
    <x:row r="1387" ht="40" customHeight="1">
      <x:c r="A1387" s="30" t="str">
        <x:v>SC17</x:v>
      </x:c>
      <x:c r="B1387" s="30" t="str">
        <x:v>交通/工业事故与多伤员现场</x:v>
      </x:c>
      <x:c r="C1387" s="30" t="str">
        <x:v>T020</x:v>
      </x:c>
      <x:c r="D1387" s="30" t="str">
        <x:v>地面转场与绕行</x:v>
      </x:c>
      <x:c r="E1387" s="30" t="str">
        <x:v>可候选；Agent决定是否创建/执行</x:v>
      </x:c>
      <x:c r="F1387" s="30" t="str">
        <x:v>基线：依实际装配启用</x:v>
      </x:c>
    </x:row>
    <x:row r="1388" ht="40" customHeight="1">
      <x:c r="A1388" s="30" t="str">
        <x:v>SC17</x:v>
      </x:c>
      <x:c r="B1388" s="30" t="str">
        <x:v>交通/工业事故与多伤员现场</x:v>
      </x:c>
      <x:c r="C1388" s="30" t="str">
        <x:v>T021</x:v>
      </x:c>
      <x:c r="D1388" s="30" t="str">
        <x:v>障碍接近探测与路径验证</x:v>
      </x:c>
      <x:c r="E1388" s="30" t="str">
        <x:v>可候选；Agent决定是否创建/执行</x:v>
      </x:c>
      <x:c r="F1388" s="30" t="str">
        <x:v>基线：依实际装配启用</x:v>
      </x:c>
    </x:row>
    <x:row r="1389" ht="40" customHeight="1">
      <x:c r="A1389" s="30" t="str">
        <x:v>SC17</x:v>
      </x:c>
      <x:c r="B1389" s="30" t="str">
        <x:v>交通/工业事故与多伤员现场</x:v>
      </x:c>
      <x:c r="C1389" s="30" t="str">
        <x:v>T022</x:v>
      </x:c>
      <x:c r="D1389" s="30" t="str">
        <x:v>轻型残骸移除</x:v>
      </x:c>
      <x:c r="E1389" s="30" t="str">
        <x:v>可候选；Agent决定是否创建/执行</x:v>
      </x:c>
      <x:c r="F1389" s="30" t="str">
        <x:v>条件扩展：明确设备/专业服务后启用</x:v>
      </x:c>
    </x:row>
    <x:row r="1390" ht="40" customHeight="1">
      <x:c r="A1390" s="30" t="str">
        <x:v>SC17</x:v>
      </x:c>
      <x:c r="B1390" s="30" t="str">
        <x:v>交通/工业事故与多伤员现场</x:v>
      </x:c>
      <x:c r="C1390" s="30" t="str">
        <x:v>T023</x:v>
      </x:c>
      <x:c r="D1390" s="30" t="str">
        <x:v>重型道路清障</x:v>
      </x:c>
      <x:c r="E1390" s="30" t="str">
        <x:v>可候选；Agent决定是否创建/执行</x:v>
      </x:c>
      <x:c r="F1390" s="30" t="str">
        <x:v>条件扩展：明确设备/专业服务后启用</x:v>
      </x:c>
    </x:row>
    <x:row r="1391" ht="40" customHeight="1">
      <x:c r="A1391" s="30" t="str">
        <x:v>SC17</x:v>
      </x:c>
      <x:c r="B1391" s="30" t="str">
        <x:v>交通/工业事故与多伤员现场</x:v>
      </x:c>
      <x:c r="C1391" s="30" t="str">
        <x:v>T024</x:v>
      </x:c>
      <x:c r="D1391" s="30" t="str">
        <x:v>入口开辟与局部破拆</x:v>
      </x:c>
      <x:c r="E1391" s="30" t="str">
        <x:v>可候选；Agent决定是否创建/执行</x:v>
      </x:c>
      <x:c r="F1391" s="30" t="str">
        <x:v>条件扩展：明确设备/专业服务后启用</x:v>
      </x:c>
    </x:row>
    <x:row r="1392" ht="40" customHeight="1">
      <x:c r="A1392" s="30" t="str">
        <x:v>SC17</x:v>
      </x:c>
      <x:c r="B1392" s="30" t="str">
        <x:v>交通/工业事故与多伤员现场</x:v>
      </x:c>
      <x:c r="C1392" s="30" t="str">
        <x:v>T025</x:v>
      </x:c>
      <x:c r="D1392" s="30" t="str">
        <x:v>危险结构临时支撑</x:v>
      </x:c>
      <x:c r="E1392" s="30" t="str">
        <x:v>可候选；Agent决定是否创建/执行</x:v>
      </x:c>
      <x:c r="F1392" s="30" t="str">
        <x:v>条件扩展：明确设备/专业服务后启用</x:v>
      </x:c>
    </x:row>
    <x:row r="1393" ht="40" customHeight="1">
      <x:c r="A1393" s="30" t="str">
        <x:v>SC17</x:v>
      </x:c>
      <x:c r="B1393" s="30" t="str">
        <x:v>交通/工业事故与多伤员现场</x:v>
      </x:c>
      <x:c r="C1393" s="30" t="str">
        <x:v>T026</x:v>
      </x:c>
      <x:c r="D1393" s="30" t="str">
        <x:v>吊升/移置大块障碍</x:v>
      </x:c>
      <x:c r="E1393" s="30" t="str">
        <x:v>可候选；Agent决定是否创建/执行</x:v>
      </x:c>
      <x:c r="F1393" s="30" t="str">
        <x:v>条件扩展：明确设备/专业服务后启用</x:v>
      </x:c>
    </x:row>
    <x:row r="1394" ht="40" customHeight="1">
      <x:c r="A1394" s="30" t="str">
        <x:v>SC17</x:v>
      </x:c>
      <x:c r="B1394" s="30" t="str">
        <x:v>交通/工业事故与多伤员现场</x:v>
      </x:c>
      <x:c r="C1394" s="30" t="str">
        <x:v>T027</x:v>
      </x:c>
      <x:c r="D1394" s="30" t="str">
        <x:v>建立联系并确认需求</x:v>
      </x:c>
      <x:c r="E1394" s="30" t="str">
        <x:v>可候选；Agent决定是否创建/执行</x:v>
      </x:c>
      <x:c r="F1394" s="30" t="str">
        <x:v>基线：依实际装配启用</x:v>
      </x:c>
    </x:row>
    <x:row r="1395" ht="40" customHeight="1">
      <x:c r="A1395" s="30" t="str">
        <x:v>SC17</x:v>
      </x:c>
      <x:c r="B1395" s="30" t="str">
        <x:v>交通/工业事故与多伤员现场</x:v>
      </x:c>
      <x:c r="C1395" s="30" t="str">
        <x:v>T028</x:v>
      </x:c>
      <x:c r="D1395" s="30" t="str">
        <x:v>安全警示与避险引导</x:v>
      </x:c>
      <x:c r="E1395" s="30" t="str">
        <x:v>可候选；Agent决定是否创建/执行</x:v>
      </x:c>
      <x:c r="F1395" s="30" t="str">
        <x:v>基线：依实际装配启用</x:v>
      </x:c>
    </x:row>
    <x:row r="1396" ht="40" customHeight="1">
      <x:c r="A1396" s="30" t="str">
        <x:v>SC17</x:v>
      </x:c>
      <x:c r="B1396" s="30" t="str">
        <x:v>交通/工业事故与多伤员现场</x:v>
      </x:c>
      <x:c r="C1396" s="30" t="str">
        <x:v>T029</x:v>
      </x:c>
      <x:c r="D1396" s="30" t="str">
        <x:v>专业伤员评估与分级</x:v>
      </x:c>
      <x:c r="E1396" s="30" t="str">
        <x:v>可候选；Agent决定是否创建/执行</x:v>
      </x:c>
      <x:c r="F1396" s="30" t="str">
        <x:v>条件扩展：明确设备/专业服务后启用</x:v>
      </x:c>
    </x:row>
    <x:row r="1397" ht="40" customHeight="1">
      <x:c r="A1397" s="30" t="str">
        <x:v>SC17</x:v>
      </x:c>
      <x:c r="B1397" s="30" t="str">
        <x:v>交通/工业事故与多伤员现场</x:v>
      </x:c>
      <x:c r="C1397" s="30" t="str">
        <x:v>T030</x:v>
      </x:c>
      <x:c r="D1397" s="30" t="str">
        <x:v>人员基础物资支援</x:v>
      </x:c>
      <x:c r="E1397" s="30" t="str">
        <x:v>可候选；Agent决定是否创建/执行</x:v>
      </x:c>
      <x:c r="F1397" s="30" t="str">
        <x:v>基线：依实际装配启用</x:v>
      </x:c>
    </x:row>
    <x:row r="1398" ht="40" customHeight="1">
      <x:c r="A1398" s="30" t="str">
        <x:v>SC17</x:v>
      </x:c>
      <x:c r="B1398" s="30" t="str">
        <x:v>交通/工业事故与多伤员现场</x:v>
      </x:c>
      <x:c r="C1398" s="30" t="str">
        <x:v>T031</x:v>
      </x:c>
      <x:c r="D1398" s="30" t="str">
        <x:v>专业初步救护</x:v>
      </x:c>
      <x:c r="E1398" s="30" t="str">
        <x:v>可候选；Agent决定是否创建/执行</x:v>
      </x:c>
      <x:c r="F1398" s="30" t="str">
        <x:v>条件扩展：明确设备/专业服务后启用</x:v>
      </x:c>
    </x:row>
    <x:row r="1399" ht="40" customHeight="1">
      <x:c r="A1399" s="30" t="str">
        <x:v>SC17</x:v>
      </x:c>
      <x:c r="B1399" s="30" t="str">
        <x:v>交通/工业事故与多伤员现场</x:v>
      </x:c>
      <x:c r="C1399" s="30" t="str">
        <x:v>T032</x:v>
      </x:c>
      <x:c r="D1399" s="30" t="str">
        <x:v>受困解除/解困</x:v>
      </x:c>
      <x:c r="E1399" s="30" t="str">
        <x:v>可候选；Agent决定是否创建/执行</x:v>
      </x:c>
      <x:c r="F1399" s="30" t="str">
        <x:v>条件扩展：明确设备/专业服务后启用</x:v>
      </x:c>
    </x:row>
    <x:row r="1400" ht="40" customHeight="1">
      <x:c r="A1400" s="30" t="str">
        <x:v>SC17</x:v>
      </x:c>
      <x:c r="B1400" s="30" t="str">
        <x:v>交通/工业事故与多伤员现场</x:v>
      </x:c>
      <x:c r="C1400" s="30" t="str">
        <x:v>T033</x:v>
      </x:c>
      <x:c r="D1400" s="30" t="str">
        <x:v>人员装载</x:v>
      </x:c>
      <x:c r="E1400" s="30" t="str">
        <x:v>可候选；Agent决定是否创建/执行</x:v>
      </x:c>
      <x:c r="F1400" s="30" t="str">
        <x:v>条件扩展：明确设备/专业服务后启用</x:v>
      </x:c>
    </x:row>
    <x:row r="1401" ht="40" customHeight="1">
      <x:c r="A1401" s="30" t="str">
        <x:v>SC17</x:v>
      </x:c>
      <x:c r="B1401" s="30" t="str">
        <x:v>交通/工业事故与多伤员现场</x:v>
      </x:c>
      <x:c r="C1401" s="30" t="str">
        <x:v>T034</x:v>
      </x:c>
      <x:c r="D1401" s="30" t="str">
        <x:v>人员转运</x:v>
      </x:c>
      <x:c r="E1401" s="30" t="str">
        <x:v>可候选；Agent决定是否创建/执行</x:v>
      </x:c>
      <x:c r="F1401" s="30" t="str">
        <x:v>条件扩展：明确设备/专业服务后启用</x:v>
      </x:c>
    </x:row>
    <x:row r="1402" ht="40" customHeight="1">
      <x:c r="A1402" s="30" t="str">
        <x:v>SC17</x:v>
      </x:c>
      <x:c r="B1402" s="30" t="str">
        <x:v>交通/工业事故与多伤员现场</x:v>
      </x:c>
      <x:c r="C1402" s="30" t="str">
        <x:v>T035</x:v>
      </x:c>
      <x:c r="D1402" s="30" t="str">
        <x:v>救援/医疗最终移交</x:v>
      </x:c>
      <x:c r="E1402" s="30" t="str">
        <x:v>可候选；Agent决定是否创建/执行</x:v>
      </x:c>
      <x:c r="F1402" s="30" t="str">
        <x:v>条件扩展：明确设备/专业服务后启用</x:v>
      </x:c>
    </x:row>
    <x:row r="1403" ht="40" customHeight="1">
      <x:c r="A1403" s="30" t="str">
        <x:v>SC17</x:v>
      </x:c>
      <x:c r="B1403" s="30" t="str">
        <x:v>交通/工业事故与多伤员现场</x:v>
      </x:c>
      <x:c r="C1403" s="30" t="str">
        <x:v>T036</x:v>
      </x:c>
      <x:c r="D1403" s="30" t="str">
        <x:v>水中人员救助回收</x:v>
      </x:c>
      <x:c r="E1403" s="30" t="str">
        <x:v>可候选；Agent决定是否创建/执行</x:v>
      </x:c>
      <x:c r="F1403" s="30" t="str">
        <x:v>条件扩展：明确设备/专业服务后启用</x:v>
      </x:c>
    </x:row>
    <x:row r="1404" ht="40" customHeight="1">
      <x:c r="A1404" s="30" t="str">
        <x:v>SC17</x:v>
      </x:c>
      <x:c r="B1404" s="30" t="str">
        <x:v>交通/工业事故与多伤员现场</x:v>
      </x:c>
      <x:c r="C1404" s="30" t="str">
        <x:v>T037</x:v>
      </x:c>
      <x:c r="D1404" s="30" t="str">
        <x:v>救援转恢复阶段的遗体移交</x:v>
      </x:c>
      <x:c r="E1404" s="30" t="str">
        <x:v>可候选；Agent决定是否创建/执行</x:v>
      </x:c>
      <x:c r="F1404" s="30" t="str">
        <x:v>条件扩展：明确设备/专业服务后启用</x:v>
      </x:c>
    </x:row>
    <x:row r="1405" ht="40" customHeight="1">
      <x:c r="A1405" s="30" t="str">
        <x:v>SC17</x:v>
      </x:c>
      <x:c r="B1405" s="30" t="str">
        <x:v>交通/工业事故与多伤员现场</x:v>
      </x:c>
      <x:c r="C1405" s="30" t="str">
        <x:v>T038</x:v>
      </x:c>
      <x:c r="D1405" s="30" t="str">
        <x:v>货物取用与挂载</x:v>
      </x:c>
      <x:c r="E1405" s="30" t="str">
        <x:v>可候选；Agent决定是否创建/执行</x:v>
      </x:c>
      <x:c r="F1405" s="30" t="str">
        <x:v>基线：依实际装配启用</x:v>
      </x:c>
    </x:row>
    <x:row r="1406" ht="40" customHeight="1">
      <x:c r="A1406" s="30" t="str">
        <x:v>SC17</x:v>
      </x:c>
      <x:c r="B1406" s="30" t="str">
        <x:v>交通/工业事故与多伤员现场</x:v>
      </x:c>
      <x:c r="C1406" s="30" t="str">
        <x:v>T039</x:v>
      </x:c>
      <x:c r="D1406" s="30" t="str">
        <x:v>无人机精确物资投送</x:v>
      </x:c>
      <x:c r="E1406" s="30" t="str">
        <x:v>可候选；Agent决定是否创建/执行</x:v>
      </x:c>
      <x:c r="F1406" s="30" t="str">
        <x:v>基线：依实际装配启用</x:v>
      </x:c>
    </x:row>
    <x:row r="1407" ht="40" customHeight="1">
      <x:c r="A1407" s="30" t="str">
        <x:v>SC17</x:v>
      </x:c>
      <x:c r="B1407" s="30" t="str">
        <x:v>交通/工业事故与多伤员现场</x:v>
      </x:c>
      <x:c r="C1407" s="30" t="str">
        <x:v>T040</x:v>
      </x:c>
      <x:c r="D1407" s="30" t="str">
        <x:v>地面物资送达与卸放</x:v>
      </x:c>
      <x:c r="E1407" s="30" t="str">
        <x:v>可候选；Agent决定是否创建/执行</x:v>
      </x:c>
      <x:c r="F1407" s="30" t="str">
        <x:v>基线：依实际装配启用</x:v>
      </x:c>
    </x:row>
    <x:row r="1408" ht="40" customHeight="1">
      <x:c r="A1408" s="30" t="str">
        <x:v>SC17</x:v>
      </x:c>
      <x:c r="B1408" s="30" t="str">
        <x:v>交通/工业事故与多伤员现场</x:v>
      </x:c>
      <x:c r="C1408" s="30" t="str">
        <x:v>T041</x:v>
      </x:c>
      <x:c r="D1408" s="30" t="str">
        <x:v>交付复核与收货报告</x:v>
      </x:c>
      <x:c r="E1408" s="30" t="str">
        <x:v>可候选；Agent决定是否创建/执行</x:v>
      </x:c>
      <x:c r="F1408" s="30" t="str">
        <x:v>基线：依实际装配启用</x:v>
      </x:c>
    </x:row>
    <x:row r="1409" ht="40" customHeight="1">
      <x:c r="A1409" s="30" t="str">
        <x:v>SC17</x:v>
      </x:c>
      <x:c r="B1409" s="30" t="str">
        <x:v>交通/工业事故与多伤员现场</x:v>
      </x:c>
      <x:c r="C1409" s="30" t="str">
        <x:v>T042</x:v>
      </x:c>
      <x:c r="D1409" s="30" t="str">
        <x:v>物资/器材补给</x:v>
      </x:c>
      <x:c r="E1409" s="30" t="str">
        <x:v>可候选；Agent决定是否创建/执行</x:v>
      </x:c>
      <x:c r="F1409" s="30" t="str">
        <x:v>基线：依实际装配启用</x:v>
      </x:c>
    </x:row>
    <x:row r="1410" ht="40" customHeight="1">
      <x:c r="A1410" s="30" t="str">
        <x:v>SC17</x:v>
      </x:c>
      <x:c r="B1410" s="30" t="str">
        <x:v>交通/工业事故与多伤员现场</x:v>
      </x:c>
      <x:c r="C1410" s="30" t="str">
        <x:v>T043</x:v>
      </x:c>
      <x:c r="D1410" s="30" t="str">
        <x:v>平台充电</x:v>
      </x:c>
      <x:c r="E1410" s="30" t="str">
        <x:v>可候选；Agent决定是否创建/执行</x:v>
      </x:c>
      <x:c r="F1410" s="30" t="str">
        <x:v>基线：依实际装配启用</x:v>
      </x:c>
    </x:row>
    <x:row r="1411" ht="40" customHeight="1">
      <x:c r="A1411" s="30" t="str">
        <x:v>SC17</x:v>
      </x:c>
      <x:c r="B1411" s="30" t="str">
        <x:v>交通/工业事故与多伤员现场</x:v>
      </x:c>
      <x:c r="C1411" s="30" t="str">
        <x:v>T044</x:v>
      </x:c>
      <x:c r="D1411" s="30" t="str">
        <x:v>平台换电</x:v>
      </x:c>
      <x:c r="E1411" s="30" t="str">
        <x:v>可候选；Agent决定是否创建/执行</x:v>
      </x:c>
      <x:c r="F1411" s="30" t="str">
        <x:v>基线：依实际装配启用</x:v>
      </x:c>
    </x:row>
    <x:row r="1412" ht="40" customHeight="1">
      <x:c r="A1412" s="30" t="str">
        <x:v>SC17</x:v>
      </x:c>
      <x:c r="B1412" s="30" t="str">
        <x:v>交通/工业事故与多伤员现场</x:v>
      </x:c>
      <x:c r="C1412" s="30" t="str">
        <x:v>T045</x:v>
      </x:c>
      <x:c r="D1412" s="30" t="str">
        <x:v>返航/返站与安全撤离</x:v>
      </x:c>
      <x:c r="E1412" s="30" t="str">
        <x:v>可候选；Agent决定是否创建/执行</x:v>
      </x:c>
      <x:c r="F1412" s="30" t="str">
        <x:v>基线：依实际装配启用</x:v>
      </x:c>
    </x:row>
    <x:row r="1413" ht="40" customHeight="1">
      <x:c r="A1413" s="30" t="str">
        <x:v>SC17</x:v>
      </x:c>
      <x:c r="B1413" s="30" t="str">
        <x:v>交通/工业事故与多伤员现场</x:v>
      </x:c>
      <x:c r="C1413" s="30" t="str">
        <x:v>T046</x:v>
      </x:c>
      <x:c r="D1413" s="30" t="str">
        <x:v>失效平台回收</x:v>
      </x:c>
      <x:c r="E1413" s="30" t="str">
        <x:v>可候选；Agent决定是否创建/执行</x:v>
      </x:c>
      <x:c r="F1413" s="30" t="str">
        <x:v>条件扩展：明确设备/专业服务后启用</x:v>
      </x:c>
    </x:row>
    <x:row r="1414" ht="40" customHeight="1">
      <x:c r="A1414" s="30" t="str">
        <x:v>SC17</x:v>
      </x:c>
      <x:c r="B1414" s="30" t="str">
        <x:v>交通/工业事故与多伤员现场</x:v>
      </x:c>
      <x:c r="C1414" s="30" t="str">
        <x:v>T047</x:v>
      </x:c>
      <x:c r="D1414" s="30" t="str">
        <x:v>链路探测与质量估计</x:v>
      </x:c>
      <x:c r="E1414" s="30" t="str">
        <x:v>可候选；Agent决定是否创建/执行</x:v>
      </x:c>
      <x:c r="F1414" s="30" t="str">
        <x:v>基线：依实际装配启用</x:v>
      </x:c>
    </x:row>
    <x:row r="1415" ht="40" customHeight="1">
      <x:c r="A1415" s="30" t="str">
        <x:v>SC17</x:v>
      </x:c>
      <x:c r="B1415" s="30" t="str">
        <x:v>交通/工业事故与多伤员现场</x:v>
      </x:c>
      <x:c r="C1415" s="30" t="str">
        <x:v>T048</x:v>
      </x:c>
      <x:c r="D1415" s="30" t="str">
        <x:v>通信会合与重定位</x:v>
      </x:c>
      <x:c r="E1415" s="30" t="str">
        <x:v>可候选；Agent决定是否创建/执行</x:v>
      </x:c>
      <x:c r="F1415" s="30" t="str">
        <x:v>基线：依实际装配启用</x:v>
      </x:c>
    </x:row>
    <x:row r="1416" ht="40" customHeight="1">
      <x:c r="A1416" s="30" t="str">
        <x:v>SC17</x:v>
      </x:c>
      <x:c r="B1416" s="30" t="str">
        <x:v>交通/工业事故与多伤员现场</x:v>
      </x:c>
      <x:c r="C1416" s="30" t="str">
        <x:v>T049</x:v>
      </x:c>
      <x:c r="D1416" s="30" t="str">
        <x:v>空中中继保持</x:v>
      </x:c>
      <x:c r="E1416" s="30" t="str">
        <x:v>可候选；Agent决定是否创建/执行</x:v>
      </x:c>
      <x:c r="F1416" s="30" t="str">
        <x:v>基线：依实际装配启用</x:v>
      </x:c>
    </x:row>
    <x:row r="1417" ht="40" customHeight="1">
      <x:c r="A1417" s="30" t="str">
        <x:v>SC17</x:v>
      </x:c>
      <x:c r="B1417" s="30" t="str">
        <x:v>交通/工业事故与多伤员现场</x:v>
      </x:c>
      <x:c r="C1417" s="30" t="str">
        <x:v>T050</x:v>
      </x:c>
      <x:c r="D1417" s="30" t="str">
        <x:v>通信节点布放</x:v>
      </x:c>
      <x:c r="E1417" s="30" t="str">
        <x:v>可候选；Agent决定是否创建/执行</x:v>
      </x:c>
      <x:c r="F1417" s="30" t="str">
        <x:v>条件扩展：明确设备/专业服务后启用</x:v>
      </x:c>
    </x:row>
    <x:row r="1418" ht="40" customHeight="1">
      <x:c r="A1418" s="30" t="str">
        <x:v>SC17</x:v>
      </x:c>
      <x:c r="B1418" s="30" t="str">
        <x:v>交通/工业事故与多伤员现场</x:v>
      </x:c>
      <x:c r="C1418" s="30" t="str">
        <x:v>T051</x:v>
      </x:c>
      <x:c r="D1418" s="30" t="str">
        <x:v>多跳业务转发</x:v>
      </x:c>
      <x:c r="E1418" s="30" t="str">
        <x:v>可候选；Agent决定是否创建/执行</x:v>
      </x:c>
      <x:c r="F1418" s="30" t="str">
        <x:v>基线：依实际装配启用</x:v>
      </x:c>
    </x:row>
    <x:row r="1419" ht="40" customHeight="1">
      <x:c r="A1419" s="30" t="str">
        <x:v>SC17</x:v>
      </x:c>
      <x:c r="B1419" s="30" t="str">
        <x:v>交通/工业事故与多伤员现场</x:v>
      </x:c>
      <x:c r="C1419" s="30" t="str">
        <x:v>T052</x:v>
      </x:c>
      <x:c r="D1419" s="30" t="str">
        <x:v>图像/证据数据上传</x:v>
      </x:c>
      <x:c r="E1419" s="30" t="str">
        <x:v>可候选；Agent决定是否创建/执行</x:v>
      </x:c>
      <x:c r="F1419" s="30" t="str">
        <x:v>基线：依实际装配启用</x:v>
      </x:c>
    </x:row>
    <x:row r="1420" ht="40" customHeight="1">
      <x:c r="A1420" s="30" t="str">
        <x:v>SC17</x:v>
      </x:c>
      <x:c r="B1420" s="30" t="str">
        <x:v>交通/工业事故与多伤员现场</x:v>
      </x:c>
      <x:c r="C1420" s="30" t="str">
        <x:v>T053</x:v>
      </x:c>
      <x:c r="D1420" s="30" t="str">
        <x:v>可靠回执与超时重传</x:v>
      </x:c>
      <x:c r="E1420" s="30" t="str">
        <x:v>可候选；Agent决定是否创建/执行</x:v>
      </x:c>
      <x:c r="F1420" s="30" t="str">
        <x:v>基线：依实际装配启用</x:v>
      </x:c>
    </x:row>
    <x:row r="1421" ht="40" customHeight="1">
      <x:c r="A1421" s="30" t="str">
        <x:v>SC17</x:v>
      </x:c>
      <x:c r="B1421" s="30" t="str">
        <x:v>交通/工业事故与多伤员现场</x:v>
      </x:c>
      <x:c r="C1421" s="30" t="str">
        <x:v>T054</x:v>
      </x:c>
      <x:c r="D1421" s="30" t="str">
        <x:v>断联存储-携带-转发</x:v>
      </x:c>
      <x:c r="E1421" s="30" t="str">
        <x:v>可候选；Agent决定是否创建/执行</x:v>
      </x:c>
      <x:c r="F1421" s="30" t="str">
        <x:v>基线：依实际装配启用</x:v>
      </x:c>
    </x:row>
    <x:row r="1422" ht="40" customHeight="1">
      <x:c r="A1422" s="30" t="str">
        <x:v>SC17</x:v>
      </x:c>
      <x:c r="B1422" s="30" t="str">
        <x:v>交通/工业事故与多伤员现场</x:v>
      </x:c>
      <x:c r="C1422" s="30" t="str">
        <x:v>T055</x:v>
      </x:c>
      <x:c r="D1422" s="30" t="str">
        <x:v>信道/功率/传输优先级调整</x:v>
      </x:c>
      <x:c r="E1422" s="30" t="str">
        <x:v>可候选；Agent决定是否创建/执行</x:v>
      </x:c>
      <x:c r="F1422" s="30" t="str">
        <x:v>基线：依实际装配启用</x:v>
      </x:c>
    </x:row>
    <x:row r="1423" ht="40" customHeight="1">
      <x:c r="A1423" s="30" t="str">
        <x:v>SC17</x:v>
      </x:c>
      <x:c r="B1423" s="30" t="str">
        <x:v>交通/工业事故与多伤员现场</x:v>
      </x:c>
      <x:c r="C1423" s="30" t="str">
        <x:v>T056</x:v>
      </x:c>
      <x:c r="D1423" s="30" t="str">
        <x:v>失联后的连接恢复</x:v>
      </x:c>
      <x:c r="E1423" s="30" t="str">
        <x:v>可候选；Agent决定是否创建/执行</x:v>
      </x:c>
      <x:c r="F1423" s="30" t="str">
        <x:v>基线：依实际装配启用</x:v>
      </x:c>
    </x:row>
    <x:row r="1424" ht="40" customHeight="1">
      <x:c r="A1424" s="30" t="str">
        <x:v>SC17</x:v>
      </x:c>
      <x:c r="B1424" s="30" t="str">
        <x:v>交通/工业事故与多伤员现场</x:v>
      </x:c>
      <x:c r="C1424" s="30" t="str">
        <x:v>T057</x:v>
      </x:c>
      <x:c r="D1424" s="30" t="str">
        <x:v>计算与模型服务发现</x:v>
      </x:c>
      <x:c r="E1424" s="30" t="str">
        <x:v>可候选；Agent决定是否创建/执行</x:v>
      </x:c>
      <x:c r="F1424" s="30" t="str">
        <x:v>基线：依实际装配启用</x:v>
      </x:c>
    </x:row>
    <x:row r="1425" ht="40" customHeight="1">
      <x:c r="A1425" s="30" t="str">
        <x:v>SC17</x:v>
      </x:c>
      <x:c r="B1425" s="30" t="str">
        <x:v>交通/工业事故与多伤员现场</x:v>
      </x:c>
      <x:c r="C1425" s="30" t="str">
        <x:v>T058</x:v>
      </x:c>
      <x:c r="D1425" s="30" t="str">
        <x:v>本地视觉检测</x:v>
      </x:c>
      <x:c r="E1425" s="30" t="str">
        <x:v>可候选；Agent决定是否创建/执行</x:v>
      </x:c>
      <x:c r="F1425" s="30" t="str">
        <x:v>基线：依实际装配启用</x:v>
      </x:c>
    </x:row>
    <x:row r="1426" ht="40" customHeight="1">
      <x:c r="A1426" s="30" t="str">
        <x:v>SC17</x:v>
      </x:c>
      <x:c r="B1426" s="30" t="str">
        <x:v>交通/工业事故与多伤员现场</x:v>
      </x:c>
      <x:c r="C1426" s="30" t="str">
        <x:v>T059</x:v>
      </x:c>
      <x:c r="D1426" s="30" t="str">
        <x:v>本地语义/任务推理</x:v>
      </x:c>
      <x:c r="E1426" s="30" t="str">
        <x:v>可候选；Agent决定是否创建/执行</x:v>
      </x:c>
      <x:c r="F1426" s="30" t="str">
        <x:v>基线：依实际装配启用</x:v>
      </x:c>
    </x:row>
    <x:row r="1427" ht="40" customHeight="1">
      <x:c r="A1427" s="30" t="str">
        <x:v>SC17</x:v>
      </x:c>
      <x:c r="B1427" s="30" t="str">
        <x:v>交通/工业事故与多伤员现场</x:v>
      </x:c>
      <x:c r="C1427" s="30" t="str">
        <x:v>T060</x:v>
      </x:c>
      <x:c r="D1427" s="30" t="str">
        <x:v>远程视觉复核/推理卸载</x:v>
      </x:c>
      <x:c r="E1427" s="30" t="str">
        <x:v>可候选；Agent决定是否创建/执行</x:v>
      </x:c>
      <x:c r="F1427" s="30" t="str">
        <x:v>基线：依实际装配启用</x:v>
      </x:c>
    </x:row>
    <x:row r="1428" ht="40" customHeight="1">
      <x:c r="A1428" s="30" t="str">
        <x:v>SC17</x:v>
      </x:c>
      <x:c r="B1428" s="30" t="str">
        <x:v>交通/工业事故与多伤员现场</x:v>
      </x:c>
      <x:c r="C1428" s="30" t="str">
        <x:v>T061</x:v>
      </x:c>
      <x:c r="D1428" s="30" t="str">
        <x:v>执行节点与模型选择</x:v>
      </x:c>
      <x:c r="E1428" s="30" t="str">
        <x:v>可候选；Agent决定是否创建/执行</x:v>
      </x:c>
      <x:c r="F1428" s="30" t="str">
        <x:v>基线：依实际装配启用</x:v>
      </x:c>
    </x:row>
    <x:row r="1429" ht="40" customHeight="1">
      <x:c r="A1429" s="30" t="str">
        <x:v>SC17</x:v>
      </x:c>
      <x:c r="B1429" s="30" t="str">
        <x:v>交通/工业事故与多伤员现场</x:v>
      </x:c>
      <x:c r="C1429" s="30" t="str">
        <x:v>T062</x:v>
      </x:c>
      <x:c r="D1429" s="30" t="str">
        <x:v>计算作业准入与排队</x:v>
      </x:c>
      <x:c r="E1429" s="30" t="str">
        <x:v>可候选；Agent决定是否创建/执行</x:v>
      </x:c>
      <x:c r="F1429" s="30" t="str">
        <x:v>基线：依实际装配启用</x:v>
      </x:c>
    </x:row>
    <x:row r="1430" ht="40" customHeight="1">
      <x:c r="A1430" s="30" t="str">
        <x:v>SC17</x:v>
      </x:c>
      <x:c r="B1430" s="30" t="str">
        <x:v>交通/工业事故与多伤员现场</x:v>
      </x:c>
      <x:c r="C1430" s="30" t="str">
        <x:v>T063</x:v>
      </x:c>
      <x:c r="D1430" s="30" t="str">
        <x:v>模型服务加载/卸载</x:v>
      </x:c>
      <x:c r="E1430" s="30" t="str">
        <x:v>可候选；Agent决定是否创建/执行</x:v>
      </x:c>
      <x:c r="F1430" s="30" t="str">
        <x:v>基线：依实际装配启用</x:v>
      </x:c>
    </x:row>
    <x:row r="1431" ht="40" customHeight="1">
      <x:c r="A1431" s="30" t="str">
        <x:v>SC17</x:v>
      </x:c>
      <x:c r="B1431" s="30" t="str">
        <x:v>交通/工业事故与多伤员现场</x:v>
      </x:c>
      <x:c r="C1431" s="30" t="str">
        <x:v>T064</x:v>
      </x:c>
      <x:c r="D1431" s="30" t="str">
        <x:v>上下文/表示缓存复用</x:v>
      </x:c>
      <x:c r="E1431" s="30" t="str">
        <x:v>可候选；Agent决定是否创建/执行</x:v>
      </x:c>
      <x:c r="F1431" s="30" t="str">
        <x:v>基线：依实际装配启用</x:v>
      </x:c>
    </x:row>
    <x:row r="1432" ht="40" customHeight="1">
      <x:c r="A1432" s="30" t="str">
        <x:v>SC17</x:v>
      </x:c>
      <x:c r="B1432" s="30" t="str">
        <x:v>交通/工业事故与多伤员现场</x:v>
      </x:c>
      <x:c r="C1432" s="30" t="str">
        <x:v>T065</x:v>
      </x:c>
      <x:c r="D1432" s="30" t="str">
        <x:v>服务/作业迁移与恢复</x:v>
      </x:c>
      <x:c r="E1432" s="30" t="str">
        <x:v>可候选；Agent决定是否创建/执行</x:v>
      </x:c>
      <x:c r="F1432" s="30" t="str">
        <x:v>条件扩展：明确设备/专业服务后启用</x:v>
      </x:c>
    </x:row>
    <x:row r="1433" ht="40" customHeight="1">
      <x:c r="A1433" s="30" t="str">
        <x:v>SC17</x:v>
      </x:c>
      <x:c r="B1433" s="30" t="str">
        <x:v>交通/工业事故与多伤员现场</x:v>
      </x:c>
      <x:c r="C1433" s="30" t="str">
        <x:v>T066</x:v>
      </x:c>
      <x:c r="D1433" s="30" t="str">
        <x:v>预算耗尽/失败作业取消重试</x:v>
      </x:c>
      <x:c r="E1433" s="30" t="str">
        <x:v>可候选；Agent决定是否创建/执行</x:v>
      </x:c>
      <x:c r="F1433" s="30" t="str">
        <x:v>基线：依实际装配启用</x:v>
      </x:c>
    </x:row>
    <x:row r="1434" ht="40" customHeight="1">
      <x:c r="A1434" s="30" t="str">
        <x:v>SC17</x:v>
      </x:c>
      <x:c r="B1434" s="30" t="str">
        <x:v>交通/工业事故与多伤员现场</x:v>
      </x:c>
      <x:c r="C1434" s="30" t="str">
        <x:v>T067</x:v>
      </x:c>
      <x:c r="D1434" s="30" t="str">
        <x:v>批处理/多源联合推理</x:v>
      </x:c>
      <x:c r="E1434" s="30" t="str">
        <x:v>可候选；Agent决定是否创建/执行</x:v>
      </x:c>
      <x:c r="F1434" s="30" t="str">
        <x:v>基线：依实际装配启用</x:v>
      </x:c>
    </x:row>
    <x:row r="1435" ht="40" customHeight="1">
      <x:c r="A1435" s="30" t="str">
        <x:v>SC17</x:v>
      </x:c>
      <x:c r="B1435" s="30" t="str">
        <x:v>交通/工业事故与多伤员现场</x:v>
      </x:c>
      <x:c r="C1435" s="30" t="str">
        <x:v>T068</x:v>
      </x:c>
      <x:c r="D1435" s="30" t="str">
        <x:v>计算资源释放与缓存清理</x:v>
      </x:c>
      <x:c r="E1435" s="30" t="str">
        <x:v>可候选；Agent决定是否创建/执行</x:v>
      </x:c>
      <x:c r="F1435" s="30" t="str">
        <x:v>基线：依实际装配启用</x:v>
      </x:c>
    </x:row>
    <x:row r="1436" ht="40" customHeight="1">
      <x:c r="A1436" s="30" t="str">
        <x:v>SC17</x:v>
      </x:c>
      <x:c r="B1436" s="30" t="str">
        <x:v>交通/工业事故与多伤员现场</x:v>
      </x:c>
      <x:c r="C1436" s="30" t="str">
        <x:v>T069</x:v>
      </x:c>
      <x:c r="D1436" s="30" t="str">
        <x:v>跨源时间坐标对齐</x:v>
      </x:c>
      <x:c r="E1436" s="30" t="str">
        <x:v>可候选；Agent决定是否创建/执行</x:v>
      </x:c>
      <x:c r="F1436" s="30" t="str">
        <x:v>基线：依实际装配启用</x:v>
      </x:c>
    </x:row>
    <x:row r="1437" ht="40" customHeight="1">
      <x:c r="A1437" s="30" t="str">
        <x:v>SC17</x:v>
      </x:c>
      <x:c r="B1437" s="30" t="str">
        <x:v>交通/工业事故与多伤员现场</x:v>
      </x:c>
      <x:c r="C1437" s="30" t="str">
        <x:v>T070</x:v>
      </x:c>
      <x:c r="D1437" s="30" t="str">
        <x:v>任务条件化本地历史检索</x:v>
      </x:c>
      <x:c r="E1437" s="30" t="str">
        <x:v>可候选；Agent决定是否创建/执行</x:v>
      </x:c>
      <x:c r="F1437" s="30" t="str">
        <x:v>基线：依实际装配启用</x:v>
      </x:c>
    </x:row>
    <x:row r="1438" ht="40" customHeight="1">
      <x:c r="A1438" s="30" t="str">
        <x:v>SC17</x:v>
      </x:c>
      <x:c r="B1438" s="30" t="str">
        <x:v>交通/工业事故与多伤员现场</x:v>
      </x:c>
      <x:c r="C1438" s="30" t="str">
        <x:v>T071</x:v>
      </x:c>
      <x:c r="D1438" s="30" t="str">
        <x:v>图像裁剪/编码/证据打包</x:v>
      </x:c>
      <x:c r="E1438" s="30" t="str">
        <x:v>可候选；Agent决定是否创建/执行</x:v>
      </x:c>
      <x:c r="F1438" s="30" t="str">
        <x:v>基线：依实际装配启用</x:v>
      </x:c>
    </x:row>
    <x:row r="1439" ht="40" customHeight="1">
      <x:c r="A1439" s="30" t="str">
        <x:v>SC17</x:v>
      </x:c>
      <x:c r="B1439" s="30" t="str">
        <x:v>交通/工业事故与多伤员现场</x:v>
      </x:c>
      <x:c r="C1439" s="30" t="str">
        <x:v>T072</x:v>
      </x:c>
      <x:c r="D1439" s="30" t="str">
        <x:v>置信度与证据充分性判断</x:v>
      </x:c>
      <x:c r="E1439" s="30" t="str">
        <x:v>可候选；Agent决定是否创建/执行</x:v>
      </x:c>
      <x:c r="F1439" s="30" t="str">
        <x:v>基线：依实际装配启用</x:v>
      </x:c>
    </x:row>
    <x:row r="1440" ht="40" customHeight="1">
      <x:c r="A1440" s="30" t="str">
        <x:v>SC17</x:v>
      </x:c>
      <x:c r="B1440" s="30" t="str">
        <x:v>交通/工业事故与多伤员现场</x:v>
      </x:c>
      <x:c r="C1440" s="30" t="str">
        <x:v>T073</x:v>
      </x:c>
      <x:c r="D1440" s="30" t="str">
        <x:v>多源融合与冲突更正</x:v>
      </x:c>
      <x:c r="E1440" s="30" t="str">
        <x:v>可候选；Agent决定是否创建/执行</x:v>
      </x:c>
      <x:c r="F1440" s="30" t="str">
        <x:v>基线：依实际装配启用</x:v>
      </x:c>
    </x:row>
    <x:row r="1441" ht="40" customHeight="1">
      <x:c r="A1441" s="30" t="str">
        <x:v>SC17</x:v>
      </x:c>
      <x:c r="B1441" s="30" t="str">
        <x:v>交通/工业事故与多伤员现场</x:v>
      </x:c>
      <x:c r="C1441" s="30" t="str">
        <x:v>T074</x:v>
      </x:c>
      <x:c r="D1441" s="30" t="str">
        <x:v>面向任务的信息选择与共享</x:v>
      </x:c>
      <x:c r="E1441" s="30" t="str">
        <x:v>可候选；Agent决定是否创建/执行</x:v>
      </x:c>
      <x:c r="F1441" s="30" t="str">
        <x:v>基线：依实际装配启用</x:v>
      </x:c>
    </x:row>
    <x:row r="1442" ht="40" customHeight="1">
      <x:c r="A1442" s="30" t="str">
        <x:v>SC17</x:v>
      </x:c>
      <x:c r="B1442" s="30" t="str">
        <x:v>交通/工业事故与多伤员现场</x:v>
      </x:c>
      <x:c r="C1442" s="30" t="str">
        <x:v>T075</x:v>
      </x:c>
      <x:c r="D1442" s="30" t="str">
        <x:v>局部信念与过时信息维护</x:v>
      </x:c>
      <x:c r="E1442" s="30" t="str">
        <x:v>可候选；Agent决定是否创建/执行</x:v>
      </x:c>
      <x:c r="F1442" s="30" t="str">
        <x:v>基线：依实际装配启用</x:v>
      </x:c>
    </x:row>
    <x:row r="1443" ht="40" customHeight="1">
      <x:c r="A1443" s="30" t="str">
        <x:v>SC17</x:v>
      </x:c>
      <x:c r="B1443" s="30" t="str">
        <x:v>交通/工业事故与多伤员现场</x:v>
      </x:c>
      <x:c r="C1443" s="30" t="str">
        <x:v>T076</x:v>
      </x:c>
      <x:c r="D1443" s="30" t="str">
        <x:v>轨迹/证据归档与回放</x:v>
      </x:c>
      <x:c r="E1443" s="30" t="str">
        <x:v>可候选；Agent决定是否创建/执行</x:v>
      </x:c>
      <x:c r="F1443" s="30" t="str">
        <x:v>基线：依实际装配启用</x:v>
      </x:c>
    </x:row>
    <x:row r="1444" ht="40" customHeight="1">
      <x:c r="A1444" s="30" t="str">
        <x:v>SC17</x:v>
      </x:c>
      <x:c r="B1444" s="30" t="str">
        <x:v>交通/工业事故与多伤员现场</x:v>
      </x:c>
      <x:c r="C1444" s="30" t="str">
        <x:v>T077</x:v>
      </x:c>
      <x:c r="D1444" s="30" t="str">
        <x:v>接收并解释当前使命</x:v>
      </x:c>
      <x:c r="E1444" s="30" t="str">
        <x:v>可候选；Agent决定是否创建/执行</x:v>
      </x:c>
      <x:c r="F1444" s="30" t="str">
        <x:v>基线：依实际装配启用</x:v>
      </x:c>
    </x:row>
    <x:row r="1445" ht="40" customHeight="1">
      <x:c r="A1445" s="30" t="str">
        <x:v>SC17</x:v>
      </x:c>
      <x:c r="B1445" s="30" t="str">
        <x:v>交通/工业事故与多伤员现场</x:v>
      </x:c>
      <x:c r="C1445" s="30" t="str">
        <x:v>T078</x:v>
      </x:c>
      <x:c r="D1445" s="30" t="str">
        <x:v>自主任务分解与候选生成</x:v>
      </x:c>
      <x:c r="E1445" s="30" t="str">
        <x:v>可候选；Agent决定是否创建/执行</x:v>
      </x:c>
      <x:c r="F1445" s="30" t="str">
        <x:v>基线：依实际装配启用</x:v>
      </x:c>
    </x:row>
    <x:row r="1446" ht="40" customHeight="1">
      <x:c r="A1446" s="30" t="str">
        <x:v>SC17</x:v>
      </x:c>
      <x:c r="B1446" s="30" t="str">
        <x:v>交通/工业事故与多伤员现场</x:v>
      </x:c>
      <x:c r="C1446" s="30" t="str">
        <x:v>T079</x:v>
      </x:c>
      <x:c r="D1446" s="30" t="str">
        <x:v>本机参与筛选与出价</x:v>
      </x:c>
      <x:c r="E1446" s="30" t="str">
        <x:v>可候选；Agent决定是否创建/执行</x:v>
      </x:c>
      <x:c r="F1446" s="30" t="str">
        <x:v>基线：依实际装配启用</x:v>
      </x:c>
    </x:row>
    <x:row r="1447" ht="40" customHeight="1">
      <x:c r="A1447" s="30" t="str">
        <x:v>SC17</x:v>
      </x:c>
      <x:c r="B1447" s="30" t="str">
        <x:v>交通/工业事故与多伤员现场</x:v>
      </x:c>
      <x:c r="C1447" s="30" t="str">
        <x:v>T080</x:v>
      </x:c>
      <x:c r="D1447" s="30" t="str">
        <x:v>多平台任务分配与协调</x:v>
      </x:c>
      <x:c r="E1447" s="30" t="str">
        <x:v>可候选；Agent决定是否创建/执行</x:v>
      </x:c>
      <x:c r="F1447" s="30" t="str">
        <x:v>基线：依实际装配启用</x:v>
      </x:c>
    </x:row>
    <x:row r="1448" ht="40" customHeight="1">
      <x:c r="A1448" s="30" t="str">
        <x:v>SC17</x:v>
      </x:c>
      <x:c r="B1448" s="30" t="str">
        <x:v>交通/工业事故与多伤员现场</x:v>
      </x:c>
      <x:c r="C1448" s="30" t="str">
        <x:v>T081</x:v>
      </x:c>
      <x:c r="D1448" s="30" t="str">
        <x:v>任务接受/拒绝与承诺</x:v>
      </x:c>
      <x:c r="E1448" s="30" t="str">
        <x:v>可候选；Agent决定是否创建/执行</x:v>
      </x:c>
      <x:c r="F1448" s="30" t="str">
        <x:v>基线：依实际装配启用</x:v>
      </x:c>
    </x:row>
    <x:row r="1449" ht="40" customHeight="1">
      <x:c r="A1449" s="30" t="str">
        <x:v>SC17</x:v>
      </x:c>
      <x:c r="B1449" s="30" t="str">
        <x:v>交通/工业事故与多伤员现场</x:v>
      </x:c>
      <x:c r="C1449" s="30" t="str">
        <x:v>T082</x:v>
      </x:c>
      <x:c r="D1449" s="30" t="str">
        <x:v>进度监控与完成确认</x:v>
      </x:c>
      <x:c r="E1449" s="30" t="str">
        <x:v>可候选；Agent决定是否创建/执行</x:v>
      </x:c>
      <x:c r="F1449" s="30" t="str">
        <x:v>基线：依实际装配启用</x:v>
      </x:c>
    </x:row>
    <x:row r="1450" ht="40" customHeight="1">
      <x:c r="A1450" s="30" t="str">
        <x:v>SC17</x:v>
      </x:c>
      <x:c r="B1450" s="30" t="str">
        <x:v>交通/工业事故与多伤员现场</x:v>
      </x:c>
      <x:c r="C1450" s="30" t="str">
        <x:v>T083</x:v>
      </x:c>
      <x:c r="D1450" s="30" t="str">
        <x:v>任务取消/抢占</x:v>
      </x:c>
      <x:c r="E1450" s="30" t="str">
        <x:v>可候选；Agent决定是否创建/执行</x:v>
      </x:c>
      <x:c r="F1450" s="30" t="str">
        <x:v>基线：依实际装配启用</x:v>
      </x:c>
    </x:row>
    <x:row r="1451" ht="40" customHeight="1">
      <x:c r="A1451" s="30" t="str">
        <x:v>SC17</x:v>
      </x:c>
      <x:c r="B1451" s="30" t="str">
        <x:v>交通/工业事故与多伤员现场</x:v>
      </x:c>
      <x:c r="C1451" s="30" t="str">
        <x:v>T084</x:v>
      </x:c>
      <x:c r="D1451" s="30" t="str">
        <x:v>恢复原任务</x:v>
      </x:c>
      <x:c r="E1451" s="30" t="str">
        <x:v>可候选；Agent决定是否创建/执行</x:v>
      </x:c>
      <x:c r="F1451" s="30" t="str">
        <x:v>基线：依实际装配启用</x:v>
      </x:c>
    </x:row>
    <x:row r="1452" ht="40" customHeight="1">
      <x:c r="A1452" s="30" t="str">
        <x:v>SC17</x:v>
      </x:c>
      <x:c r="B1452" s="30" t="str">
        <x:v>交通/工业事故与多伤员现场</x:v>
      </x:c>
      <x:c r="C1452" s="30" t="str">
        <x:v>T085</x:v>
      </x:c>
      <x:c r="D1452" s="30" t="str">
        <x:v>跨Agent任务与证据交接</x:v>
      </x:c>
      <x:c r="E1452" s="30" t="str">
        <x:v>可候选；Agent决定是否创建/执行</x:v>
      </x:c>
      <x:c r="F1452" s="30" t="str">
        <x:v>基线：依实际装配启用</x:v>
      </x:c>
    </x:row>
    <x:row r="1453" ht="40" customHeight="1">
      <x:c r="A1453" s="30" t="str">
        <x:v>SC17</x:v>
      </x:c>
      <x:c r="B1453" s="30" t="str">
        <x:v>交通/工业事故与多伤员现场</x:v>
      </x:c>
      <x:c r="C1453" s="30" t="str">
        <x:v>T086</x:v>
      </x:c>
      <x:c r="D1453" s="30" t="str">
        <x:v>失败重规划与重派</x:v>
      </x:c>
      <x:c r="E1453" s="30" t="str">
        <x:v>可候选；Agent决定是否创建/执行</x:v>
      </x:c>
      <x:c r="F1453" s="30" t="str">
        <x:v>基线：依实际装配启用</x:v>
      </x:c>
    </x:row>
    <x:row r="1454" ht="40" customHeight="1">
      <x:c r="A1454" s="30" t="str">
        <x:v>SC17</x:v>
      </x:c>
      <x:c r="B1454" s="30" t="str">
        <x:v>交通/工业事故与多伤员现场</x:v>
      </x:c>
      <x:c r="C1454" s="30" t="str">
        <x:v>T087</x:v>
      </x:c>
      <x:c r="D1454" s="30" t="str">
        <x:v>请求专业救援/工程力量</x:v>
      </x:c>
      <x:c r="E1454" s="30" t="str">
        <x:v>可候选；Agent决定是否创建/执行</x:v>
      </x:c>
      <x:c r="F1454" s="30" t="str">
        <x:v>基线：依实际装配启用</x:v>
      </x:c>
    </x:row>
    <x:row r="1455" ht="40" customHeight="1">
      <x:c r="A1455" s="30" t="str">
        <x:v>SC17</x:v>
      </x:c>
      <x:c r="B1455" s="30" t="str">
        <x:v>交通/工业事故与多伤员现场</x:v>
      </x:c>
      <x:c r="C1455" s="30" t="str">
        <x:v>T088</x:v>
      </x:c>
      <x:c r="D1455" s="30" t="str">
        <x:v>工作现场闭合与阶段移交</x:v>
      </x:c>
      <x:c r="E1455" s="30" t="str">
        <x:v>可候选；Agent决定是否创建/执行</x:v>
      </x:c>
      <x:c r="F1455" s="30" t="str">
        <x:v>基线：依实际装配启用</x:v>
      </x:c>
    </x:row>
    <x:row r="1456" ht="40" customHeight="1">
      <x:c r="A1456" s="30" t="str">
        <x:v>SC17</x:v>
      </x:c>
      <x:c r="B1456" s="30" t="str">
        <x:v>交通/工业事故与多伤员现场</x:v>
      </x:c>
      <x:c r="C1456" s="30" t="str">
        <x:v>T089</x:v>
      </x:c>
      <x:c r="D1456" s="30" t="str">
        <x:v>次生危险动态监视</x:v>
      </x:c>
      <x:c r="E1456" s="30" t="str">
        <x:v>可候选；Agent决定是否创建/执行</x:v>
      </x:c>
      <x:c r="F1456" s="30" t="str">
        <x:v>基线：依实际装配启用</x:v>
      </x:c>
    </x:row>
    <x:row r="1457" ht="40" customHeight="1">
      <x:c r="A1457" s="30" t="str">
        <x:v>SC17</x:v>
      </x:c>
      <x:c r="B1457" s="30" t="str">
        <x:v>交通/工业事故与多伤员现场</x:v>
      </x:c>
      <x:c r="C1457" s="30" t="str">
        <x:v>T090</x:v>
      </x:c>
      <x:c r="D1457" s="30" t="str">
        <x:v>平台/能源/服务健康监视</x:v>
      </x:c>
      <x:c r="E1457" s="30" t="str">
        <x:v>可候选；Agent决定是否创建/执行</x:v>
      </x:c>
      <x:c r="F1457" s="30" t="str">
        <x:v>基线：依实际装配启用</x:v>
      </x:c>
    </x:row>
    <x:row r="1458" ht="40" customHeight="1">
      <x:c r="A1458" s="30" t="str">
        <x:v>SC17</x:v>
      </x:c>
      <x:c r="B1458" s="30" t="str">
        <x:v>交通/工业事故与多伤员现场</x:v>
      </x:c>
      <x:c r="C1458" s="30" t="str">
        <x:v>T091</x:v>
      </x:c>
      <x:c r="D1458" s="30" t="str">
        <x:v>安全等待与驻留观察</x:v>
      </x:c>
      <x:c r="E1458" s="30" t="str">
        <x:v>可候选；Agent决定是否创建/执行</x:v>
      </x:c>
      <x:c r="F1458" s="30" t="str">
        <x:v>基线：依实际装配启用</x:v>
      </x:c>
    </x:row>
    <x:row r="1459" ht="40" customHeight="1">
      <x:c r="A1459" s="30" t="str">
        <x:v>SC17</x:v>
      </x:c>
      <x:c r="B1459" s="30" t="str">
        <x:v>交通/工业事故与多伤员现场</x:v>
      </x:c>
      <x:c r="C1459" s="30" t="str">
        <x:v>T092</x:v>
      </x:c>
      <x:c r="D1459" s="30" t="str">
        <x:v>设备/传感器/服务故障诊断</x:v>
      </x:c>
      <x:c r="E1459" s="30" t="str">
        <x:v>可候选；Agent决定是否创建/执行</x:v>
      </x:c>
      <x:c r="F1459" s="30" t="str">
        <x:v>基线：依实际装配启用</x:v>
      </x:c>
    </x:row>
    <x:row r="1460" ht="40" customHeight="1">
      <x:c r="A1460" s="30" t="str">
        <x:v>SC17</x:v>
      </x:c>
      <x:c r="B1460" s="30" t="str">
        <x:v>交通/工业事故与多伤员现场</x:v>
      </x:c>
      <x:c r="C1460" s="30" t="str">
        <x:v>T093</x:v>
      </x:c>
      <x:c r="D1460" s="30" t="str">
        <x:v>消防抑制/灭火</x:v>
      </x:c>
      <x:c r="E1460" s="30" t="str">
        <x:v>可候选；Agent决定是否创建/执行</x:v>
      </x:c>
      <x:c r="F1460" s="30" t="str">
        <x:v>条件扩展：明确设备/专业服务后启用</x:v>
      </x:c>
    </x:row>
    <x:row r="1461" ht="40" customHeight="1">
      <x:c r="A1461" s="30" t="str">
        <x:v>SC17</x:v>
      </x:c>
      <x:c r="B1461" s="30" t="str">
        <x:v>交通/工业事故与多伤员现场</x:v>
      </x:c>
      <x:c r="C1461" s="30" t="str">
        <x:v>T094</x:v>
      </x:c>
      <x:c r="D1461" s="30" t="str">
        <x:v>消防供水与灭火耗材补充</x:v>
      </x:c>
      <x:c r="E1461" s="30" t="str">
        <x:v>可候选；Agent决定是否创建/执行</x:v>
      </x:c>
      <x:c r="F1461" s="30" t="str">
        <x:v>条件扩展：明确设备/专业服务后启用</x:v>
      </x:c>
    </x:row>
    <x:row r="1462" ht="40" customHeight="1">
      <x:c r="A1462" s="30" t="str">
        <x:v>SC17</x:v>
      </x:c>
      <x:c r="B1462" s="30" t="str">
        <x:v>交通/工业事故与多伤员现场</x:v>
      </x:c>
      <x:c r="C1462" s="30" t="str">
        <x:v>T095</x:v>
      </x:c>
      <x:c r="D1462" s="30" t="str">
        <x:v>危险源隔离/警戒区建立</x:v>
      </x:c>
      <x:c r="E1462" s="30" t="str">
        <x:v>可候选；Agent决定是否创建/执行</x:v>
      </x:c>
      <x:c r="F1462" s="30" t="str">
        <x:v>条件扩展：明确设备/专业服务后启用</x:v>
      </x:c>
    </x:row>
    <x:row r="1463" ht="40" customHeight="1">
      <x:c r="A1463" s="30" t="str">
        <x:v>SC17</x:v>
      </x:c>
      <x:c r="B1463" s="30" t="str">
        <x:v>交通/工业事故与多伤员现场</x:v>
      </x:c>
      <x:c r="C1463" s="30" t="str">
        <x:v>T096</x:v>
      </x:c>
      <x:c r="D1463" s="30" t="str">
        <x:v>跨模型特征/潜表示适配</x:v>
      </x:c>
      <x:c r="E1463" s="30" t="str">
        <x:v>可候选；Agent决定是否创建/执行</x:v>
      </x:c>
      <x:c r="F1463" s="30" t="str">
        <x:v>条件扩展：明确设备/专业服务后启用</x:v>
      </x:c>
    </x:row>
    <x:row r="1464" ht="40" customHeight="1">
      <x:c r="A1464" s="30" t="str">
        <x:v>SC18</x:v>
      </x:c>
      <x:c r="B1464" s="30" t="str">
        <x:v>危险物质/气体暴露现场</x:v>
      </x:c>
      <x:c r="C1464" s="30" t="str">
        <x:v>T001</x:v>
      </x:c>
      <x:c r="D1464" s="30" t="str">
        <x:v>区域快速普查</x:v>
      </x:c>
      <x:c r="E1464" s="30" t="str">
        <x:v>可候选；Agent决定是否创建/执行</x:v>
      </x:c>
      <x:c r="F1464" s="30" t="str">
        <x:v>基线：依实际装配启用</x:v>
      </x:c>
    </x:row>
    <x:row r="1465" ht="40" customHeight="1">
      <x:c r="A1465" s="30" t="str">
        <x:v>SC18</x:v>
      </x:c>
      <x:c r="B1465" s="30" t="str">
        <x:v>危险物质/气体暴露现场</x:v>
      </x:c>
      <x:c r="C1465" s="30" t="str">
        <x:v>T003</x:v>
      </x:c>
      <x:c r="D1465" s="30" t="str">
        <x:v>道路与通路灾后评估</x:v>
      </x:c>
      <x:c r="E1465" s="30" t="str">
        <x:v>可候选；Agent决定是否创建/执行</x:v>
      </x:c>
      <x:c r="F1465" s="30" t="str">
        <x:v>基线：依实际装配启用</x:v>
      </x:c>
    </x:row>
    <x:row r="1466" ht="40" customHeight="1">
      <x:c r="A1466" s="30" t="str">
        <x:v>SC18</x:v>
      </x:c>
      <x:c r="B1466" s="30" t="str">
        <x:v>危险物质/气体暴露现场</x:v>
      </x:c>
      <x:c r="C1466" s="30" t="str">
        <x:v>T004</x:v>
      </x:c>
      <x:c r="D1466" s="30" t="str">
        <x:v>入口与屋顶交付区检查</x:v>
      </x:c>
      <x:c r="E1466" s="30" t="str">
        <x:v>可候选；Agent决定是否创建/执行</x:v>
      </x:c>
      <x:c r="F1466" s="30" t="str">
        <x:v>基线：依实际装配启用</x:v>
      </x:c>
    </x:row>
    <x:row r="1467" ht="40" customHeight="1">
      <x:c r="A1467" s="30" t="str">
        <x:v>SC18</x:v>
      </x:c>
      <x:c r="B1467" s="30" t="str">
        <x:v>危险物质/气体暴露现场</x:v>
      </x:c>
      <x:c r="C1467" s="30" t="str">
        <x:v>T006</x:v>
      </x:c>
      <x:c r="D1467" s="30" t="str">
        <x:v>火烟与危险源侦察</x:v>
      </x:c>
      <x:c r="E1467" s="30" t="str">
        <x:v>可候选；Agent决定是否创建/执行</x:v>
      </x:c>
      <x:c r="F1467" s="30" t="str">
        <x:v>基线：依实际装配启用</x:v>
      </x:c>
    </x:row>
    <x:row r="1468" ht="40" customHeight="1">
      <x:c r="A1468" s="30" t="str">
        <x:v>SC18</x:v>
      </x:c>
      <x:c r="B1468" s="30" t="str">
        <x:v>危险物质/气体暴露现场</x:v>
      </x:c>
      <x:c r="C1468" s="30" t="str">
        <x:v>T008</x:v>
      </x:c>
      <x:c r="D1468" s="30" t="str">
        <x:v>建筑/区域覆盖登记</x:v>
      </x:c>
      <x:c r="E1468" s="30" t="str">
        <x:v>可候选；Agent决定是否创建/执行</x:v>
      </x:c>
      <x:c r="F1468" s="30" t="str">
        <x:v>基线：依实际装配启用</x:v>
      </x:c>
    </x:row>
    <x:row r="1469" ht="40" customHeight="1">
      <x:c r="A1469" s="30" t="str">
        <x:v>SC18</x:v>
      </x:c>
      <x:c r="B1469" s="30" t="str">
        <x:v>危险物质/气体暴露现场</x:v>
      </x:c>
      <x:c r="C1469" s="30" t="str">
        <x:v>T009</x:v>
      </x:c>
      <x:c r="D1469" s="30" t="str">
        <x:v>系统空中人员搜索</x:v>
      </x:c>
      <x:c r="E1469" s="30" t="str">
        <x:v>可候选；Agent决定是否创建/执行</x:v>
      </x:c>
      <x:c r="F1469" s="30" t="str">
        <x:v>基线：依实际装配启用</x:v>
      </x:c>
    </x:row>
    <x:row r="1470" ht="40" customHeight="1">
      <x:c r="A1470" s="30" t="str">
        <x:v>SC18</x:v>
      </x:c>
      <x:c r="B1470" s="30" t="str">
        <x:v>危险物质/气体暴露现场</x:v>
      </x:c>
      <x:c r="C1470" s="30" t="str">
        <x:v>T010</x:v>
      </x:c>
      <x:c r="D1470" s="30" t="str">
        <x:v>线索发现与语义解读</x:v>
      </x:c>
      <x:c r="E1470" s="30" t="str">
        <x:v>可候选；Agent决定是否创建/执行</x:v>
      </x:c>
      <x:c r="F1470" s="30" t="str">
        <x:v>基线：依实际装配启用</x:v>
      </x:c>
    </x:row>
    <x:row r="1471" ht="40" customHeight="1">
      <x:c r="A1471" s="30" t="str">
        <x:v>SC18</x:v>
      </x:c>
      <x:c r="B1471" s="30" t="str">
        <x:v>危险物质/气体暴露现场</x:v>
      </x:c>
      <x:c r="C1471" s="30" t="str">
        <x:v>T011</x:v>
      </x:c>
      <x:c r="D1471" s="30" t="str">
        <x:v>疑似目标多视角复核</x:v>
      </x:c>
      <x:c r="E1471" s="30" t="str">
        <x:v>可候选；Agent决定是否创建/执行</x:v>
      </x:c>
      <x:c r="F1471" s="30" t="str">
        <x:v>基线：依实际装配启用</x:v>
      </x:c>
    </x:row>
    <x:row r="1472" ht="40" customHeight="1">
      <x:c r="A1472" s="30" t="str">
        <x:v>SC18</x:v>
      </x:c>
      <x:c r="B1472" s="30" t="str">
        <x:v>危险物质/气体暴露现场</x:v>
      </x:c>
      <x:c r="C1472" s="30" t="str">
        <x:v>T012</x:v>
      </x:c>
      <x:c r="D1472" s="30" t="str">
        <x:v>目标定位跟踪与跨视角关联</x:v>
      </x:c>
      <x:c r="E1472" s="30" t="str">
        <x:v>可候选；Agent决定是否创建/执行</x:v>
      </x:c>
      <x:c r="F1472" s="30" t="str">
        <x:v>基线：依实际装配启用</x:v>
      </x:c>
    </x:row>
    <x:row r="1473" ht="40" customHeight="1">
      <x:c r="A1473" s="30" t="str">
        <x:v>SC18</x:v>
      </x:c>
      <x:c r="B1473" s="30" t="str">
        <x:v>危险物质/气体暴露现场</x:v>
      </x:c>
      <x:c r="C1473" s="30" t="str">
        <x:v>T013</x:v>
      </x:c>
      <x:c r="D1473" s="30" t="str">
        <x:v>近地外部与狭窄区搜索</x:v>
      </x:c>
      <x:c r="E1473" s="30" t="str">
        <x:v>可候选；Agent决定是否创建/执行</x:v>
      </x:c>
      <x:c r="F1473" s="30" t="str">
        <x:v>基线：依实际装配启用</x:v>
      </x:c>
    </x:row>
    <x:row r="1474" ht="40" customHeight="1">
      <x:c r="A1474" s="30" t="str">
        <x:v>SC18</x:v>
      </x:c>
      <x:c r="B1474" s="30" t="str">
        <x:v>危险物质/气体暴露现场</x:v>
      </x:c>
      <x:c r="C1474" s="30" t="str">
        <x:v>T014</x:v>
      </x:c>
      <x:c r="D1474" s="30" t="str">
        <x:v>建筑内部初次抽象搜索</x:v>
      </x:c>
      <x:c r="E1474" s="30" t="str">
        <x:v>可候选；Agent决定是否创建/执行</x:v>
      </x:c>
      <x:c r="F1474" s="30" t="str">
        <x:v>基线：依实际装配启用</x:v>
      </x:c>
    </x:row>
    <x:row r="1475" ht="40" customHeight="1">
      <x:c r="A1475" s="30" t="str">
        <x:v>SC18</x:v>
      </x:c>
      <x:c r="B1475" s="30" t="str">
        <x:v>危险物质/气体暴露现场</x:v>
      </x:c>
      <x:c r="C1475" s="30" t="str">
        <x:v>T015</x:v>
      </x:c>
      <x:c r="D1475" s="30" t="str">
        <x:v>建筑内部复搜/完整搜索</x:v>
      </x:c>
      <x:c r="E1475" s="30" t="str">
        <x:v>可候选；Agent决定是否创建/执行</x:v>
      </x:c>
      <x:c r="F1475" s="30" t="str">
        <x:v>基线：依实际装配启用</x:v>
      </x:c>
    </x:row>
    <x:row r="1476" ht="40" customHeight="1">
      <x:c r="A1476" s="30" t="str">
        <x:v>SC18</x:v>
      </x:c>
      <x:c r="B1476" s="30" t="str">
        <x:v>危险物质/气体暴露现场</x:v>
      </x:c>
      <x:c r="C1476" s="30" t="str">
        <x:v>T016</x:v>
      </x:c>
      <x:c r="D1476" s="30" t="str">
        <x:v>热成像补充搜索</x:v>
      </x:c>
      <x:c r="E1476" s="30" t="str">
        <x:v>可候选；Agent决定是否创建/执行</x:v>
      </x:c>
      <x:c r="F1476" s="30" t="str">
        <x:v>条件扩展：明确设备/专业服务后启用</x:v>
      </x:c>
    </x:row>
    <x:row r="1477" ht="40" customHeight="1">
      <x:c r="A1477" s="30" t="str">
        <x:v>SC18</x:v>
      </x:c>
      <x:c r="B1477" s="30" t="str">
        <x:v>危险物质/气体暴露现场</x:v>
      </x:c>
      <x:c r="C1477" s="30" t="str">
        <x:v>T017</x:v>
      </x:c>
      <x:c r="D1477" s="30" t="str">
        <x:v>声音线索搜索</x:v>
      </x:c>
      <x:c r="E1477" s="30" t="str">
        <x:v>可候选；Agent决定是否创建/执行</x:v>
      </x:c>
      <x:c r="F1477" s="30" t="str">
        <x:v>条件扩展：明确设备/专业服务后启用</x:v>
      </x:c>
    </x:row>
    <x:row r="1478" ht="40" customHeight="1">
      <x:c r="A1478" s="30" t="str">
        <x:v>SC18</x:v>
      </x:c>
      <x:c r="B1478" s="30" t="str">
        <x:v>危险物质/气体暴露现场</x:v>
      </x:c>
      <x:c r="C1478" s="30" t="str">
        <x:v>T018</x:v>
      </x:c>
      <x:c r="D1478" s="30" t="str">
        <x:v>RF/手机线索搜索</x:v>
      </x:c>
      <x:c r="E1478" s="30" t="str">
        <x:v>可候选；Agent决定是否创建/执行</x:v>
      </x:c>
      <x:c r="F1478" s="30" t="str">
        <x:v>条件扩展：明确设备/专业服务后启用</x:v>
      </x:c>
    </x:row>
    <x:row r="1479" ht="40" customHeight="1">
      <x:c r="A1479" s="30" t="str">
        <x:v>SC18</x:v>
      </x:c>
      <x:c r="B1479" s="30" t="str">
        <x:v>危险物质/气体暴露现场</x:v>
      </x:c>
      <x:c r="C1479" s="30" t="str">
        <x:v>T019</x:v>
      </x:c>
      <x:c r="D1479" s="30" t="str">
        <x:v>空中转场与观察点到达</x:v>
      </x:c>
      <x:c r="E1479" s="30" t="str">
        <x:v>可候选；Agent决定是否创建/执行</x:v>
      </x:c>
      <x:c r="F1479" s="30" t="str">
        <x:v>基线：依实际装配启用</x:v>
      </x:c>
    </x:row>
    <x:row r="1480" ht="40" customHeight="1">
      <x:c r="A1480" s="30" t="str">
        <x:v>SC18</x:v>
      </x:c>
      <x:c r="B1480" s="30" t="str">
        <x:v>危险物质/气体暴露现场</x:v>
      </x:c>
      <x:c r="C1480" s="30" t="str">
        <x:v>T020</x:v>
      </x:c>
      <x:c r="D1480" s="30" t="str">
        <x:v>地面转场与绕行</x:v>
      </x:c>
      <x:c r="E1480" s="30" t="str">
        <x:v>可候选；Agent决定是否创建/执行</x:v>
      </x:c>
      <x:c r="F1480" s="30" t="str">
        <x:v>基线：依实际装配启用</x:v>
      </x:c>
    </x:row>
    <x:row r="1481" ht="40" customHeight="1">
      <x:c r="A1481" s="30" t="str">
        <x:v>SC18</x:v>
      </x:c>
      <x:c r="B1481" s="30" t="str">
        <x:v>危险物质/气体暴露现场</x:v>
      </x:c>
      <x:c r="C1481" s="30" t="str">
        <x:v>T021</x:v>
      </x:c>
      <x:c r="D1481" s="30" t="str">
        <x:v>障碍接近探测与路径验证</x:v>
      </x:c>
      <x:c r="E1481" s="30" t="str">
        <x:v>可候选；Agent决定是否创建/执行</x:v>
      </x:c>
      <x:c r="F1481" s="30" t="str">
        <x:v>基线：依实际装配启用</x:v>
      </x:c>
    </x:row>
    <x:row r="1482" ht="40" customHeight="1">
      <x:c r="A1482" s="30" t="str">
        <x:v>SC18</x:v>
      </x:c>
      <x:c r="B1482" s="30" t="str">
        <x:v>危险物质/气体暴露现场</x:v>
      </x:c>
      <x:c r="C1482" s="30" t="str">
        <x:v>T027</x:v>
      </x:c>
      <x:c r="D1482" s="30" t="str">
        <x:v>建立联系并确认需求</x:v>
      </x:c>
      <x:c r="E1482" s="30" t="str">
        <x:v>可候选；Agent决定是否创建/执行</x:v>
      </x:c>
      <x:c r="F1482" s="30" t="str">
        <x:v>基线：依实际装配启用</x:v>
      </x:c>
    </x:row>
    <x:row r="1483" ht="40" customHeight="1">
      <x:c r="A1483" s="30" t="str">
        <x:v>SC18</x:v>
      </x:c>
      <x:c r="B1483" s="30" t="str">
        <x:v>危险物质/气体暴露现场</x:v>
      </x:c>
      <x:c r="C1483" s="30" t="str">
        <x:v>T028</x:v>
      </x:c>
      <x:c r="D1483" s="30" t="str">
        <x:v>安全警示与避险引导</x:v>
      </x:c>
      <x:c r="E1483" s="30" t="str">
        <x:v>可候选；Agent决定是否创建/执行</x:v>
      </x:c>
      <x:c r="F1483" s="30" t="str">
        <x:v>基线：依实际装配启用</x:v>
      </x:c>
    </x:row>
    <x:row r="1484" ht="40" customHeight="1">
      <x:c r="A1484" s="30" t="str">
        <x:v>SC18</x:v>
      </x:c>
      <x:c r="B1484" s="30" t="str">
        <x:v>危险物质/气体暴露现场</x:v>
      </x:c>
      <x:c r="C1484" s="30" t="str">
        <x:v>T029</x:v>
      </x:c>
      <x:c r="D1484" s="30" t="str">
        <x:v>专业伤员评估与分级</x:v>
      </x:c>
      <x:c r="E1484" s="30" t="str">
        <x:v>可候选；Agent决定是否创建/执行</x:v>
      </x:c>
      <x:c r="F1484" s="30" t="str">
        <x:v>条件扩展：明确设备/专业服务后启用</x:v>
      </x:c>
    </x:row>
    <x:row r="1485" ht="40" customHeight="1">
      <x:c r="A1485" s="30" t="str">
        <x:v>SC18</x:v>
      </x:c>
      <x:c r="B1485" s="30" t="str">
        <x:v>危险物质/气体暴露现场</x:v>
      </x:c>
      <x:c r="C1485" s="30" t="str">
        <x:v>T030</x:v>
      </x:c>
      <x:c r="D1485" s="30" t="str">
        <x:v>人员基础物资支援</x:v>
      </x:c>
      <x:c r="E1485" s="30" t="str">
        <x:v>可候选；Agent决定是否创建/执行</x:v>
      </x:c>
      <x:c r="F1485" s="30" t="str">
        <x:v>基线：依实际装配启用</x:v>
      </x:c>
    </x:row>
    <x:row r="1486" ht="40" customHeight="1">
      <x:c r="A1486" s="30" t="str">
        <x:v>SC18</x:v>
      </x:c>
      <x:c r="B1486" s="30" t="str">
        <x:v>危险物质/气体暴露现场</x:v>
      </x:c>
      <x:c r="C1486" s="30" t="str">
        <x:v>T031</x:v>
      </x:c>
      <x:c r="D1486" s="30" t="str">
        <x:v>专业初步救护</x:v>
      </x:c>
      <x:c r="E1486" s="30" t="str">
        <x:v>可候选；Agent决定是否创建/执行</x:v>
      </x:c>
      <x:c r="F1486" s="30" t="str">
        <x:v>条件扩展：明确设备/专业服务后启用</x:v>
      </x:c>
    </x:row>
    <x:row r="1487" ht="40" customHeight="1">
      <x:c r="A1487" s="30" t="str">
        <x:v>SC18</x:v>
      </x:c>
      <x:c r="B1487" s="30" t="str">
        <x:v>危险物质/气体暴露现场</x:v>
      </x:c>
      <x:c r="C1487" s="30" t="str">
        <x:v>T033</x:v>
      </x:c>
      <x:c r="D1487" s="30" t="str">
        <x:v>人员装载</x:v>
      </x:c>
      <x:c r="E1487" s="30" t="str">
        <x:v>可候选；Agent决定是否创建/执行</x:v>
      </x:c>
      <x:c r="F1487" s="30" t="str">
        <x:v>条件扩展：明确设备/专业服务后启用</x:v>
      </x:c>
    </x:row>
    <x:row r="1488" ht="40" customHeight="1">
      <x:c r="A1488" s="30" t="str">
        <x:v>SC18</x:v>
      </x:c>
      <x:c r="B1488" s="30" t="str">
        <x:v>危险物质/气体暴露现场</x:v>
      </x:c>
      <x:c r="C1488" s="30" t="str">
        <x:v>T034</x:v>
      </x:c>
      <x:c r="D1488" s="30" t="str">
        <x:v>人员转运</x:v>
      </x:c>
      <x:c r="E1488" s="30" t="str">
        <x:v>可候选；Agent决定是否创建/执行</x:v>
      </x:c>
      <x:c r="F1488" s="30" t="str">
        <x:v>条件扩展：明确设备/专业服务后启用</x:v>
      </x:c>
    </x:row>
    <x:row r="1489" ht="40" customHeight="1">
      <x:c r="A1489" s="30" t="str">
        <x:v>SC18</x:v>
      </x:c>
      <x:c r="B1489" s="30" t="str">
        <x:v>危险物质/气体暴露现场</x:v>
      </x:c>
      <x:c r="C1489" s="30" t="str">
        <x:v>T035</x:v>
      </x:c>
      <x:c r="D1489" s="30" t="str">
        <x:v>救援/医疗最终移交</x:v>
      </x:c>
      <x:c r="E1489" s="30" t="str">
        <x:v>可候选；Agent决定是否创建/执行</x:v>
      </x:c>
      <x:c r="F1489" s="30" t="str">
        <x:v>条件扩展：明确设备/专业服务后启用</x:v>
      </x:c>
    </x:row>
    <x:row r="1490" ht="40" customHeight="1">
      <x:c r="A1490" s="30" t="str">
        <x:v>SC18</x:v>
      </x:c>
      <x:c r="B1490" s="30" t="str">
        <x:v>危险物质/气体暴露现场</x:v>
      </x:c>
      <x:c r="C1490" s="30" t="str">
        <x:v>T038</x:v>
      </x:c>
      <x:c r="D1490" s="30" t="str">
        <x:v>货物取用与挂载</x:v>
      </x:c>
      <x:c r="E1490" s="30" t="str">
        <x:v>可候选；Agent决定是否创建/执行</x:v>
      </x:c>
      <x:c r="F1490" s="30" t="str">
        <x:v>基线：依实际装配启用</x:v>
      </x:c>
    </x:row>
    <x:row r="1491" ht="40" customHeight="1">
      <x:c r="A1491" s="30" t="str">
        <x:v>SC18</x:v>
      </x:c>
      <x:c r="B1491" s="30" t="str">
        <x:v>危险物质/气体暴露现场</x:v>
      </x:c>
      <x:c r="C1491" s="30" t="str">
        <x:v>T039</x:v>
      </x:c>
      <x:c r="D1491" s="30" t="str">
        <x:v>无人机精确物资投送</x:v>
      </x:c>
      <x:c r="E1491" s="30" t="str">
        <x:v>可候选；Agent决定是否创建/执行</x:v>
      </x:c>
      <x:c r="F1491" s="30" t="str">
        <x:v>基线：依实际装配启用</x:v>
      </x:c>
    </x:row>
    <x:row r="1492" ht="40" customHeight="1">
      <x:c r="A1492" s="30" t="str">
        <x:v>SC18</x:v>
      </x:c>
      <x:c r="B1492" s="30" t="str">
        <x:v>危险物质/气体暴露现场</x:v>
      </x:c>
      <x:c r="C1492" s="30" t="str">
        <x:v>T040</x:v>
      </x:c>
      <x:c r="D1492" s="30" t="str">
        <x:v>地面物资送达与卸放</x:v>
      </x:c>
      <x:c r="E1492" s="30" t="str">
        <x:v>可候选；Agent决定是否创建/执行</x:v>
      </x:c>
      <x:c r="F1492" s="30" t="str">
        <x:v>基线：依实际装配启用</x:v>
      </x:c>
    </x:row>
    <x:row r="1493" ht="40" customHeight="1">
      <x:c r="A1493" s="30" t="str">
        <x:v>SC18</x:v>
      </x:c>
      <x:c r="B1493" s="30" t="str">
        <x:v>危险物质/气体暴露现场</x:v>
      </x:c>
      <x:c r="C1493" s="30" t="str">
        <x:v>T041</x:v>
      </x:c>
      <x:c r="D1493" s="30" t="str">
        <x:v>交付复核与收货报告</x:v>
      </x:c>
      <x:c r="E1493" s="30" t="str">
        <x:v>可候选；Agent决定是否创建/执行</x:v>
      </x:c>
      <x:c r="F1493" s="30" t="str">
        <x:v>基线：依实际装配启用</x:v>
      </x:c>
    </x:row>
    <x:row r="1494" ht="40" customHeight="1">
      <x:c r="A1494" s="30" t="str">
        <x:v>SC18</x:v>
      </x:c>
      <x:c r="B1494" s="30" t="str">
        <x:v>危险物质/气体暴露现场</x:v>
      </x:c>
      <x:c r="C1494" s="30" t="str">
        <x:v>T042</x:v>
      </x:c>
      <x:c r="D1494" s="30" t="str">
        <x:v>物资/器材补给</x:v>
      </x:c>
      <x:c r="E1494" s="30" t="str">
        <x:v>可候选；Agent决定是否创建/执行</x:v>
      </x:c>
      <x:c r="F1494" s="30" t="str">
        <x:v>基线：依实际装配启用</x:v>
      </x:c>
    </x:row>
    <x:row r="1495" ht="40" customHeight="1">
      <x:c r="A1495" s="30" t="str">
        <x:v>SC18</x:v>
      </x:c>
      <x:c r="B1495" s="30" t="str">
        <x:v>危险物质/气体暴露现场</x:v>
      </x:c>
      <x:c r="C1495" s="30" t="str">
        <x:v>T043</x:v>
      </x:c>
      <x:c r="D1495" s="30" t="str">
        <x:v>平台充电</x:v>
      </x:c>
      <x:c r="E1495" s="30" t="str">
        <x:v>可候选；Agent决定是否创建/执行</x:v>
      </x:c>
      <x:c r="F1495" s="30" t="str">
        <x:v>基线：依实际装配启用</x:v>
      </x:c>
    </x:row>
    <x:row r="1496" ht="40" customHeight="1">
      <x:c r="A1496" s="30" t="str">
        <x:v>SC18</x:v>
      </x:c>
      <x:c r="B1496" s="30" t="str">
        <x:v>危险物质/气体暴露现场</x:v>
      </x:c>
      <x:c r="C1496" s="30" t="str">
        <x:v>T044</x:v>
      </x:c>
      <x:c r="D1496" s="30" t="str">
        <x:v>平台换电</x:v>
      </x:c>
      <x:c r="E1496" s="30" t="str">
        <x:v>可候选；Agent决定是否创建/执行</x:v>
      </x:c>
      <x:c r="F1496" s="30" t="str">
        <x:v>基线：依实际装配启用</x:v>
      </x:c>
    </x:row>
    <x:row r="1497" ht="40" customHeight="1">
      <x:c r="A1497" s="30" t="str">
        <x:v>SC18</x:v>
      </x:c>
      <x:c r="B1497" s="30" t="str">
        <x:v>危险物质/气体暴露现场</x:v>
      </x:c>
      <x:c r="C1497" s="30" t="str">
        <x:v>T045</x:v>
      </x:c>
      <x:c r="D1497" s="30" t="str">
        <x:v>返航/返站与安全撤离</x:v>
      </x:c>
      <x:c r="E1497" s="30" t="str">
        <x:v>可候选；Agent决定是否创建/执行</x:v>
      </x:c>
      <x:c r="F1497" s="30" t="str">
        <x:v>基线：依实际装配启用</x:v>
      </x:c>
    </x:row>
    <x:row r="1498" ht="40" customHeight="1">
      <x:c r="A1498" s="30" t="str">
        <x:v>SC18</x:v>
      </x:c>
      <x:c r="B1498" s="30" t="str">
        <x:v>危险物质/气体暴露现场</x:v>
      </x:c>
      <x:c r="C1498" s="30" t="str">
        <x:v>T046</x:v>
      </x:c>
      <x:c r="D1498" s="30" t="str">
        <x:v>失效平台回收</x:v>
      </x:c>
      <x:c r="E1498" s="30" t="str">
        <x:v>可候选；Agent决定是否创建/执行</x:v>
      </x:c>
      <x:c r="F1498" s="30" t="str">
        <x:v>条件扩展：明确设备/专业服务后启用</x:v>
      </x:c>
    </x:row>
    <x:row r="1499" ht="40" customHeight="1">
      <x:c r="A1499" s="30" t="str">
        <x:v>SC18</x:v>
      </x:c>
      <x:c r="B1499" s="30" t="str">
        <x:v>危险物质/气体暴露现场</x:v>
      </x:c>
      <x:c r="C1499" s="30" t="str">
        <x:v>T047</x:v>
      </x:c>
      <x:c r="D1499" s="30" t="str">
        <x:v>链路探测与质量估计</x:v>
      </x:c>
      <x:c r="E1499" s="30" t="str">
        <x:v>可候选；Agent决定是否创建/执行</x:v>
      </x:c>
      <x:c r="F1499" s="30" t="str">
        <x:v>基线：依实际装配启用</x:v>
      </x:c>
    </x:row>
    <x:row r="1500" ht="40" customHeight="1">
      <x:c r="A1500" s="30" t="str">
        <x:v>SC18</x:v>
      </x:c>
      <x:c r="B1500" s="30" t="str">
        <x:v>危险物质/气体暴露现场</x:v>
      </x:c>
      <x:c r="C1500" s="30" t="str">
        <x:v>T048</x:v>
      </x:c>
      <x:c r="D1500" s="30" t="str">
        <x:v>通信会合与重定位</x:v>
      </x:c>
      <x:c r="E1500" s="30" t="str">
        <x:v>可候选；Agent决定是否创建/执行</x:v>
      </x:c>
      <x:c r="F1500" s="30" t="str">
        <x:v>基线：依实际装配启用</x:v>
      </x:c>
    </x:row>
    <x:row r="1501" ht="40" customHeight="1">
      <x:c r="A1501" s="30" t="str">
        <x:v>SC18</x:v>
      </x:c>
      <x:c r="B1501" s="30" t="str">
        <x:v>危险物质/气体暴露现场</x:v>
      </x:c>
      <x:c r="C1501" s="30" t="str">
        <x:v>T049</x:v>
      </x:c>
      <x:c r="D1501" s="30" t="str">
        <x:v>空中中继保持</x:v>
      </x:c>
      <x:c r="E1501" s="30" t="str">
        <x:v>可候选；Agent决定是否创建/执行</x:v>
      </x:c>
      <x:c r="F1501" s="30" t="str">
        <x:v>基线：依实际装配启用</x:v>
      </x:c>
    </x:row>
    <x:row r="1502" ht="40" customHeight="1">
      <x:c r="A1502" s="30" t="str">
        <x:v>SC18</x:v>
      </x:c>
      <x:c r="B1502" s="30" t="str">
        <x:v>危险物质/气体暴露现场</x:v>
      </x:c>
      <x:c r="C1502" s="30" t="str">
        <x:v>T050</x:v>
      </x:c>
      <x:c r="D1502" s="30" t="str">
        <x:v>通信节点布放</x:v>
      </x:c>
      <x:c r="E1502" s="30" t="str">
        <x:v>可候选；Agent决定是否创建/执行</x:v>
      </x:c>
      <x:c r="F1502" s="30" t="str">
        <x:v>条件扩展：明确设备/专业服务后启用</x:v>
      </x:c>
    </x:row>
    <x:row r="1503" ht="40" customHeight="1">
      <x:c r="A1503" s="30" t="str">
        <x:v>SC18</x:v>
      </x:c>
      <x:c r="B1503" s="30" t="str">
        <x:v>危险物质/气体暴露现场</x:v>
      </x:c>
      <x:c r="C1503" s="30" t="str">
        <x:v>T051</x:v>
      </x:c>
      <x:c r="D1503" s="30" t="str">
        <x:v>多跳业务转发</x:v>
      </x:c>
      <x:c r="E1503" s="30" t="str">
        <x:v>可候选；Agent决定是否创建/执行</x:v>
      </x:c>
      <x:c r="F1503" s="30" t="str">
        <x:v>基线：依实际装配启用</x:v>
      </x:c>
    </x:row>
    <x:row r="1504" ht="40" customHeight="1">
      <x:c r="A1504" s="30" t="str">
        <x:v>SC18</x:v>
      </x:c>
      <x:c r="B1504" s="30" t="str">
        <x:v>危险物质/气体暴露现场</x:v>
      </x:c>
      <x:c r="C1504" s="30" t="str">
        <x:v>T052</x:v>
      </x:c>
      <x:c r="D1504" s="30" t="str">
        <x:v>图像/证据数据上传</x:v>
      </x:c>
      <x:c r="E1504" s="30" t="str">
        <x:v>可候选；Agent决定是否创建/执行</x:v>
      </x:c>
      <x:c r="F1504" s="30" t="str">
        <x:v>基线：依实际装配启用</x:v>
      </x:c>
    </x:row>
    <x:row r="1505" ht="40" customHeight="1">
      <x:c r="A1505" s="30" t="str">
        <x:v>SC18</x:v>
      </x:c>
      <x:c r="B1505" s="30" t="str">
        <x:v>危险物质/气体暴露现场</x:v>
      </x:c>
      <x:c r="C1505" s="30" t="str">
        <x:v>T053</x:v>
      </x:c>
      <x:c r="D1505" s="30" t="str">
        <x:v>可靠回执与超时重传</x:v>
      </x:c>
      <x:c r="E1505" s="30" t="str">
        <x:v>可候选；Agent决定是否创建/执行</x:v>
      </x:c>
      <x:c r="F1505" s="30" t="str">
        <x:v>基线：依实际装配启用</x:v>
      </x:c>
    </x:row>
    <x:row r="1506" ht="40" customHeight="1">
      <x:c r="A1506" s="30" t="str">
        <x:v>SC18</x:v>
      </x:c>
      <x:c r="B1506" s="30" t="str">
        <x:v>危险物质/气体暴露现场</x:v>
      </x:c>
      <x:c r="C1506" s="30" t="str">
        <x:v>T054</x:v>
      </x:c>
      <x:c r="D1506" s="30" t="str">
        <x:v>断联存储-携带-转发</x:v>
      </x:c>
      <x:c r="E1506" s="30" t="str">
        <x:v>可候选；Agent决定是否创建/执行</x:v>
      </x:c>
      <x:c r="F1506" s="30" t="str">
        <x:v>基线：依实际装配启用</x:v>
      </x:c>
    </x:row>
    <x:row r="1507" ht="40" customHeight="1">
      <x:c r="A1507" s="30" t="str">
        <x:v>SC18</x:v>
      </x:c>
      <x:c r="B1507" s="30" t="str">
        <x:v>危险物质/气体暴露现场</x:v>
      </x:c>
      <x:c r="C1507" s="30" t="str">
        <x:v>T055</x:v>
      </x:c>
      <x:c r="D1507" s="30" t="str">
        <x:v>信道/功率/传输优先级调整</x:v>
      </x:c>
      <x:c r="E1507" s="30" t="str">
        <x:v>可候选；Agent决定是否创建/执行</x:v>
      </x:c>
      <x:c r="F1507" s="30" t="str">
        <x:v>基线：依实际装配启用</x:v>
      </x:c>
    </x:row>
    <x:row r="1508" ht="40" customHeight="1">
      <x:c r="A1508" s="30" t="str">
        <x:v>SC18</x:v>
      </x:c>
      <x:c r="B1508" s="30" t="str">
        <x:v>危险物质/气体暴露现场</x:v>
      </x:c>
      <x:c r="C1508" s="30" t="str">
        <x:v>T056</x:v>
      </x:c>
      <x:c r="D1508" s="30" t="str">
        <x:v>失联后的连接恢复</x:v>
      </x:c>
      <x:c r="E1508" s="30" t="str">
        <x:v>可候选；Agent决定是否创建/执行</x:v>
      </x:c>
      <x:c r="F1508" s="30" t="str">
        <x:v>基线：依实际装配启用</x:v>
      </x:c>
    </x:row>
    <x:row r="1509" ht="40" customHeight="1">
      <x:c r="A1509" s="30" t="str">
        <x:v>SC18</x:v>
      </x:c>
      <x:c r="B1509" s="30" t="str">
        <x:v>危险物质/气体暴露现场</x:v>
      </x:c>
      <x:c r="C1509" s="30" t="str">
        <x:v>T057</x:v>
      </x:c>
      <x:c r="D1509" s="30" t="str">
        <x:v>计算与模型服务发现</x:v>
      </x:c>
      <x:c r="E1509" s="30" t="str">
        <x:v>可候选；Agent决定是否创建/执行</x:v>
      </x:c>
      <x:c r="F1509" s="30" t="str">
        <x:v>基线：依实际装配启用</x:v>
      </x:c>
    </x:row>
    <x:row r="1510" ht="40" customHeight="1">
      <x:c r="A1510" s="30" t="str">
        <x:v>SC18</x:v>
      </x:c>
      <x:c r="B1510" s="30" t="str">
        <x:v>危险物质/气体暴露现场</x:v>
      </x:c>
      <x:c r="C1510" s="30" t="str">
        <x:v>T058</x:v>
      </x:c>
      <x:c r="D1510" s="30" t="str">
        <x:v>本地视觉检测</x:v>
      </x:c>
      <x:c r="E1510" s="30" t="str">
        <x:v>可候选；Agent决定是否创建/执行</x:v>
      </x:c>
      <x:c r="F1510" s="30" t="str">
        <x:v>基线：依实际装配启用</x:v>
      </x:c>
    </x:row>
    <x:row r="1511" ht="40" customHeight="1">
      <x:c r="A1511" s="30" t="str">
        <x:v>SC18</x:v>
      </x:c>
      <x:c r="B1511" s="30" t="str">
        <x:v>危险物质/气体暴露现场</x:v>
      </x:c>
      <x:c r="C1511" s="30" t="str">
        <x:v>T059</x:v>
      </x:c>
      <x:c r="D1511" s="30" t="str">
        <x:v>本地语义/任务推理</x:v>
      </x:c>
      <x:c r="E1511" s="30" t="str">
        <x:v>可候选；Agent决定是否创建/执行</x:v>
      </x:c>
      <x:c r="F1511" s="30" t="str">
        <x:v>基线：依实际装配启用</x:v>
      </x:c>
    </x:row>
    <x:row r="1512" ht="40" customHeight="1">
      <x:c r="A1512" s="30" t="str">
        <x:v>SC18</x:v>
      </x:c>
      <x:c r="B1512" s="30" t="str">
        <x:v>危险物质/气体暴露现场</x:v>
      </x:c>
      <x:c r="C1512" s="30" t="str">
        <x:v>T060</x:v>
      </x:c>
      <x:c r="D1512" s="30" t="str">
        <x:v>远程视觉复核/推理卸载</x:v>
      </x:c>
      <x:c r="E1512" s="30" t="str">
        <x:v>可候选；Agent决定是否创建/执行</x:v>
      </x:c>
      <x:c r="F1512" s="30" t="str">
        <x:v>基线：依实际装配启用</x:v>
      </x:c>
    </x:row>
    <x:row r="1513" ht="40" customHeight="1">
      <x:c r="A1513" s="30" t="str">
        <x:v>SC18</x:v>
      </x:c>
      <x:c r="B1513" s="30" t="str">
        <x:v>危险物质/气体暴露现场</x:v>
      </x:c>
      <x:c r="C1513" s="30" t="str">
        <x:v>T061</x:v>
      </x:c>
      <x:c r="D1513" s="30" t="str">
        <x:v>执行节点与模型选择</x:v>
      </x:c>
      <x:c r="E1513" s="30" t="str">
        <x:v>可候选；Agent决定是否创建/执行</x:v>
      </x:c>
      <x:c r="F1513" s="30" t="str">
        <x:v>基线：依实际装配启用</x:v>
      </x:c>
    </x:row>
    <x:row r="1514" ht="40" customHeight="1">
      <x:c r="A1514" s="30" t="str">
        <x:v>SC18</x:v>
      </x:c>
      <x:c r="B1514" s="30" t="str">
        <x:v>危险物质/气体暴露现场</x:v>
      </x:c>
      <x:c r="C1514" s="30" t="str">
        <x:v>T062</x:v>
      </x:c>
      <x:c r="D1514" s="30" t="str">
        <x:v>计算作业准入与排队</x:v>
      </x:c>
      <x:c r="E1514" s="30" t="str">
        <x:v>可候选；Agent决定是否创建/执行</x:v>
      </x:c>
      <x:c r="F1514" s="30" t="str">
        <x:v>基线：依实际装配启用</x:v>
      </x:c>
    </x:row>
    <x:row r="1515" ht="40" customHeight="1">
      <x:c r="A1515" s="30" t="str">
        <x:v>SC18</x:v>
      </x:c>
      <x:c r="B1515" s="30" t="str">
        <x:v>危险物质/气体暴露现场</x:v>
      </x:c>
      <x:c r="C1515" s="30" t="str">
        <x:v>T063</x:v>
      </x:c>
      <x:c r="D1515" s="30" t="str">
        <x:v>模型服务加载/卸载</x:v>
      </x:c>
      <x:c r="E1515" s="30" t="str">
        <x:v>可候选；Agent决定是否创建/执行</x:v>
      </x:c>
      <x:c r="F1515" s="30" t="str">
        <x:v>基线：依实际装配启用</x:v>
      </x:c>
    </x:row>
    <x:row r="1516" ht="40" customHeight="1">
      <x:c r="A1516" s="30" t="str">
        <x:v>SC18</x:v>
      </x:c>
      <x:c r="B1516" s="30" t="str">
        <x:v>危险物质/气体暴露现场</x:v>
      </x:c>
      <x:c r="C1516" s="30" t="str">
        <x:v>T064</x:v>
      </x:c>
      <x:c r="D1516" s="30" t="str">
        <x:v>上下文/表示缓存复用</x:v>
      </x:c>
      <x:c r="E1516" s="30" t="str">
        <x:v>可候选；Agent决定是否创建/执行</x:v>
      </x:c>
      <x:c r="F1516" s="30" t="str">
        <x:v>基线：依实际装配启用</x:v>
      </x:c>
    </x:row>
    <x:row r="1517" ht="40" customHeight="1">
      <x:c r="A1517" s="30" t="str">
        <x:v>SC18</x:v>
      </x:c>
      <x:c r="B1517" s="30" t="str">
        <x:v>危险物质/气体暴露现场</x:v>
      </x:c>
      <x:c r="C1517" s="30" t="str">
        <x:v>T065</x:v>
      </x:c>
      <x:c r="D1517" s="30" t="str">
        <x:v>服务/作业迁移与恢复</x:v>
      </x:c>
      <x:c r="E1517" s="30" t="str">
        <x:v>可候选；Agent决定是否创建/执行</x:v>
      </x:c>
      <x:c r="F1517" s="30" t="str">
        <x:v>条件扩展：明确设备/专业服务后启用</x:v>
      </x:c>
    </x:row>
    <x:row r="1518" ht="40" customHeight="1">
      <x:c r="A1518" s="30" t="str">
        <x:v>SC18</x:v>
      </x:c>
      <x:c r="B1518" s="30" t="str">
        <x:v>危险物质/气体暴露现场</x:v>
      </x:c>
      <x:c r="C1518" s="30" t="str">
        <x:v>T066</x:v>
      </x:c>
      <x:c r="D1518" s="30" t="str">
        <x:v>预算耗尽/失败作业取消重试</x:v>
      </x:c>
      <x:c r="E1518" s="30" t="str">
        <x:v>可候选；Agent决定是否创建/执行</x:v>
      </x:c>
      <x:c r="F1518" s="30" t="str">
        <x:v>基线：依实际装配启用</x:v>
      </x:c>
    </x:row>
    <x:row r="1519" ht="40" customHeight="1">
      <x:c r="A1519" s="30" t="str">
        <x:v>SC18</x:v>
      </x:c>
      <x:c r="B1519" s="30" t="str">
        <x:v>危险物质/气体暴露现场</x:v>
      </x:c>
      <x:c r="C1519" s="30" t="str">
        <x:v>T067</x:v>
      </x:c>
      <x:c r="D1519" s="30" t="str">
        <x:v>批处理/多源联合推理</x:v>
      </x:c>
      <x:c r="E1519" s="30" t="str">
        <x:v>可候选；Agent决定是否创建/执行</x:v>
      </x:c>
      <x:c r="F1519" s="30" t="str">
        <x:v>基线：依实际装配启用</x:v>
      </x:c>
    </x:row>
    <x:row r="1520" ht="40" customHeight="1">
      <x:c r="A1520" s="30" t="str">
        <x:v>SC18</x:v>
      </x:c>
      <x:c r="B1520" s="30" t="str">
        <x:v>危险物质/气体暴露现场</x:v>
      </x:c>
      <x:c r="C1520" s="30" t="str">
        <x:v>T068</x:v>
      </x:c>
      <x:c r="D1520" s="30" t="str">
        <x:v>计算资源释放与缓存清理</x:v>
      </x:c>
      <x:c r="E1520" s="30" t="str">
        <x:v>可候选；Agent决定是否创建/执行</x:v>
      </x:c>
      <x:c r="F1520" s="30" t="str">
        <x:v>基线：依实际装配启用</x:v>
      </x:c>
    </x:row>
    <x:row r="1521" ht="40" customHeight="1">
      <x:c r="A1521" s="30" t="str">
        <x:v>SC18</x:v>
      </x:c>
      <x:c r="B1521" s="30" t="str">
        <x:v>危险物质/气体暴露现场</x:v>
      </x:c>
      <x:c r="C1521" s="30" t="str">
        <x:v>T069</x:v>
      </x:c>
      <x:c r="D1521" s="30" t="str">
        <x:v>跨源时间坐标对齐</x:v>
      </x:c>
      <x:c r="E1521" s="30" t="str">
        <x:v>可候选；Agent决定是否创建/执行</x:v>
      </x:c>
      <x:c r="F1521" s="30" t="str">
        <x:v>基线：依实际装配启用</x:v>
      </x:c>
    </x:row>
    <x:row r="1522" ht="40" customHeight="1">
      <x:c r="A1522" s="30" t="str">
        <x:v>SC18</x:v>
      </x:c>
      <x:c r="B1522" s="30" t="str">
        <x:v>危险物质/气体暴露现场</x:v>
      </x:c>
      <x:c r="C1522" s="30" t="str">
        <x:v>T070</x:v>
      </x:c>
      <x:c r="D1522" s="30" t="str">
        <x:v>任务条件化本地历史检索</x:v>
      </x:c>
      <x:c r="E1522" s="30" t="str">
        <x:v>可候选；Agent决定是否创建/执行</x:v>
      </x:c>
      <x:c r="F1522" s="30" t="str">
        <x:v>基线：依实际装配启用</x:v>
      </x:c>
    </x:row>
    <x:row r="1523" ht="40" customHeight="1">
      <x:c r="A1523" s="30" t="str">
        <x:v>SC18</x:v>
      </x:c>
      <x:c r="B1523" s="30" t="str">
        <x:v>危险物质/气体暴露现场</x:v>
      </x:c>
      <x:c r="C1523" s="30" t="str">
        <x:v>T071</x:v>
      </x:c>
      <x:c r="D1523" s="30" t="str">
        <x:v>图像裁剪/编码/证据打包</x:v>
      </x:c>
      <x:c r="E1523" s="30" t="str">
        <x:v>可候选；Agent决定是否创建/执行</x:v>
      </x:c>
      <x:c r="F1523" s="30" t="str">
        <x:v>基线：依实际装配启用</x:v>
      </x:c>
    </x:row>
    <x:row r="1524" ht="40" customHeight="1">
      <x:c r="A1524" s="30" t="str">
        <x:v>SC18</x:v>
      </x:c>
      <x:c r="B1524" s="30" t="str">
        <x:v>危险物质/气体暴露现场</x:v>
      </x:c>
      <x:c r="C1524" s="30" t="str">
        <x:v>T072</x:v>
      </x:c>
      <x:c r="D1524" s="30" t="str">
        <x:v>置信度与证据充分性判断</x:v>
      </x:c>
      <x:c r="E1524" s="30" t="str">
        <x:v>可候选；Agent决定是否创建/执行</x:v>
      </x:c>
      <x:c r="F1524" s="30" t="str">
        <x:v>基线：依实际装配启用</x:v>
      </x:c>
    </x:row>
    <x:row r="1525" ht="40" customHeight="1">
      <x:c r="A1525" s="30" t="str">
        <x:v>SC18</x:v>
      </x:c>
      <x:c r="B1525" s="30" t="str">
        <x:v>危险物质/气体暴露现场</x:v>
      </x:c>
      <x:c r="C1525" s="30" t="str">
        <x:v>T073</x:v>
      </x:c>
      <x:c r="D1525" s="30" t="str">
        <x:v>多源融合与冲突更正</x:v>
      </x:c>
      <x:c r="E1525" s="30" t="str">
        <x:v>可候选；Agent决定是否创建/执行</x:v>
      </x:c>
      <x:c r="F1525" s="30" t="str">
        <x:v>基线：依实际装配启用</x:v>
      </x:c>
    </x:row>
    <x:row r="1526" ht="40" customHeight="1">
      <x:c r="A1526" s="30" t="str">
        <x:v>SC18</x:v>
      </x:c>
      <x:c r="B1526" s="30" t="str">
        <x:v>危险物质/气体暴露现场</x:v>
      </x:c>
      <x:c r="C1526" s="30" t="str">
        <x:v>T074</x:v>
      </x:c>
      <x:c r="D1526" s="30" t="str">
        <x:v>面向任务的信息选择与共享</x:v>
      </x:c>
      <x:c r="E1526" s="30" t="str">
        <x:v>可候选；Agent决定是否创建/执行</x:v>
      </x:c>
      <x:c r="F1526" s="30" t="str">
        <x:v>基线：依实际装配启用</x:v>
      </x:c>
    </x:row>
    <x:row r="1527" ht="40" customHeight="1">
      <x:c r="A1527" s="30" t="str">
        <x:v>SC18</x:v>
      </x:c>
      <x:c r="B1527" s="30" t="str">
        <x:v>危险物质/气体暴露现场</x:v>
      </x:c>
      <x:c r="C1527" s="30" t="str">
        <x:v>T075</x:v>
      </x:c>
      <x:c r="D1527" s="30" t="str">
        <x:v>局部信念与过时信息维护</x:v>
      </x:c>
      <x:c r="E1527" s="30" t="str">
        <x:v>可候选；Agent决定是否创建/执行</x:v>
      </x:c>
      <x:c r="F1527" s="30" t="str">
        <x:v>基线：依实际装配启用</x:v>
      </x:c>
    </x:row>
    <x:row r="1528" ht="40" customHeight="1">
      <x:c r="A1528" s="30" t="str">
        <x:v>SC18</x:v>
      </x:c>
      <x:c r="B1528" s="30" t="str">
        <x:v>危险物质/气体暴露现场</x:v>
      </x:c>
      <x:c r="C1528" s="30" t="str">
        <x:v>T076</x:v>
      </x:c>
      <x:c r="D1528" s="30" t="str">
        <x:v>轨迹/证据归档与回放</x:v>
      </x:c>
      <x:c r="E1528" s="30" t="str">
        <x:v>可候选；Agent决定是否创建/执行</x:v>
      </x:c>
      <x:c r="F1528" s="30" t="str">
        <x:v>基线：依实际装配启用</x:v>
      </x:c>
    </x:row>
    <x:row r="1529" ht="40" customHeight="1">
      <x:c r="A1529" s="30" t="str">
        <x:v>SC18</x:v>
      </x:c>
      <x:c r="B1529" s="30" t="str">
        <x:v>危险物质/气体暴露现场</x:v>
      </x:c>
      <x:c r="C1529" s="30" t="str">
        <x:v>T077</x:v>
      </x:c>
      <x:c r="D1529" s="30" t="str">
        <x:v>接收并解释当前使命</x:v>
      </x:c>
      <x:c r="E1529" s="30" t="str">
        <x:v>可候选；Agent决定是否创建/执行</x:v>
      </x:c>
      <x:c r="F1529" s="30" t="str">
        <x:v>基线：依实际装配启用</x:v>
      </x:c>
    </x:row>
    <x:row r="1530" ht="40" customHeight="1">
      <x:c r="A1530" s="30" t="str">
        <x:v>SC18</x:v>
      </x:c>
      <x:c r="B1530" s="30" t="str">
        <x:v>危险物质/气体暴露现场</x:v>
      </x:c>
      <x:c r="C1530" s="30" t="str">
        <x:v>T078</x:v>
      </x:c>
      <x:c r="D1530" s="30" t="str">
        <x:v>自主任务分解与候选生成</x:v>
      </x:c>
      <x:c r="E1530" s="30" t="str">
        <x:v>可候选；Agent决定是否创建/执行</x:v>
      </x:c>
      <x:c r="F1530" s="30" t="str">
        <x:v>基线：依实际装配启用</x:v>
      </x:c>
    </x:row>
    <x:row r="1531" ht="40" customHeight="1">
      <x:c r="A1531" s="30" t="str">
        <x:v>SC18</x:v>
      </x:c>
      <x:c r="B1531" s="30" t="str">
        <x:v>危险物质/气体暴露现场</x:v>
      </x:c>
      <x:c r="C1531" s="30" t="str">
        <x:v>T079</x:v>
      </x:c>
      <x:c r="D1531" s="30" t="str">
        <x:v>本机参与筛选与出价</x:v>
      </x:c>
      <x:c r="E1531" s="30" t="str">
        <x:v>可候选；Agent决定是否创建/执行</x:v>
      </x:c>
      <x:c r="F1531" s="30" t="str">
        <x:v>基线：依实际装配启用</x:v>
      </x:c>
    </x:row>
    <x:row r="1532" ht="40" customHeight="1">
      <x:c r="A1532" s="30" t="str">
        <x:v>SC18</x:v>
      </x:c>
      <x:c r="B1532" s="30" t="str">
        <x:v>危险物质/气体暴露现场</x:v>
      </x:c>
      <x:c r="C1532" s="30" t="str">
        <x:v>T080</x:v>
      </x:c>
      <x:c r="D1532" s="30" t="str">
        <x:v>多平台任务分配与协调</x:v>
      </x:c>
      <x:c r="E1532" s="30" t="str">
        <x:v>可候选；Agent决定是否创建/执行</x:v>
      </x:c>
      <x:c r="F1532" s="30" t="str">
        <x:v>基线：依实际装配启用</x:v>
      </x:c>
    </x:row>
    <x:row r="1533" ht="40" customHeight="1">
      <x:c r="A1533" s="30" t="str">
        <x:v>SC18</x:v>
      </x:c>
      <x:c r="B1533" s="30" t="str">
        <x:v>危险物质/气体暴露现场</x:v>
      </x:c>
      <x:c r="C1533" s="30" t="str">
        <x:v>T081</x:v>
      </x:c>
      <x:c r="D1533" s="30" t="str">
        <x:v>任务接受/拒绝与承诺</x:v>
      </x:c>
      <x:c r="E1533" s="30" t="str">
        <x:v>可候选；Agent决定是否创建/执行</x:v>
      </x:c>
      <x:c r="F1533" s="30" t="str">
        <x:v>基线：依实际装配启用</x:v>
      </x:c>
    </x:row>
    <x:row r="1534" ht="40" customHeight="1">
      <x:c r="A1534" s="30" t="str">
        <x:v>SC18</x:v>
      </x:c>
      <x:c r="B1534" s="30" t="str">
        <x:v>危险物质/气体暴露现场</x:v>
      </x:c>
      <x:c r="C1534" s="30" t="str">
        <x:v>T082</x:v>
      </x:c>
      <x:c r="D1534" s="30" t="str">
        <x:v>进度监控与完成确认</x:v>
      </x:c>
      <x:c r="E1534" s="30" t="str">
        <x:v>可候选；Agent决定是否创建/执行</x:v>
      </x:c>
      <x:c r="F1534" s="30" t="str">
        <x:v>基线：依实际装配启用</x:v>
      </x:c>
    </x:row>
    <x:row r="1535" ht="40" customHeight="1">
      <x:c r="A1535" s="30" t="str">
        <x:v>SC18</x:v>
      </x:c>
      <x:c r="B1535" s="30" t="str">
        <x:v>危险物质/气体暴露现场</x:v>
      </x:c>
      <x:c r="C1535" s="30" t="str">
        <x:v>T083</x:v>
      </x:c>
      <x:c r="D1535" s="30" t="str">
        <x:v>任务取消/抢占</x:v>
      </x:c>
      <x:c r="E1535" s="30" t="str">
        <x:v>可候选；Agent决定是否创建/执行</x:v>
      </x:c>
      <x:c r="F1535" s="30" t="str">
        <x:v>基线：依实际装配启用</x:v>
      </x:c>
    </x:row>
    <x:row r="1536" ht="40" customHeight="1">
      <x:c r="A1536" s="30" t="str">
        <x:v>SC18</x:v>
      </x:c>
      <x:c r="B1536" s="30" t="str">
        <x:v>危险物质/气体暴露现场</x:v>
      </x:c>
      <x:c r="C1536" s="30" t="str">
        <x:v>T084</x:v>
      </x:c>
      <x:c r="D1536" s="30" t="str">
        <x:v>恢复原任务</x:v>
      </x:c>
      <x:c r="E1536" s="30" t="str">
        <x:v>可候选；Agent决定是否创建/执行</x:v>
      </x:c>
      <x:c r="F1536" s="30" t="str">
        <x:v>基线：依实际装配启用</x:v>
      </x:c>
    </x:row>
    <x:row r="1537" ht="40" customHeight="1">
      <x:c r="A1537" s="30" t="str">
        <x:v>SC18</x:v>
      </x:c>
      <x:c r="B1537" s="30" t="str">
        <x:v>危险物质/气体暴露现场</x:v>
      </x:c>
      <x:c r="C1537" s="30" t="str">
        <x:v>T085</x:v>
      </x:c>
      <x:c r="D1537" s="30" t="str">
        <x:v>跨Agent任务与证据交接</x:v>
      </x:c>
      <x:c r="E1537" s="30" t="str">
        <x:v>可候选；Agent决定是否创建/执行</x:v>
      </x:c>
      <x:c r="F1537" s="30" t="str">
        <x:v>基线：依实际装配启用</x:v>
      </x:c>
    </x:row>
    <x:row r="1538" ht="40" customHeight="1">
      <x:c r="A1538" s="30" t="str">
        <x:v>SC18</x:v>
      </x:c>
      <x:c r="B1538" s="30" t="str">
        <x:v>危险物质/气体暴露现场</x:v>
      </x:c>
      <x:c r="C1538" s="30" t="str">
        <x:v>T086</x:v>
      </x:c>
      <x:c r="D1538" s="30" t="str">
        <x:v>失败重规划与重派</x:v>
      </x:c>
      <x:c r="E1538" s="30" t="str">
        <x:v>可候选；Agent决定是否创建/执行</x:v>
      </x:c>
      <x:c r="F1538" s="30" t="str">
        <x:v>基线：依实际装配启用</x:v>
      </x:c>
    </x:row>
    <x:row r="1539" ht="40" customHeight="1">
      <x:c r="A1539" s="30" t="str">
        <x:v>SC18</x:v>
      </x:c>
      <x:c r="B1539" s="30" t="str">
        <x:v>危险物质/气体暴露现场</x:v>
      </x:c>
      <x:c r="C1539" s="30" t="str">
        <x:v>T087</x:v>
      </x:c>
      <x:c r="D1539" s="30" t="str">
        <x:v>请求专业救援/工程力量</x:v>
      </x:c>
      <x:c r="E1539" s="30" t="str">
        <x:v>可候选；Agent决定是否创建/执行</x:v>
      </x:c>
      <x:c r="F1539" s="30" t="str">
        <x:v>基线：依实际装配启用</x:v>
      </x:c>
    </x:row>
    <x:row r="1540" ht="40" customHeight="1">
      <x:c r="A1540" s="30" t="str">
        <x:v>SC18</x:v>
      </x:c>
      <x:c r="B1540" s="30" t="str">
        <x:v>危险物质/气体暴露现场</x:v>
      </x:c>
      <x:c r="C1540" s="30" t="str">
        <x:v>T088</x:v>
      </x:c>
      <x:c r="D1540" s="30" t="str">
        <x:v>工作现场闭合与阶段移交</x:v>
      </x:c>
      <x:c r="E1540" s="30" t="str">
        <x:v>可候选；Agent决定是否创建/执行</x:v>
      </x:c>
      <x:c r="F1540" s="30" t="str">
        <x:v>基线：依实际装配启用</x:v>
      </x:c>
    </x:row>
    <x:row r="1541" ht="40" customHeight="1">
      <x:c r="A1541" s="30" t="str">
        <x:v>SC18</x:v>
      </x:c>
      <x:c r="B1541" s="30" t="str">
        <x:v>危险物质/气体暴露现场</x:v>
      </x:c>
      <x:c r="C1541" s="30" t="str">
        <x:v>T089</x:v>
      </x:c>
      <x:c r="D1541" s="30" t="str">
        <x:v>次生危险动态监视</x:v>
      </x:c>
      <x:c r="E1541" s="30" t="str">
        <x:v>可候选；Agent决定是否创建/执行</x:v>
      </x:c>
      <x:c r="F1541" s="30" t="str">
        <x:v>基线：依实际装配启用</x:v>
      </x:c>
    </x:row>
    <x:row r="1542" ht="40" customHeight="1">
      <x:c r="A1542" s="30" t="str">
        <x:v>SC18</x:v>
      </x:c>
      <x:c r="B1542" s="30" t="str">
        <x:v>危险物质/气体暴露现场</x:v>
      </x:c>
      <x:c r="C1542" s="30" t="str">
        <x:v>T090</x:v>
      </x:c>
      <x:c r="D1542" s="30" t="str">
        <x:v>平台/能源/服务健康监视</x:v>
      </x:c>
      <x:c r="E1542" s="30" t="str">
        <x:v>可候选；Agent决定是否创建/执行</x:v>
      </x:c>
      <x:c r="F1542" s="30" t="str">
        <x:v>基线：依实际装配启用</x:v>
      </x:c>
    </x:row>
    <x:row r="1543" ht="40" customHeight="1">
      <x:c r="A1543" s="30" t="str">
        <x:v>SC18</x:v>
      </x:c>
      <x:c r="B1543" s="30" t="str">
        <x:v>危险物质/气体暴露现场</x:v>
      </x:c>
      <x:c r="C1543" s="30" t="str">
        <x:v>T091</x:v>
      </x:c>
      <x:c r="D1543" s="30" t="str">
        <x:v>安全等待与驻留观察</x:v>
      </x:c>
      <x:c r="E1543" s="30" t="str">
        <x:v>可候选；Agent决定是否创建/执行</x:v>
      </x:c>
      <x:c r="F1543" s="30" t="str">
        <x:v>基线：依实际装配启用</x:v>
      </x:c>
    </x:row>
    <x:row r="1544" ht="40" customHeight="1">
      <x:c r="A1544" s="30" t="str">
        <x:v>SC18</x:v>
      </x:c>
      <x:c r="B1544" s="30" t="str">
        <x:v>危险物质/气体暴露现场</x:v>
      </x:c>
      <x:c r="C1544" s="30" t="str">
        <x:v>T092</x:v>
      </x:c>
      <x:c r="D1544" s="30" t="str">
        <x:v>设备/传感器/服务故障诊断</x:v>
      </x:c>
      <x:c r="E1544" s="30" t="str">
        <x:v>可候选；Agent决定是否创建/执行</x:v>
      </x:c>
      <x:c r="F1544" s="30" t="str">
        <x:v>基线：依实际装配启用</x:v>
      </x:c>
    </x:row>
    <x:row r="1545" ht="40" customHeight="1">
      <x:c r="A1545" s="30" t="str">
        <x:v>SC18</x:v>
      </x:c>
      <x:c r="B1545" s="30" t="str">
        <x:v>危险物质/气体暴露现场</x:v>
      </x:c>
      <x:c r="C1545" s="30" t="str">
        <x:v>T095</x:v>
      </x:c>
      <x:c r="D1545" s="30" t="str">
        <x:v>危险源隔离/警戒区建立</x:v>
      </x:c>
      <x:c r="E1545" s="30" t="str">
        <x:v>可候选；Agent决定是否创建/执行</x:v>
      </x:c>
      <x:c r="F1545" s="30" t="str">
        <x:v>条件扩展：明确设备/专业服务后启用</x:v>
      </x:c>
    </x:row>
    <x:row r="1546" ht="40" customHeight="1">
      <x:c r="A1546" s="30" t="str">
        <x:v>SC18</x:v>
      </x:c>
      <x:c r="B1546" s="30" t="str">
        <x:v>危险物质/气体暴露现场</x:v>
      </x:c>
      <x:c r="C1546" s="30" t="str">
        <x:v>T096</x:v>
      </x:c>
      <x:c r="D1546" s="30" t="str">
        <x:v>跨模型特征/潜表示适配</x:v>
      </x:c>
      <x:c r="E1546" s="30" t="str">
        <x:v>可候选；Agent决定是否创建/执行</x:v>
      </x:c>
      <x:c r="F1546" s="30" t="str">
        <x:v>条件扩展：明确设备/专业服务后启用</x:v>
      </x:c>
    </x:row>
  </x:sheetData>
  <x:mergeCells>
    <x:mergeCell ref="A1:F1"/>
    <x:mergeCell ref="A2:F2"/>
  </x:mergeCells>
  <x:pageMargins left="0.7" right="0.7" top="0.75" bottom="0.75" header="0.3" footer="0.3"/>
  <x:tableParts count="1">
    <x:tablePart xmlns:r="http://schemas.openxmlformats.org/officeDocument/2006/relationships" r:id="R3a60a5a6f18b44f0"/>
  </x:tableParts>
</x:worksheet>
</file>

<file path=xl/worksheets/sheet16.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2" hidden="0" customWidth="1"/>
    <x:col min="2" max="2" width="12" hidden="0" customWidth="1"/>
    <x:col min="3" max="3" width="48" hidden="0" customWidth="1"/>
    <x:col min="4" max="4" width="24" hidden="0" customWidth="1"/>
    <x:col min="5" max="5" width="80" hidden="0" customWidth="1"/>
  </x:cols>
  <x:sheetData>
    <x:row r="1" ht="33" customHeight="1">
      <x:c r="A1" s="8" t="str">
        <x:v>操作—字段schema依赖全展开</x:v>
      </x:c>
      <x:c r="B1" s="8"/>
      <x:c r="C1" s="8"/>
      <x:c r="D1" s="8"/>
      <x:c r="E1" s="8"/>
    </x:row>
    <x:row r="2" ht="34" customHeight="1">
      <x:c r="A2" s="15" t="str">
        <x:v>输入schema是适配器可能使用的字段范围，不代表Agent获准读取真值；认知/规划侧只能取本机数据、授权底图和已收快照。关键直接效果另列</x:v>
      </x:c>
      <x:c r="B2" s="15"/>
      <x:c r="C2" s="15"/>
      <x:c r="D2" s="15"/>
      <x:c r="E2" s="15"/>
    </x:row>
    <x:row r="3">
      <x:c r="A3" s="4"/>
      <x:c r="B3" s="4"/>
      <x:c r="C3" s="4"/>
      <x:c r="D3" s="4"/>
      <x:c r="E3" s="4"/>
    </x:row>
    <x:row r="4" ht="29" customHeight="1">
      <x:c r="A4" s="23" t="str">
        <x:v>操作ID</x:v>
      </x:c>
      <x:c r="B4" s="23" t="str">
        <x:v>字段ID</x:v>
      </x:c>
      <x:c r="C4" s="23" t="str">
        <x:v>字段名</x:v>
      </x:c>
      <x:c r="D4" s="23" t="str">
        <x:v>关系</x:v>
      </x:c>
      <x:c r="E4" s="23" t="str">
        <x:v>权限/提交约束</x:v>
      </x:c>
    </x:row>
    <x:row r="5" ht="32" customHeight="1">
      <x:c r="A5" s="30" t="str">
        <x:v>A001</x:v>
      </x:c>
      <x:c r="B5" s="30" t="str">
        <x:v>F001</x:v>
      </x:c>
      <x:c r="C5" s="30" t="str">
        <x:v>entity.id</x:v>
      </x:c>
      <x:c r="D5" s="30" t="str">
        <x:v>候选输入schema</x:v>
      </x:c>
      <x:c r="E5" s="30" t="str">
        <x:v>按执行角色权限读取；策略只能使用可访问快照</x:v>
      </x:c>
    </x:row>
    <x:row r="6" ht="32" customHeight="1">
      <x:c r="A6" s="30" t="str">
        <x:v>A001</x:v>
      </x:c>
      <x:c r="B6" s="30" t="str">
        <x:v>F002</x:v>
      </x:c>
      <x:c r="C6" s="30" t="str">
        <x:v>entity.kind</x:v>
      </x:c>
      <x:c r="D6" s="30" t="str">
        <x:v>候选输入schema</x:v>
      </x:c>
      <x:c r="E6" s="30" t="str">
        <x:v>按执行角色权限读取；策略只能使用可访问快照</x:v>
      </x:c>
    </x:row>
    <x:row r="7" ht="32" customHeight="1">
      <x:c r="A7" s="30" t="str">
        <x:v>A001</x:v>
      </x:c>
      <x:c r="B7" s="30" t="str">
        <x:v>F003</x:v>
      </x:c>
      <x:c r="C7" s="30" t="str">
        <x:v>entity.parent_id</x:v>
      </x:c>
      <x:c r="D7" s="30" t="str">
        <x:v>候选输入schema</x:v>
      </x:c>
      <x:c r="E7" s="30" t="str">
        <x:v>按执行角色权限读取；策略只能使用可访问快照</x:v>
      </x:c>
    </x:row>
    <x:row r="8" ht="32" customHeight="1">
      <x:c r="A8" s="30" t="str">
        <x:v>A001</x:v>
      </x:c>
      <x:c r="B8" s="30" t="str">
        <x:v>F004</x:v>
      </x:c>
      <x:c r="C8" s="30" t="str">
        <x:v>entity.pose</x:v>
      </x:c>
      <x:c r="D8" s="30" t="str">
        <x:v>候选输入schema</x:v>
      </x:c>
      <x:c r="E8" s="30" t="str">
        <x:v>按执行角色权限读取；策略只能使用可访问快照</x:v>
      </x:c>
    </x:row>
    <x:row r="9" ht="32" customHeight="1">
      <x:c r="A9" s="30" t="str">
        <x:v>A001</x:v>
      </x:c>
      <x:c r="B9" s="30" t="str">
        <x:v>F005</x:v>
      </x:c>
      <x:c r="C9" s="30" t="str">
        <x:v>entity.footprint</x:v>
      </x:c>
      <x:c r="D9" s="30" t="str">
        <x:v>候选输入schema</x:v>
      </x:c>
      <x:c r="E9" s="30" t="str">
        <x:v>按执行角色权限读取；策略只能使用可访问快照</x:v>
      </x:c>
    </x:row>
    <x:row r="10" ht="32" customHeight="1">
      <x:c r="A10" s="30" t="str">
        <x:v>A001</x:v>
      </x:c>
      <x:c r="B10" s="30" t="str">
        <x:v>F006</x:v>
      </x:c>
      <x:c r="C10" s="30" t="str">
        <x:v>entity.height_m</x:v>
      </x:c>
      <x:c r="D10" s="30" t="str">
        <x:v>候选输入schema</x:v>
      </x:c>
      <x:c r="E10" s="30" t="str">
        <x:v>按执行角色权限读取；策略只能使用可访问快照</x:v>
      </x:c>
    </x:row>
    <x:row r="11" ht="32" customHeight="1">
      <x:c r="A11" s="30" t="str">
        <x:v>A001</x:v>
      </x:c>
      <x:c r="B11" s="30" t="str">
        <x:v>F007</x:v>
      </x:c>
      <x:c r="C11" s="30" t="str">
        <x:v>entity.region_id</x:v>
      </x:c>
      <x:c r="D11" s="30" t="str">
        <x:v>候选输入schema</x:v>
      </x:c>
      <x:c r="E11" s="30" t="str">
        <x:v>按执行角色权限读取；策略只能使用可访问快照</x:v>
      </x:c>
    </x:row>
    <x:row r="12" ht="32" customHeight="1">
      <x:c r="A12" s="30" t="str">
        <x:v>A001</x:v>
      </x:c>
      <x:c r="B12" s="30" t="str">
        <x:v>F008</x:v>
      </x:c>
      <x:c r="C12" s="30" t="str">
        <x:v>entity.revision</x:v>
      </x:c>
      <x:c r="D12" s="30" t="str">
        <x:v>候选输入schema</x:v>
      </x:c>
      <x:c r="E12" s="30" t="str">
        <x:v>按执行角色权限读取；策略只能使用可访问快照</x:v>
      </x:c>
    </x:row>
    <x:row r="13" ht="32" customHeight="1">
      <x:c r="A13" s="30" t="str">
        <x:v>A001</x:v>
      </x:c>
      <x:c r="B13" s="30" t="str">
        <x:v>F009</x:v>
      </x:c>
      <x:c r="C13" s="30" t="str">
        <x:v>entity.provenance</x:v>
      </x:c>
      <x:c r="D13" s="30" t="str">
        <x:v>候选输入schema</x:v>
      </x:c>
      <x:c r="E13" s="30" t="str">
        <x:v>按执行角色权限读取；策略只能使用可访问快照</x:v>
      </x:c>
    </x:row>
    <x:row r="14" ht="32" customHeight="1">
      <x:c r="A14" s="30" t="str">
        <x:v>A001</x:v>
      </x:c>
      <x:c r="B14" s="30" t="str">
        <x:v>F010</x:v>
      </x:c>
      <x:c r="C14" s="30" t="str">
        <x:v>hazard.kind</x:v>
      </x:c>
      <x:c r="D14" s="30" t="str">
        <x:v>候选输入schema</x:v>
      </x:c>
      <x:c r="E14" s="30" t="str">
        <x:v>按执行角色权限读取；策略只能使用可访问快照</x:v>
      </x:c>
    </x:row>
    <x:row r="15" ht="32" customHeight="1">
      <x:c r="A15" s="30" t="str">
        <x:v>A001</x:v>
      </x:c>
      <x:c r="B15" s="30" t="str">
        <x:v>F011</x:v>
      </x:c>
      <x:c r="C15" s="30" t="str">
        <x:v>hazard.footprint</x:v>
      </x:c>
      <x:c r="D15" s="30" t="str">
        <x:v>候选输入schema</x:v>
      </x:c>
      <x:c r="E15" s="30" t="str">
        <x:v>按执行角色权限读取；策略只能使用可访问快照</x:v>
      </x:c>
    </x:row>
    <x:row r="16" ht="32" customHeight="1">
      <x:c r="A16" s="30" t="str">
        <x:v>A001</x:v>
      </x:c>
      <x:c r="B16" s="30" t="str">
        <x:v>F012</x:v>
      </x:c>
      <x:c r="C16" s="30" t="str">
        <x:v>hazard.intensity</x:v>
      </x:c>
      <x:c r="D16" s="30" t="str">
        <x:v>候选输入schema</x:v>
      </x:c>
      <x:c r="E16" s="30" t="str">
        <x:v>按执行角色权限读取；策略只能使用可访问快照</x:v>
      </x:c>
    </x:row>
    <x:row r="17" ht="32" customHeight="1">
      <x:c r="A17" s="30" t="str">
        <x:v>A001</x:v>
      </x:c>
      <x:c r="B17" s="30" t="str">
        <x:v>F013</x:v>
      </x:c>
      <x:c r="C17" s="30" t="str">
        <x:v>hazard.active</x:v>
      </x:c>
      <x:c r="D17" s="30" t="str">
        <x:v>候选输入schema</x:v>
      </x:c>
      <x:c r="E17" s="30" t="str">
        <x:v>按执行角色权限读取；策略只能使用可访问快照</x:v>
      </x:c>
    </x:row>
    <x:row r="18" ht="32" customHeight="1">
      <x:c r="A18" s="30" t="str">
        <x:v>A001</x:v>
      </x:c>
      <x:c r="B18" s="30" t="str">
        <x:v>F014</x:v>
      </x:c>
      <x:c r="C18" s="30" t="str">
        <x:v>hazard.water_depth_m</x:v>
      </x:c>
      <x:c r="D18" s="30" t="str">
        <x:v>候选输入schema</x:v>
      </x:c>
      <x:c r="E18" s="30" t="str">
        <x:v>按执行角色权限读取；策略只能使用可访问快照</x:v>
      </x:c>
    </x:row>
    <x:row r="19" ht="32" customHeight="1">
      <x:c r="A19" s="30" t="str">
        <x:v>A001</x:v>
      </x:c>
      <x:c r="B19" s="30" t="str">
        <x:v>F015</x:v>
      </x:c>
      <x:c r="C19" s="30" t="str">
        <x:v>hazard.flow_speed_mps</x:v>
      </x:c>
      <x:c r="D19" s="30" t="str">
        <x:v>候选输入schema</x:v>
      </x:c>
      <x:c r="E19" s="30" t="str">
        <x:v>按执行角色权限读取；策略只能使用可访问快照</x:v>
      </x:c>
    </x:row>
    <x:row r="20" ht="32" customHeight="1">
      <x:c r="A20" s="30" t="str">
        <x:v>A001</x:v>
      </x:c>
      <x:c r="B20" s="30" t="str">
        <x:v>F016</x:v>
      </x:c>
      <x:c r="C20" s="30" t="str">
        <x:v>hazard.smoke_density</x:v>
      </x:c>
      <x:c r="D20" s="30" t="str">
        <x:v>候选输入schema</x:v>
      </x:c>
      <x:c r="E20" s="30" t="str">
        <x:v>按执行角色权限读取；策略只能使用可访问快照</x:v>
      </x:c>
    </x:row>
    <x:row r="21" ht="32" customHeight="1">
      <x:c r="A21" s="30" t="str">
        <x:v>A001</x:v>
      </x:c>
      <x:c r="B21" s="30" t="str">
        <x:v>F017</x:v>
      </x:c>
      <x:c r="C21" s="30" t="str">
        <x:v>hazard.fire_intensity</x:v>
      </x:c>
      <x:c r="D21" s="30" t="str">
        <x:v>候选输入schema</x:v>
      </x:c>
      <x:c r="E21" s="30" t="str">
        <x:v>按执行角色权限读取；策略只能使用可访问快照</x:v>
      </x:c>
    </x:row>
    <x:row r="22" ht="32" customHeight="1">
      <x:c r="A22" s="30" t="str">
        <x:v>A001</x:v>
      </x:c>
      <x:c r="B22" s="30" t="str">
        <x:v>F018</x:v>
      </x:c>
      <x:c r="C22" s="30" t="str">
        <x:v>hazard.gas_level</x:v>
      </x:c>
      <x:c r="D22" s="30" t="str">
        <x:v>候选输入schema</x:v>
      </x:c>
      <x:c r="E22" s="30" t="str">
        <x:v>按执行角色权限读取；策略只能使用可访问快照</x:v>
      </x:c>
    </x:row>
    <x:row r="23" ht="32" customHeight="1">
      <x:c r="A23" s="30" t="str">
        <x:v>A001</x:v>
      </x:c>
      <x:c r="B23" s="30" t="str">
        <x:v>F019</x:v>
      </x:c>
      <x:c r="C23" s="30" t="str">
        <x:v>hazard.wind_mps</x:v>
      </x:c>
      <x:c r="D23" s="30" t="str">
        <x:v>候选输入schema</x:v>
      </x:c>
      <x:c r="E23" s="30" t="str">
        <x:v>按执行角色权限读取；策略只能使用可访问快照</x:v>
      </x:c>
    </x:row>
    <x:row r="24" ht="32" customHeight="1">
      <x:c r="A24" s="30" t="str">
        <x:v>A001</x:v>
      </x:c>
      <x:c r="B24" s="30" t="str">
        <x:v>F020</x:v>
      </x:c>
      <x:c r="C24" s="30" t="str">
        <x:v>hazard.visibility_m</x:v>
      </x:c>
      <x:c r="D24" s="30" t="str">
        <x:v>候选输入schema</x:v>
      </x:c>
      <x:c r="E24" s="30" t="str">
        <x:v>按执行角色权限读取；策略只能使用可访问快照</x:v>
      </x:c>
    </x:row>
    <x:row r="25" ht="32" customHeight="1">
      <x:c r="A25" s="30" t="str">
        <x:v>A001</x:v>
      </x:c>
      <x:c r="B25" s="30" t="str">
        <x:v>F021</x:v>
      </x:c>
      <x:c r="C25" s="30" t="str">
        <x:v>hazard.weather</x:v>
      </x:c>
      <x:c r="D25" s="30" t="str">
        <x:v>候选输入schema</x:v>
      </x:c>
      <x:c r="E25" s="30" t="str">
        <x:v>按执行角色权限读取；策略只能使用可访问快照</x:v>
      </x:c>
    </x:row>
    <x:row r="26" ht="32" customHeight="1">
      <x:c r="A26" s="30" t="str">
        <x:v>A001</x:v>
      </x:c>
      <x:c r="B26" s="30" t="str">
        <x:v>F022</x:v>
      </x:c>
      <x:c r="C26" s="30" t="str">
        <x:v>hazard.illumination</x:v>
      </x:c>
      <x:c r="D26" s="30" t="str">
        <x:v>候选输入schema</x:v>
      </x:c>
      <x:c r="E26" s="30" t="str">
        <x:v>按执行角色权限读取；策略只能使用可访问快照</x:v>
      </x:c>
    </x:row>
    <x:row r="27" ht="32" customHeight="1">
      <x:c r="A27" s="30" t="str">
        <x:v>A001</x:v>
      </x:c>
      <x:c r="B27" s="30" t="str">
        <x:v>F023</x:v>
      </x:c>
      <x:c r="C27" s="30" t="str">
        <x:v>hazard.secondary_event</x:v>
      </x:c>
      <x:c r="D27" s="30" t="str">
        <x:v>候选输入schema</x:v>
      </x:c>
      <x:c r="E27" s="30" t="str">
        <x:v>按执行角色权限读取；策略只能使用可访问快照</x:v>
      </x:c>
    </x:row>
    <x:row r="28" ht="32" customHeight="1">
      <x:c r="A28" s="30" t="str">
        <x:v>A001</x:v>
      </x:c>
      <x:c r="B28" s="30" t="str">
        <x:v>F024</x:v>
      </x:c>
      <x:c r="C28" s="30" t="str">
        <x:v>hazard.exclusion_zone</x:v>
      </x:c>
      <x:c r="D28" s="30" t="str">
        <x:v>候选输入schema</x:v>
      </x:c>
      <x:c r="E28" s="30" t="str">
        <x:v>按执行角色权限读取；策略只能使用可访问快照</x:v>
      </x:c>
    </x:row>
    <x:row r="29" ht="32" customHeight="1">
      <x:c r="A29" s="30" t="str">
        <x:v>A001</x:v>
      </x:c>
      <x:c r="B29" s="30" t="str">
        <x:v>F025</x:v>
      </x:c>
      <x:c r="C29" s="30" t="str">
        <x:v>hazard.expiry_s</x:v>
      </x:c>
      <x:c r="D29" s="30" t="str">
        <x:v>候选输入schema</x:v>
      </x:c>
      <x:c r="E29" s="30" t="str">
        <x:v>按执行角色权限读取；策略只能使用可访问快照</x:v>
      </x:c>
    </x:row>
    <x:row r="30" ht="32" customHeight="1">
      <x:c r="A30" s="30" t="str">
        <x:v>A001</x:v>
      </x:c>
      <x:c r="B30" s="30" t="str">
        <x:v>F044</x:v>
      </x:c>
      <x:c r="C30" s="30" t="str">
        <x:v>road.centerline</x:v>
      </x:c>
      <x:c r="D30" s="30" t="str">
        <x:v>候选输入schema</x:v>
      </x:c>
      <x:c r="E30" s="30" t="str">
        <x:v>按执行角色权限读取；策略只能使用可访问快照</x:v>
      </x:c>
    </x:row>
    <x:row r="31" ht="32" customHeight="1">
      <x:c r="A31" s="30" t="str">
        <x:v>A001</x:v>
      </x:c>
      <x:c r="B31" s="30" t="str">
        <x:v>F045</x:v>
      </x:c>
      <x:c r="C31" s="30" t="str">
        <x:v>road.width_m</x:v>
      </x:c>
      <x:c r="D31" s="30" t="str">
        <x:v>候选输入schema</x:v>
      </x:c>
      <x:c r="E31" s="30" t="str">
        <x:v>按执行角色权限读取；策略只能使用可访问快照</x:v>
      </x:c>
    </x:row>
    <x:row r="32" ht="32" customHeight="1">
      <x:c r="A32" s="30" t="str">
        <x:v>A001</x:v>
      </x:c>
      <x:c r="B32" s="30" t="str">
        <x:v>F046</x:v>
      </x:c>
      <x:c r="C32" s="30" t="str">
        <x:v>road.surface</x:v>
      </x:c>
      <x:c r="D32" s="30" t="str">
        <x:v>候选输入schema</x:v>
      </x:c>
      <x:c r="E32" s="30" t="str">
        <x:v>按执行角色权限读取；策略只能使用可访问快照</x:v>
      </x:c>
    </x:row>
    <x:row r="33" ht="32" customHeight="1">
      <x:c r="A33" s="30" t="str">
        <x:v>A001</x:v>
      </x:c>
      <x:c r="B33" s="30" t="str">
        <x:v>F047</x:v>
      </x:c>
      <x:c r="C33" s="30" t="str">
        <x:v>road.from_node</x:v>
      </x:c>
      <x:c r="D33" s="30" t="str">
        <x:v>候选输入schema</x:v>
      </x:c>
      <x:c r="E33" s="30" t="str">
        <x:v>按执行角色权限读取；策略只能使用可访问快照</x:v>
      </x:c>
    </x:row>
    <x:row r="34" ht="32" customHeight="1">
      <x:c r="A34" s="30" t="str">
        <x:v>A001</x:v>
      </x:c>
      <x:c r="B34" s="30" t="str">
        <x:v>F048</x:v>
      </x:c>
      <x:c r="C34" s="30" t="str">
        <x:v>road.to_node</x:v>
      </x:c>
      <x:c r="D34" s="30" t="str">
        <x:v>候选输入schema</x:v>
      </x:c>
      <x:c r="E34" s="30" t="str">
        <x:v>按执行角色权限读取；策略只能使用可访问快照</x:v>
      </x:c>
    </x:row>
    <x:row r="35" ht="32" customHeight="1">
      <x:c r="A35" s="30" t="str">
        <x:v>A001</x:v>
      </x:c>
      <x:c r="B35" s="30" t="str">
        <x:v>F049</x:v>
      </x:c>
      <x:c r="C35" s="30" t="str">
        <x:v>road.obstacle_ids</x:v>
      </x:c>
      <x:c r="D35" s="30" t="str">
        <x:v>候选输入schema</x:v>
      </x:c>
      <x:c r="E35" s="30" t="str">
        <x:v>按执行角色权限读取；策略只能使用可访问快照</x:v>
      </x:c>
    </x:row>
    <x:row r="36" ht="32" customHeight="1">
      <x:c r="A36" s="30" t="str">
        <x:v>A001</x:v>
      </x:c>
      <x:c r="B36" s="30" t="str">
        <x:v>F050</x:v>
      </x:c>
      <x:c r="C36" s="30" t="str">
        <x:v>road.clear_width_m</x:v>
      </x:c>
      <x:c r="D36" s="30" t="str">
        <x:v>候选输入schema</x:v>
      </x:c>
      <x:c r="E36" s="30" t="str">
        <x:v>按执行角色权限读取；策略只能使用可访问快照</x:v>
      </x:c>
    </x:row>
    <x:row r="37" ht="32" customHeight="1">
      <x:c r="A37" s="30" t="str">
        <x:v>A001</x:v>
      </x:c>
      <x:c r="B37" s="30" t="str">
        <x:v>F051</x:v>
      </x:c>
      <x:c r="C37" s="30" t="str">
        <x:v>road.clear_height_m</x:v>
      </x:c>
      <x:c r="D37" s="30" t="str">
        <x:v>候选输入schema</x:v>
      </x:c>
      <x:c r="E37" s="30" t="str">
        <x:v>按执行角色权限读取；策略只能使用可访问快照</x:v>
      </x:c>
    </x:row>
    <x:row r="38" ht="32" customHeight="1">
      <x:c r="A38" s="30" t="str">
        <x:v>A001</x:v>
      </x:c>
      <x:c r="B38" s="30" t="str">
        <x:v>F052</x:v>
      </x:c>
      <x:c r="C38" s="30" t="str">
        <x:v>road.turn_radius_m</x:v>
      </x:c>
      <x:c r="D38" s="30" t="str">
        <x:v>候选输入schema</x:v>
      </x:c>
      <x:c r="E38" s="30" t="str">
        <x:v>按执行角色权限读取；策略只能使用可访问快照</x:v>
      </x:c>
    </x:row>
    <x:row r="39" ht="32" customHeight="1">
      <x:c r="A39" s="30" t="str">
        <x:v>A001</x:v>
      </x:c>
      <x:c r="B39" s="30" t="str">
        <x:v>F053</x:v>
      </x:c>
      <x:c r="C39" s="30" t="str">
        <x:v>road.step_height_m</x:v>
      </x:c>
      <x:c r="D39" s="30" t="str">
        <x:v>候选输入schema</x:v>
      </x:c>
      <x:c r="E39" s="30" t="str">
        <x:v>按执行角色权限读取；策略只能使用可访问快照</x:v>
      </x:c>
    </x:row>
    <x:row r="40" ht="32" customHeight="1">
      <x:c r="A40" s="30" t="str">
        <x:v>A001</x:v>
      </x:c>
      <x:c r="B40" s="30" t="str">
        <x:v>F054</x:v>
      </x:c>
      <x:c r="C40" s="30" t="str">
        <x:v>road.entry_state</x:v>
      </x:c>
      <x:c r="D40" s="30" t="str">
        <x:v>候选输入schema</x:v>
      </x:c>
      <x:c r="E40" s="30" t="str">
        <x:v>按执行角色权限读取；策略只能使用可访问快照</x:v>
      </x:c>
    </x:row>
    <x:row r="41" ht="32" customHeight="1">
      <x:c r="A41" s="30" t="str">
        <x:v>A001</x:v>
      </x:c>
      <x:c r="B41" s="30" t="str">
        <x:v>F055</x:v>
      </x:c>
      <x:c r="C41" s="30" t="str">
        <x:v>road.water_depth_m</x:v>
      </x:c>
      <x:c r="D41" s="30" t="str">
        <x:v>候选输入schema</x:v>
      </x:c>
      <x:c r="E41" s="30" t="str">
        <x:v>按执行角色权限读取；策略只能使用可访问快照</x:v>
      </x:c>
    </x:row>
    <x:row r="42" ht="32" customHeight="1">
      <x:c r="A42" s="30" t="str">
        <x:v>A001</x:v>
      </x:c>
      <x:c r="B42" s="30" t="str">
        <x:v>F056</x:v>
      </x:c>
      <x:c r="C42" s="30" t="str">
        <x:v>road.passability</x:v>
      </x:c>
      <x:c r="D42" s="30" t="str">
        <x:v>候选输入schema</x:v>
      </x:c>
      <x:c r="E42" s="30" t="str">
        <x:v>按执行角色权限读取；策略只能使用可访问快照</x:v>
      </x:c>
    </x:row>
    <x:row r="43" ht="32" customHeight="1">
      <x:c r="A43" s="30" t="str">
        <x:v>A001</x:v>
      </x:c>
      <x:c r="B43" s="30" t="str">
        <x:v>F057</x:v>
      </x:c>
      <x:c r="C43" s="30" t="str">
        <x:v>road.travel_cost</x:v>
      </x:c>
      <x:c r="D43" s="30" t="str">
        <x:v>候选输入schema</x:v>
      </x:c>
      <x:c r="E43" s="30" t="str">
        <x:v>按执行角色权限读取；策略只能使用可访问快照</x:v>
      </x:c>
    </x:row>
    <x:row r="44" ht="32" customHeight="1">
      <x:c r="A44" s="30" t="str">
        <x:v>A001</x:v>
      </x:c>
      <x:c r="B44" s="30" t="str">
        <x:v>F058</x:v>
      </x:c>
      <x:c r="C44" s="30" t="str">
        <x:v>road.topology_revision</x:v>
      </x:c>
      <x:c r="D44" s="30" t="str">
        <x:v>候选输入schema</x:v>
      </x:c>
      <x:c r="E44" s="30" t="str">
        <x:v>按执行角色权限读取；策略只能使用可访问快照</x:v>
      </x:c>
    </x:row>
    <x:row r="45" ht="32" customHeight="1">
      <x:c r="A45" s="30" t="str">
        <x:v>A001</x:v>
      </x:c>
      <x:c r="B45" s="30" t="str">
        <x:v>F095</x:v>
      </x:c>
      <x:c r="C45" s="30" t="str">
        <x:v>platform.kind</x:v>
      </x:c>
      <x:c r="D45" s="30" t="str">
        <x:v>候选输入schema</x:v>
      </x:c>
      <x:c r="E45" s="30" t="str">
        <x:v>按执行角色权限读取；策略只能使用可访问快照</x:v>
      </x:c>
    </x:row>
    <x:row r="46" ht="32" customHeight="1">
      <x:c r="A46" s="30" t="str">
        <x:v>A001</x:v>
      </x:c>
      <x:c r="B46" s="30" t="str">
        <x:v>F096</x:v>
      </x:c>
      <x:c r="C46" s="30" t="str">
        <x:v>platform.capability_ids</x:v>
      </x:c>
      <x:c r="D46" s="30" t="str">
        <x:v>候选输入schema</x:v>
      </x:c>
      <x:c r="E46" s="30" t="str">
        <x:v>按执行角色权限读取；策略只能使用可访问快照</x:v>
      </x:c>
    </x:row>
    <x:row r="47" ht="32" customHeight="1">
      <x:c r="A47" s="30" t="str">
        <x:v>A001</x:v>
      </x:c>
      <x:c r="B47" s="30" t="str">
        <x:v>F097</x:v>
      </x:c>
      <x:c r="C47" s="30" t="str">
        <x:v>platform.equipment_ids</x:v>
      </x:c>
      <x:c r="D47" s="30" t="str">
        <x:v>候选输入schema</x:v>
      </x:c>
      <x:c r="E47" s="30" t="str">
        <x:v>按执行角色权限读取；策略只能使用可访问快照</x:v>
      </x:c>
    </x:row>
    <x:row r="48" ht="32" customHeight="1">
      <x:c r="A48" s="30" t="str">
        <x:v>A001</x:v>
      </x:c>
      <x:c r="B48" s="30" t="str">
        <x:v>F098</x:v>
      </x:c>
      <x:c r="C48" s="30" t="str">
        <x:v>platform.width_m</x:v>
      </x:c>
      <x:c r="D48" s="30" t="str">
        <x:v>候选输入schema</x:v>
      </x:c>
      <x:c r="E48" s="30" t="str">
        <x:v>按执行角色权限读取；策略只能使用可访问快照</x:v>
      </x:c>
    </x:row>
    <x:row r="49" ht="32" customHeight="1">
      <x:c r="A49" s="30" t="str">
        <x:v>A001</x:v>
      </x:c>
      <x:c r="B49" s="30" t="str">
        <x:v>F099</x:v>
      </x:c>
      <x:c r="C49" s="30" t="str">
        <x:v>platform.height_m</x:v>
      </x:c>
      <x:c r="D49" s="30" t="str">
        <x:v>候选输入schema</x:v>
      </x:c>
      <x:c r="E49" s="30" t="str">
        <x:v>按执行角色权限读取；策略只能使用可访问快照</x:v>
      </x:c>
    </x:row>
    <x:row r="50" ht="32" customHeight="1">
      <x:c r="A50" s="30" t="str">
        <x:v>A001</x:v>
      </x:c>
      <x:c r="B50" s="30" t="str">
        <x:v>F100</x:v>
      </x:c>
      <x:c r="C50" s="30" t="str">
        <x:v>platform.swept_radius_m</x:v>
      </x:c>
      <x:c r="D50" s="30" t="str">
        <x:v>候选输入schema</x:v>
      </x:c>
      <x:c r="E50" s="30" t="str">
        <x:v>按执行角色权限读取；策略只能使用可访问快照</x:v>
      </x:c>
    </x:row>
    <x:row r="51" ht="32" customHeight="1">
      <x:c r="A51" s="30" t="str">
        <x:v>A001</x:v>
      </x:c>
      <x:c r="B51" s="30" t="str">
        <x:v>F101</x:v>
      </x:c>
      <x:c r="C51" s="30" t="str">
        <x:v>platform.payload_capacity_kg</x:v>
      </x:c>
      <x:c r="D51" s="30" t="str">
        <x:v>候选输入schema</x:v>
      </x:c>
      <x:c r="E51" s="30" t="str">
        <x:v>按执行角色权限读取；策略只能使用可访问快照</x:v>
      </x:c>
    </x:row>
    <x:row r="52" ht="32" customHeight="1">
      <x:c r="A52" s="30" t="str">
        <x:v>A001</x:v>
      </x:c>
      <x:c r="B52" s="30" t="str">
        <x:v>F102</x:v>
      </x:c>
      <x:c r="C52" s="30" t="str">
        <x:v>platform.payload_used_kg</x:v>
      </x:c>
      <x:c r="D52" s="30" t="str">
        <x:v>候选输入schema</x:v>
      </x:c>
      <x:c r="E52" s="30" t="str">
        <x:v>按执行角色权限读取；策略只能使用可访问快照</x:v>
      </x:c>
    </x:row>
    <x:row r="53" ht="32" customHeight="1">
      <x:c r="A53" s="30" t="str">
        <x:v>A001</x:v>
      </x:c>
      <x:c r="B53" s="30" t="str">
        <x:v>F103</x:v>
      </x:c>
      <x:c r="C53" s="30" t="str">
        <x:v>platform.payload_item_ids</x:v>
      </x:c>
      <x:c r="D53" s="30" t="str">
        <x:v>候选输入schema</x:v>
      </x:c>
      <x:c r="E53" s="30" t="str">
        <x:v>按执行角色权限读取；策略只能使用可访问快照</x:v>
      </x:c>
    </x:row>
    <x:row r="54" ht="32" customHeight="1">
      <x:c r="A54" s="30" t="str">
        <x:v>A001</x:v>
      </x:c>
      <x:c r="B54" s="30" t="str">
        <x:v>F104</x:v>
      </x:c>
      <x:c r="C54" s="30" t="str">
        <x:v>platform.battery_capacity_Wh</x:v>
      </x:c>
      <x:c r="D54" s="30" t="str">
        <x:v>候选输入schema</x:v>
      </x:c>
      <x:c r="E54" s="30" t="str">
        <x:v>按执行角色权限读取；策略只能使用可访问快照</x:v>
      </x:c>
    </x:row>
    <x:row r="55" ht="32" customHeight="1">
      <x:c r="A55" s="30" t="str">
        <x:v>A001</x:v>
      </x:c>
      <x:c r="B55" s="30" t="str">
        <x:v>F105</x:v>
      </x:c>
      <x:c r="C55" s="30" t="str">
        <x:v>platform.battery_remaining_Wh</x:v>
      </x:c>
      <x:c r="D55" s="30" t="str">
        <x:v>候选输入schema</x:v>
      </x:c>
      <x:c r="E55" s="30" t="str">
        <x:v>按执行角色权限读取；策略只能使用可访问快照</x:v>
      </x:c>
    </x:row>
    <x:row r="56" ht="32" customHeight="1">
      <x:c r="A56" s="30" t="str">
        <x:v>A001</x:v>
      </x:c>
      <x:c r="B56" s="30" t="str">
        <x:v>F106</x:v>
      </x:c>
      <x:c r="C56" s="30" t="str">
        <x:v>platform.reserve_Wh</x:v>
      </x:c>
      <x:c r="D56" s="30" t="str">
        <x:v>候选输入schema</x:v>
      </x:c>
      <x:c r="E56" s="30" t="str">
        <x:v>按执行角色权限读取；策略只能使用可访问快照</x:v>
      </x:c>
    </x:row>
    <x:row r="57" ht="32" customHeight="1">
      <x:c r="A57" s="30" t="str">
        <x:v>A001</x:v>
      </x:c>
      <x:c r="B57" s="30" t="str">
        <x:v>F107</x:v>
      </x:c>
      <x:c r="C57" s="30" t="str">
        <x:v>platform.speed_limit_mps</x:v>
      </x:c>
      <x:c r="D57" s="30" t="str">
        <x:v>候选输入schema</x:v>
      </x:c>
      <x:c r="E57" s="30" t="str">
        <x:v>按执行角色权限读取；策略只能使用可访问快照</x:v>
      </x:c>
    </x:row>
    <x:row r="58" ht="32" customHeight="1">
      <x:c r="A58" s="30" t="str">
        <x:v>A001</x:v>
      </x:c>
      <x:c r="B58" s="30" t="str">
        <x:v>F108</x:v>
      </x:c>
      <x:c r="C58" s="30" t="str">
        <x:v>platform.energy_model</x:v>
      </x:c>
      <x:c r="D58" s="30" t="str">
        <x:v>候选输入schema</x:v>
      </x:c>
      <x:c r="E58" s="30" t="str">
        <x:v>按执行角色权限读取；策略只能使用可访问快照</x:v>
      </x:c>
    </x:row>
    <x:row r="59" ht="32" customHeight="1">
      <x:c r="A59" s="30" t="str">
        <x:v>A001</x:v>
      </x:c>
      <x:c r="B59" s="30" t="str">
        <x:v>F109</x:v>
      </x:c>
      <x:c r="C59" s="30" t="str">
        <x:v>platform.motion_state</x:v>
      </x:c>
      <x:c r="D59" s="30" t="str">
        <x:v>候选输入schema</x:v>
      </x:c>
      <x:c r="E59" s="30" t="str">
        <x:v>按执行角色权限读取；策略只能使用可访问快照</x:v>
      </x:c>
    </x:row>
    <x:row r="60" ht="32" customHeight="1">
      <x:c r="A60" s="30" t="str">
        <x:v>A001</x:v>
      </x:c>
      <x:c r="B60" s="30" t="str">
        <x:v>F110</x:v>
      </x:c>
      <x:c r="C60" s="30" t="str">
        <x:v>platform.health_state</x:v>
      </x:c>
      <x:c r="D60" s="30" t="str">
        <x:v>候选输入schema</x:v>
      </x:c>
      <x:c r="E60" s="30" t="str">
        <x:v>按执行角色权限读取；策略只能使用可访问快照</x:v>
      </x:c>
    </x:row>
    <x:row r="61" ht="32" customHeight="1">
      <x:c r="A61" s="30" t="str">
        <x:v>A001</x:v>
      </x:c>
      <x:c r="B61" s="30" t="str">
        <x:v>F111</x:v>
      </x:c>
      <x:c r="C61" s="30" t="str">
        <x:v>platform.current_action_id</x:v>
      </x:c>
      <x:c r="D61" s="30" t="str">
        <x:v>候选输入schema</x:v>
      </x:c>
      <x:c r="E61" s="30" t="str">
        <x:v>按执行角色权限读取；策略只能使用可访问快照</x:v>
      </x:c>
    </x:row>
    <x:row r="62" ht="32" customHeight="1">
      <x:c r="A62" s="30" t="str">
        <x:v>A001</x:v>
      </x:c>
      <x:c r="B62" s="30" t="str">
        <x:v>F112</x:v>
      </x:c>
      <x:c r="C62" s="30" t="str">
        <x:v>platform.busy_until_est_s</x:v>
      </x:c>
      <x:c r="D62" s="30" t="str">
        <x:v>候选输入schema</x:v>
      </x:c>
      <x:c r="E62" s="30" t="str">
        <x:v>按执行角色权限读取；策略只能使用可访问快照</x:v>
      </x:c>
    </x:row>
    <x:row r="63" ht="32" customHeight="1">
      <x:c r="A63" s="30" t="str">
        <x:v>A001</x:v>
      </x:c>
      <x:c r="B63" s="30" t="str">
        <x:v>F113</x:v>
      </x:c>
      <x:c r="C63" s="30" t="str">
        <x:v>platform.return_site_id</x:v>
      </x:c>
      <x:c r="D63" s="30" t="str">
        <x:v>候选输入schema</x:v>
      </x:c>
      <x:c r="E63" s="30" t="str">
        <x:v>按执行角色权限读取；策略只能使用可访问快照</x:v>
      </x:c>
    </x:row>
    <x:row r="64" ht="32" customHeight="1">
      <x:c r="A64" s="30" t="str">
        <x:v>A001</x:v>
      </x:c>
      <x:c r="B64" s="30" t="str">
        <x:v>F114</x:v>
      </x:c>
      <x:c r="C64" s="30" t="str">
        <x:v>platform.water_tolerance_m</x:v>
      </x:c>
      <x:c r="D64" s="30" t="str">
        <x:v>候选输入schema</x:v>
      </x:c>
      <x:c r="E64" s="30" t="str">
        <x:v>按执行角色权限读取；策略只能使用可访问快照</x:v>
      </x:c>
    </x:row>
    <x:row r="65" ht="32" customHeight="1">
      <x:c r="A65" s="30" t="str">
        <x:v>A001</x:v>
      </x:c>
      <x:c r="B65" s="30" t="str">
        <x:v>F115</x:v>
      </x:c>
      <x:c r="C65" s="30" t="str">
        <x:v>platform.concurrency_policy</x:v>
      </x:c>
      <x:c r="D65" s="30" t="str">
        <x:v>候选输入schema</x:v>
      </x:c>
      <x:c r="E65" s="30" t="str">
        <x:v>按执行角色权限读取；策略只能使用可访问快照</x:v>
      </x:c>
    </x:row>
    <x:row r="66" ht="32" customHeight="1">
      <x:c r="A66" s="30" t="str">
        <x:v>A001</x:v>
      </x:c>
      <x:c r="B66" s="30" t="str">
        <x:v>F196</x:v>
      </x:c>
      <x:c r="C66" s="30" t="str">
        <x:v>task.type</x:v>
      </x:c>
      <x:c r="D66" s="30" t="str">
        <x:v>候选输入schema</x:v>
      </x:c>
      <x:c r="E66" s="30" t="str">
        <x:v>按执行角色权限读取；策略只能使用可访问快照</x:v>
      </x:c>
    </x:row>
    <x:row r="67" ht="32" customHeight="1">
      <x:c r="A67" s="30" t="str">
        <x:v>A001</x:v>
      </x:c>
      <x:c r="B67" s="30" t="str">
        <x:v>F197</x:v>
      </x:c>
      <x:c r="C67" s="30" t="str">
        <x:v>task.creator_id</x:v>
      </x:c>
      <x:c r="D67" s="30" t="str">
        <x:v>候选输入schema</x:v>
      </x:c>
      <x:c r="E67" s="30" t="str">
        <x:v>按执行角色权限读取；策略只能使用可访问快照</x:v>
      </x:c>
    </x:row>
    <x:row r="68" ht="32" customHeight="1">
      <x:c r="A68" s="30" t="str">
        <x:v>A001</x:v>
      </x:c>
      <x:c r="B68" s="30" t="str">
        <x:v>F198</x:v>
      </x:c>
      <x:c r="C68" s="30" t="str">
        <x:v>task.target_ref</x:v>
      </x:c>
      <x:c r="D68" s="30" t="str">
        <x:v>候选输入schema</x:v>
      </x:c>
      <x:c r="E68" s="30" t="str">
        <x:v>按执行角色权限读取；策略只能使用可访问快照</x:v>
      </x:c>
    </x:row>
    <x:row r="69" ht="32" customHeight="1">
      <x:c r="A69" s="30" t="str">
        <x:v>A001</x:v>
      </x:c>
      <x:c r="B69" s="30" t="str">
        <x:v>F199</x:v>
      </x:c>
      <x:c r="C69" s="30" t="str">
        <x:v>task.goal_predicate</x:v>
      </x:c>
      <x:c r="D69" s="30" t="str">
        <x:v>候选输入schema</x:v>
      </x:c>
      <x:c r="E69" s="30" t="str">
        <x:v>按执行角色权限读取；策略只能使用可访问快照</x:v>
      </x:c>
    </x:row>
    <x:row r="70" ht="32" customHeight="1">
      <x:c r="A70" s="30" t="str">
        <x:v>A001</x:v>
      </x:c>
      <x:c r="B70" s="30" t="str">
        <x:v>F200</x:v>
      </x:c>
      <x:c r="C70" s="30" t="str">
        <x:v>task.revision</x:v>
      </x:c>
      <x:c r="D70" s="30" t="str">
        <x:v>候选输入schema</x:v>
      </x:c>
      <x:c r="E70" s="30" t="str">
        <x:v>按执行角色权限读取；策略只能使用可访问快照</x:v>
      </x:c>
    </x:row>
    <x:row r="71" ht="32" customHeight="1">
      <x:c r="A71" s="30" t="str">
        <x:v>A001</x:v>
      </x:c>
      <x:c r="B71" s="30" t="str">
        <x:v>F201</x:v>
      </x:c>
      <x:c r="C71" s="30" t="str">
        <x:v>task.status</x:v>
      </x:c>
      <x:c r="D71" s="30" t="str">
        <x:v>候选输入schema</x:v>
      </x:c>
      <x:c r="E71" s="30" t="str">
        <x:v>按执行角色权限读取；策略只能使用可访问快照</x:v>
      </x:c>
    </x:row>
    <x:row r="72" ht="32" customHeight="1">
      <x:c r="A72" s="30" t="str">
        <x:v>A001</x:v>
      </x:c>
      <x:c r="B72" s="30" t="str">
        <x:v>F202</x:v>
      </x:c>
      <x:c r="C72" s="30" t="str">
        <x:v>task.priority</x:v>
      </x:c>
      <x:c r="D72" s="30" t="str">
        <x:v>候选输入schema</x:v>
      </x:c>
      <x:c r="E72" s="30" t="str">
        <x:v>按执行角色权限读取；策略只能使用可访问快照</x:v>
      </x:c>
    </x:row>
    <x:row r="73" ht="32" customHeight="1">
      <x:c r="A73" s="30" t="str">
        <x:v>A001</x:v>
      </x:c>
      <x:c r="B73" s="30" t="str">
        <x:v>F203</x:v>
      </x:c>
      <x:c r="C73" s="30" t="str">
        <x:v>task.deadline_s</x:v>
      </x:c>
      <x:c r="D73" s="30" t="str">
        <x:v>候选输入schema</x:v>
      </x:c>
      <x:c r="E73" s="30" t="str">
        <x:v>按执行角色权限读取；策略只能使用可访问快照</x:v>
      </x:c>
    </x:row>
    <x:row r="74" ht="32" customHeight="1">
      <x:c r="A74" s="30" t="str">
        <x:v>A001</x:v>
      </x:c>
      <x:c r="B74" s="30" t="str">
        <x:v>F204</x:v>
      </x:c>
      <x:c r="C74" s="30" t="str">
        <x:v>task.dependency_ids</x:v>
      </x:c>
      <x:c r="D74" s="30" t="str">
        <x:v>候选输入schema</x:v>
      </x:c>
      <x:c r="E74" s="30" t="str">
        <x:v>按执行角色权限读取；策略只能使用可访问快照</x:v>
      </x:c>
    </x:row>
    <x:row r="75" ht="32" customHeight="1">
      <x:c r="A75" s="30" t="str">
        <x:v>A001</x:v>
      </x:c>
      <x:c r="B75" s="30" t="str">
        <x:v>F205</x:v>
      </x:c>
      <x:c r="C75" s="30" t="str">
        <x:v>task.required_capability_ids</x:v>
      </x:c>
      <x:c r="D75" s="30" t="str">
        <x:v>候选输入schema</x:v>
      </x:c>
      <x:c r="E75" s="30" t="str">
        <x:v>按执行角色权限读取；策略只能使用可访问快照</x:v>
      </x:c>
    </x:row>
    <x:row r="76" ht="32" customHeight="1">
      <x:c r="A76" s="30" t="str">
        <x:v>A001</x:v>
      </x:c>
      <x:c r="B76" s="30" t="str">
        <x:v>F206</x:v>
      </x:c>
      <x:c r="C76" s="30" t="str">
        <x:v>task.resource_budget</x:v>
      </x:c>
      <x:c r="D76" s="30" t="str">
        <x:v>候选输入schema</x:v>
      </x:c>
      <x:c r="E76" s="30" t="str">
        <x:v>按执行角色权限读取；策略只能使用可访问快照</x:v>
      </x:c>
    </x:row>
    <x:row r="77" ht="32" customHeight="1">
      <x:c r="A77" s="30" t="str">
        <x:v>A001</x:v>
      </x:c>
      <x:c r="B77" s="30" t="str">
        <x:v>F207</x:v>
      </x:c>
      <x:c r="C77" s="30" t="str">
        <x:v>task.assigned_to</x:v>
      </x:c>
      <x:c r="D77" s="30" t="str">
        <x:v>候选输入schema</x:v>
      </x:c>
      <x:c r="E77" s="30" t="str">
        <x:v>按执行角色权限读取；策略只能使用可访问快照</x:v>
      </x:c>
    </x:row>
    <x:row r="78" ht="32" customHeight="1">
      <x:c r="A78" s="30" t="str">
        <x:v>A001</x:v>
      </x:c>
      <x:c r="B78" s="30" t="str">
        <x:v>F208</x:v>
      </x:c>
      <x:c r="C78" s="30" t="str">
        <x:v>task.accepted_by</x:v>
      </x:c>
      <x:c r="D78" s="30" t="str">
        <x:v>候选输入schema</x:v>
      </x:c>
      <x:c r="E78" s="30" t="str">
        <x:v>按执行角色权限读取；策略只能使用可访问快照</x:v>
      </x:c>
    </x:row>
    <x:row r="79" ht="32" customHeight="1">
      <x:c r="A79" s="30" t="str">
        <x:v>A001</x:v>
      </x:c>
      <x:c r="B79" s="30" t="str">
        <x:v>F209</x:v>
      </x:c>
      <x:c r="C79" s="30" t="str">
        <x:v>task.commitment_window</x:v>
      </x:c>
      <x:c r="D79" s="30" t="str">
        <x:v>候选输入schema</x:v>
      </x:c>
      <x:c r="E79" s="30" t="str">
        <x:v>按执行角色权限读取；策略只能使用可访问快照</x:v>
      </x:c>
    </x:row>
    <x:row r="80" ht="32" customHeight="1">
      <x:c r="A80" s="30" t="str">
        <x:v>A001</x:v>
      </x:c>
      <x:c r="B80" s="30" t="str">
        <x:v>F210</x:v>
      </x:c>
      <x:c r="C80" s="30" t="str">
        <x:v>task.progress</x:v>
      </x:c>
      <x:c r="D80" s="30" t="str">
        <x:v>候选输入schema</x:v>
      </x:c>
      <x:c r="E80" s="30" t="str">
        <x:v>按执行角色权限读取；策略只能使用可访问快照</x:v>
      </x:c>
    </x:row>
    <x:row r="81" ht="32" customHeight="1">
      <x:c r="A81" s="30" t="str">
        <x:v>A001</x:v>
      </x:c>
      <x:c r="B81" s="30" t="str">
        <x:v>F211</x:v>
      </x:c>
      <x:c r="C81" s="30" t="str">
        <x:v>task.active_action_ids</x:v>
      </x:c>
      <x:c r="D81" s="30" t="str">
        <x:v>候选输入schema</x:v>
      </x:c>
      <x:c r="E81" s="30" t="str">
        <x:v>按执行角色权限读取；策略只能使用可访问快照</x:v>
      </x:c>
    </x:row>
    <x:row r="82" ht="32" customHeight="1">
      <x:c r="A82" s="30" t="str">
        <x:v>A001</x:v>
      </x:c>
      <x:c r="B82" s="30" t="str">
        <x:v>F212</x:v>
      </x:c>
      <x:c r="C82" s="30" t="str">
        <x:v>task.interruptibility</x:v>
      </x:c>
      <x:c r="D82" s="30" t="str">
        <x:v>候选输入schema</x:v>
      </x:c>
      <x:c r="E82" s="30" t="str">
        <x:v>按执行角色权限读取；策略只能使用可访问快照</x:v>
      </x:c>
    </x:row>
    <x:row r="83" ht="32" customHeight="1">
      <x:c r="A83" s="30" t="str">
        <x:v>A001</x:v>
      </x:c>
      <x:c r="B83" s="30" t="str">
        <x:v>F213</x:v>
      </x:c>
      <x:c r="C83" s="30" t="str">
        <x:v>task.original_task_id</x:v>
      </x:c>
      <x:c r="D83" s="30" t="str">
        <x:v>候选输入schema</x:v>
      </x:c>
      <x:c r="E83" s="30" t="str">
        <x:v>按执行角色权限读取；策略只能使用可访问快照</x:v>
      </x:c>
    </x:row>
    <x:row r="84" ht="32" customHeight="1">
      <x:c r="A84" s="30" t="str">
        <x:v>A001</x:v>
      </x:c>
      <x:c r="B84" s="30" t="str">
        <x:v>F214</x:v>
      </x:c>
      <x:c r="C84" s="30" t="str">
        <x:v>task.resume_checkpoint</x:v>
      </x:c>
      <x:c r="D84" s="30" t="str">
        <x:v>候选输入schema</x:v>
      </x:c>
      <x:c r="E84" s="30" t="str">
        <x:v>按执行角色权限读取；策略只能使用可访问快照</x:v>
      </x:c>
    </x:row>
    <x:row r="85" ht="32" customHeight="1">
      <x:c r="A85" s="30" t="str">
        <x:v>A001</x:v>
      </x:c>
      <x:c r="B85" s="30" t="str">
        <x:v>F215</x:v>
      </x:c>
      <x:c r="C85" s="30" t="str">
        <x:v>task.handoff_target_id</x:v>
      </x:c>
      <x:c r="D85" s="30" t="str">
        <x:v>候选输入schema</x:v>
      </x:c>
      <x:c r="E85" s="30" t="str">
        <x:v>按执行角色权限读取；策略只能使用可访问快照</x:v>
      </x:c>
    </x:row>
    <x:row r="86" ht="32" customHeight="1">
      <x:c r="A86" s="30" t="str">
        <x:v>A001</x:v>
      </x:c>
      <x:c r="B86" s="30" t="str">
        <x:v>F216</x:v>
      </x:c>
      <x:c r="C86" s="30" t="str">
        <x:v>task.result_evidence_ids</x:v>
      </x:c>
      <x:c r="D86" s="30" t="str">
        <x:v>候选输入schema</x:v>
      </x:c>
      <x:c r="E86" s="30" t="str">
        <x:v>按执行角色权限读取；策略只能使用可访问快照</x:v>
      </x:c>
    </x:row>
    <x:row r="87" ht="32" customHeight="1">
      <x:c r="A87" s="30" t="str">
        <x:v>A001</x:v>
      </x:c>
      <x:c r="B87" s="30" t="str">
        <x:v>F217</x:v>
      </x:c>
      <x:c r="C87" s="30" t="str">
        <x:v>task.failure_reason</x:v>
      </x:c>
      <x:c r="D87" s="30" t="str">
        <x:v>候选输入schema</x:v>
      </x:c>
      <x:c r="E87" s="30" t="str">
        <x:v>按执行角色权限读取；策略只能使用可访问快照</x:v>
      </x:c>
    </x:row>
    <x:row r="88" ht="32" customHeight="1">
      <x:c r="A88" s="30" t="str">
        <x:v>A001</x:v>
      </x:c>
      <x:c r="B88" s="30" t="str">
        <x:v>F218</x:v>
      </x:c>
      <x:c r="C88" s="30" t="str">
        <x:v>task.last_event_s</x:v>
      </x:c>
      <x:c r="D88" s="30" t="str">
        <x:v>候选输入schema</x:v>
      </x:c>
      <x:c r="E88" s="30" t="str">
        <x:v>按执行角色权限读取；策略只能使用可访问快照</x:v>
      </x:c>
    </x:row>
    <x:row r="89" ht="32" customHeight="1">
      <x:c r="A89" s="30" t="str">
        <x:v>A001</x:v>
      </x:c>
      <x:c r="B89" s="30" t="str">
        <x:v>F219</x:v>
      </x:c>
      <x:c r="C89" s="30" t="str">
        <x:v>task.opportunity_cost</x:v>
      </x:c>
      <x:c r="D89" s="30" t="str">
        <x:v>候选输入schema</x:v>
      </x:c>
      <x:c r="E89" s="30" t="str">
        <x:v>按执行角色权限读取；策略只能使用可访问快照</x:v>
      </x:c>
    </x:row>
    <x:row r="90" ht="32" customHeight="1">
      <x:c r="A90" s="30" t="str">
        <x:v>A001</x:v>
      </x:c>
      <x:c r="B90" s="30" t="str">
        <x:v>F230</x:v>
      </x:c>
      <x:c r="C90" s="30" t="str">
        <x:v>action.type</x:v>
      </x:c>
      <x:c r="D90" s="30" t="str">
        <x:v>候选输入schema</x:v>
      </x:c>
      <x:c r="E90" s="30" t="str">
        <x:v>按执行角色权限读取；策略只能使用可访问快照</x:v>
      </x:c>
    </x:row>
    <x:row r="91" ht="32" customHeight="1">
      <x:c r="A91" s="30" t="str">
        <x:v>A001</x:v>
      </x:c>
      <x:c r="B91" s="30" t="str">
        <x:v>F231</x:v>
      </x:c>
      <x:c r="C91" s="30" t="str">
        <x:v>action.executor_id</x:v>
      </x:c>
      <x:c r="D91" s="30" t="str">
        <x:v>候选输入schema</x:v>
      </x:c>
      <x:c r="E91" s="30" t="str">
        <x:v>按执行角色权限读取；策略只能使用可访问快照</x:v>
      </x:c>
    </x:row>
    <x:row r="92" ht="32" customHeight="1">
      <x:c r="A92" s="30" t="str">
        <x:v>A001</x:v>
      </x:c>
      <x:c r="B92" s="30" t="str">
        <x:v>F232</x:v>
      </x:c>
      <x:c r="C92" s="30" t="str">
        <x:v>action.task_ref</x:v>
      </x:c>
      <x:c r="D92" s="30" t="str">
        <x:v>候选输入schema</x:v>
      </x:c>
      <x:c r="E92" s="30" t="str">
        <x:v>按执行角色权限读取；策略只能使用可访问快照</x:v>
      </x:c>
    </x:row>
    <x:row r="93" ht="32" customHeight="1">
      <x:c r="A93" s="30" t="str">
        <x:v>A001</x:v>
      </x:c>
      <x:c r="B93" s="30" t="str">
        <x:v>F233</x:v>
      </x:c>
      <x:c r="C93" s="30" t="str">
        <x:v>action.target_ref</x:v>
      </x:c>
      <x:c r="D93" s="30" t="str">
        <x:v>候选输入schema</x:v>
      </x:c>
      <x:c r="E93" s="30" t="str">
        <x:v>按执行角色权限读取；策略只能使用可访问快照</x:v>
      </x:c>
    </x:row>
    <x:row r="94" ht="32" customHeight="1">
      <x:c r="A94" s="30" t="str">
        <x:v>A001</x:v>
      </x:c>
      <x:c r="B94" s="30" t="str">
        <x:v>F234</x:v>
      </x:c>
      <x:c r="C94" s="30" t="str">
        <x:v>action.parameters</x:v>
      </x:c>
      <x:c r="D94" s="30" t="str">
        <x:v>候选输入schema</x:v>
      </x:c>
      <x:c r="E94" s="30" t="str">
        <x:v>按执行角色权限读取；策略只能使用可访问快照</x:v>
      </x:c>
    </x:row>
    <x:row r="95" ht="32" customHeight="1">
      <x:c r="A95" s="30" t="str">
        <x:v>A001</x:v>
      </x:c>
      <x:c r="B95" s="30" t="str">
        <x:v>F235</x:v>
      </x:c>
      <x:c r="C95" s="30" t="str">
        <x:v>action.status</x:v>
      </x:c>
      <x:c r="D95" s="30" t="str">
        <x:v>候选输入schema</x:v>
      </x:c>
      <x:c r="E95" s="30" t="str">
        <x:v>按执行角色权限读取；策略只能使用可访问快照</x:v>
      </x:c>
    </x:row>
    <x:row r="96" ht="32" customHeight="1">
      <x:c r="A96" s="30" t="str">
        <x:v>A001</x:v>
      </x:c>
      <x:c r="B96" s="30" t="str">
        <x:v>F236</x:v>
      </x:c>
      <x:c r="C96" s="30" t="str">
        <x:v>action.start_s</x:v>
      </x:c>
      <x:c r="D96" s="30" t="str">
        <x:v>候选输入schema</x:v>
      </x:c>
      <x:c r="E96" s="30" t="str">
        <x:v>按执行角色权限读取；策略只能使用可访问快照</x:v>
      </x:c>
    </x:row>
    <x:row r="97" ht="32" customHeight="1">
      <x:c r="A97" s="30" t="str">
        <x:v>A001</x:v>
      </x:c>
      <x:c r="B97" s="30" t="str">
        <x:v>F237</x:v>
      </x:c>
      <x:c r="C97" s="30" t="str">
        <x:v>action.finish_s</x:v>
      </x:c>
      <x:c r="D97" s="30" t="str">
        <x:v>候选输入schema</x:v>
      </x:c>
      <x:c r="E97" s="30" t="str">
        <x:v>按执行角色权限读取；策略只能使用可访问快照</x:v>
      </x:c>
    </x:row>
    <x:row r="98" ht="32" customHeight="1">
      <x:c r="A98" s="30" t="str">
        <x:v>A001</x:v>
      </x:c>
      <x:c r="B98" s="30" t="str">
        <x:v>F238</x:v>
      </x:c>
      <x:c r="C98" s="30" t="str">
        <x:v>action.reserved_resources</x:v>
      </x:c>
      <x:c r="D98" s="30" t="str">
        <x:v>候选输入schema</x:v>
      </x:c>
      <x:c r="E98" s="30" t="str">
        <x:v>按执行角色权限读取；策略只能使用可访问快照</x:v>
      </x:c>
    </x:row>
    <x:row r="99" ht="32" customHeight="1">
      <x:c r="A99" s="30" t="str">
        <x:v>A001</x:v>
      </x:c>
      <x:c r="B99" s="30" t="str">
        <x:v>F239</x:v>
      </x:c>
      <x:c r="C99" s="30" t="str">
        <x:v>action.consumed_resources</x:v>
      </x:c>
      <x:c r="D99" s="30" t="str">
        <x:v>候选输入schema</x:v>
      </x:c>
      <x:c r="E99" s="30" t="str">
        <x:v>按执行角色权限读取；策略只能使用可访问快照</x:v>
      </x:c>
    </x:row>
    <x:row r="100" ht="32" customHeight="1">
      <x:c r="A100" s="30" t="str">
        <x:v>A001</x:v>
      </x:c>
      <x:c r="B100" s="30" t="str">
        <x:v>F240</x:v>
      </x:c>
      <x:c r="C100" s="30" t="str">
        <x:v>action.feedback</x:v>
      </x:c>
      <x:c r="D100" s="30" t="str">
        <x:v>候选输入schema</x:v>
      </x:c>
      <x:c r="E100" s="30" t="str">
        <x:v>按执行角色权限读取；策略只能使用可访问快照</x:v>
      </x:c>
    </x:row>
    <x:row r="101" ht="32" customHeight="1">
      <x:c r="A101" s="30" t="str">
        <x:v>A001</x:v>
      </x:c>
      <x:c r="B101" s="30" t="str">
        <x:v>F241</x:v>
      </x:c>
      <x:c r="C101" s="30" t="str">
        <x:v>action.result</x:v>
      </x:c>
      <x:c r="D101" s="30" t="str">
        <x:v>候选输入schema</x:v>
      </x:c>
      <x:c r="E101" s="30" t="str">
        <x:v>按执行角色权限读取；策略只能使用可访问快照</x:v>
      </x:c>
    </x:row>
    <x:row r="102" ht="32" customHeight="1">
      <x:c r="A102" s="30" t="str">
        <x:v>A001</x:v>
      </x:c>
      <x:c r="B102" s="30" t="str">
        <x:v>F242</x:v>
      </x:c>
      <x:c r="C102" s="30" t="str">
        <x:v>action.rejection_code</x:v>
      </x:c>
      <x:c r="D102" s="30" t="str">
        <x:v>候选输入schema</x:v>
      </x:c>
      <x:c r="E102" s="30" t="str">
        <x:v>按执行角色权限读取；策略只能使用可访问快照</x:v>
      </x:c>
    </x:row>
    <x:row r="103" ht="32" customHeight="1">
      <x:c r="A103" s="30" t="str">
        <x:v>A001</x:v>
      </x:c>
      <x:c r="B103" s="30" t="str">
        <x:v>F243</x:v>
      </x:c>
      <x:c r="C103" s="30" t="str">
        <x:v>action.failure_code</x:v>
      </x:c>
      <x:c r="D103" s="30" t="str">
        <x:v>候选输入schema</x:v>
      </x:c>
      <x:c r="E103" s="30" t="str">
        <x:v>按执行角色权限读取；策略只能使用可访问快照</x:v>
      </x:c>
    </x:row>
    <x:row r="104" ht="32" customHeight="1">
      <x:c r="A104" s="30" t="str">
        <x:v>A001</x:v>
      </x:c>
      <x:c r="B104" s="30" t="str">
        <x:v>F244</x:v>
      </x:c>
      <x:c r="C104" s="30" t="str">
        <x:v>action.cancel_requested</x:v>
      </x:c>
      <x:c r="D104" s="30" t="str">
        <x:v>候选输入schema</x:v>
      </x:c>
      <x:c r="E104" s="30" t="str">
        <x:v>按执行角色权限读取；策略只能使用可访问快照</x:v>
      </x:c>
    </x:row>
    <x:row r="105" ht="32" customHeight="1">
      <x:c r="A105" s="30" t="str">
        <x:v>A001</x:v>
      </x:c>
      <x:c r="B105" s="30" t="str">
        <x:v>F245</x:v>
      </x:c>
      <x:c r="C105" s="30" t="str">
        <x:v>action.backend_mode</x:v>
      </x:c>
      <x:c r="D105" s="30" t="str">
        <x:v>候选输入schema</x:v>
      </x:c>
      <x:c r="E105" s="30" t="str">
        <x:v>按执行角色权限读取；策略只能使用可访问快照</x:v>
      </x:c>
    </x:row>
    <x:row r="106" ht="32" customHeight="1">
      <x:c r="A106" s="30" t="str">
        <x:v>A001</x:v>
      </x:c>
      <x:c r="B106" s="30" t="str">
        <x:v>F371</x:v>
      </x:c>
      <x:c r="C106" s="30" t="str">
        <x:v>region.land_use</x:v>
      </x:c>
      <x:c r="D106" s="30" t="str">
        <x:v>候选输入schema</x:v>
      </x:c>
      <x:c r="E106" s="30" t="str">
        <x:v>按执行角色权限读取；策略只能使用可访问快照</x:v>
      </x:c>
    </x:row>
    <x:row r="107" ht="32" customHeight="1">
      <x:c r="A107" s="30" t="str">
        <x:v>A001</x:v>
      </x:c>
      <x:c r="B107" s="30" t="str">
        <x:v>F372</x:v>
      </x:c>
      <x:c r="C107" s="30" t="str">
        <x:v>region.building_density</x:v>
      </x:c>
      <x:c r="D107" s="30" t="str">
        <x:v>候选输入schema</x:v>
      </x:c>
      <x:c r="E107" s="30" t="str">
        <x:v>按执行角色权限读取；策略只能使用可访问快照</x:v>
      </x:c>
    </x:row>
    <x:row r="108" ht="32" customHeight="1">
      <x:c r="A108" s="30" t="str">
        <x:v>A001</x:v>
      </x:c>
      <x:c r="B108" s="30" t="str">
        <x:v>F373</x:v>
      </x:c>
      <x:c r="C108" s="30" t="str">
        <x:v>region.road_pattern</x:v>
      </x:c>
      <x:c r="D108" s="30" t="str">
        <x:v>候选输入schema</x:v>
      </x:c>
      <x:c r="E108" s="30" t="str">
        <x:v>按执行角色权限读取；策略只能使用可访问快照</x:v>
      </x:c>
    </x:row>
    <x:row r="109" ht="32" customHeight="1">
      <x:c r="A109" s="30" t="str">
        <x:v>A001</x:v>
      </x:c>
      <x:c r="B109" s="30" t="str">
        <x:v>F374</x:v>
      </x:c>
      <x:c r="C109" s="30" t="str">
        <x:v>region.occupancy_prior_id</x:v>
      </x:c>
      <x:c r="D109" s="30" t="str">
        <x:v>候选输入schema</x:v>
      </x:c>
      <x:c r="E109" s="30" t="str">
        <x:v>按执行角色权限读取；策略只能使用可访问快照</x:v>
      </x:c>
    </x:row>
    <x:row r="110" ht="32" customHeight="1">
      <x:c r="A110" s="30" t="str">
        <x:v>A001</x:v>
      </x:c>
      <x:c r="B110" s="30" t="str">
        <x:v>F375</x:v>
      </x:c>
      <x:c r="C110" s="30" t="str">
        <x:v>region.disaster_profile_id</x:v>
      </x:c>
      <x:c r="D110" s="30" t="str">
        <x:v>候选输入schema</x:v>
      </x:c>
      <x:c r="E110" s="30" t="str">
        <x:v>按执行角色权限读取；策略只能使用可访问快照</x:v>
      </x:c>
    </x:row>
    <x:row r="111" ht="32" customHeight="1">
      <x:c r="A111" s="30" t="str">
        <x:v>A001</x:v>
      </x:c>
      <x:c r="B111" s="30" t="str">
        <x:v>F376</x:v>
      </x:c>
      <x:c r="C111" s="30" t="str">
        <x:v>region.surface_palette</x:v>
      </x:c>
      <x:c r="D111" s="30" t="str">
        <x:v>候选输入schema</x:v>
      </x:c>
      <x:c r="E111" s="30" t="str">
        <x:v>按执行角色权限读取；策略只能使用可访问快照</x:v>
      </x:c>
    </x:row>
    <x:row r="112" ht="32" customHeight="1">
      <x:c r="A112" s="30" t="str">
        <x:v>A001</x:v>
      </x:c>
      <x:c r="B112" s="30" t="str">
        <x:v>F377</x:v>
      </x:c>
      <x:c r="C112" s="30" t="str">
        <x:v>region.base_elevation_m</x:v>
      </x:c>
      <x:c r="D112" s="30" t="str">
        <x:v>候选输入schema</x:v>
      </x:c>
      <x:c r="E112" s="30" t="str">
        <x:v>按执行角色权限读取；策略只能使用可访问快照</x:v>
      </x:c>
    </x:row>
    <x:row r="113" ht="32" customHeight="1">
      <x:c r="A113" s="30" t="str">
        <x:v>A001</x:v>
      </x:c>
      <x:c r="B113" s="30" t="str">
        <x:v>F378</x:v>
      </x:c>
      <x:c r="C113" s="30" t="str">
        <x:v>episode.scenario_id</x:v>
      </x:c>
      <x:c r="D113" s="30" t="str">
        <x:v>候选输入schema</x:v>
      </x:c>
      <x:c r="E113" s="30" t="str">
        <x:v>按执行角色权限读取；策略只能使用可访问快照</x:v>
      </x:c>
    </x:row>
    <x:row r="114" ht="32" customHeight="1">
      <x:c r="A114" s="30" t="str">
        <x:v>A001</x:v>
      </x:c>
      <x:c r="B114" s="30" t="str">
        <x:v>F379</x:v>
      </x:c>
      <x:c r="C114" s="30" t="str">
        <x:v>episode.map_revision</x:v>
      </x:c>
      <x:c r="D114" s="30" t="str">
        <x:v>候选输入schema</x:v>
      </x:c>
      <x:c r="E114" s="30" t="str">
        <x:v>按执行角色权限读取；策略只能使用可访问快照</x:v>
      </x:c>
    </x:row>
    <x:row r="115" ht="32" customHeight="1">
      <x:c r="A115" s="30" t="str">
        <x:v>A001</x:v>
      </x:c>
      <x:c r="B115" s="30" t="str">
        <x:v>F380</x:v>
      </x:c>
      <x:c r="C115" s="30" t="str">
        <x:v>episode.seed</x:v>
      </x:c>
      <x:c r="D115" s="30" t="str">
        <x:v>候选输入schema</x:v>
      </x:c>
      <x:c r="E115" s="30" t="str">
        <x:v>按执行角色权限读取；策略只能使用可访问快照</x:v>
      </x:c>
    </x:row>
    <x:row r="116" ht="32" customHeight="1">
      <x:c r="A116" s="30" t="str">
        <x:v>A001</x:v>
      </x:c>
      <x:c r="B116" s="30" t="str">
        <x:v>F381</x:v>
      </x:c>
      <x:c r="C116" s="30" t="str">
        <x:v>episode.sim_time_s</x:v>
      </x:c>
      <x:c r="D116" s="30" t="str">
        <x:v>候选输入schema</x:v>
      </x:c>
      <x:c r="E116" s="30" t="str">
        <x:v>按执行角色权限读取；策略只能使用可访问快照</x:v>
      </x:c>
    </x:row>
    <x:row r="117" ht="32" customHeight="1">
      <x:c r="A117" s="30" t="str">
        <x:v>A001</x:v>
      </x:c>
      <x:c r="B117" s="30" t="str">
        <x:v>F382</x:v>
      </x:c>
      <x:c r="C117" s="30" t="str">
        <x:v>episode.clock_step_s</x:v>
      </x:c>
      <x:c r="D117" s="30" t="str">
        <x:v>候选输入schema</x:v>
      </x:c>
      <x:c r="E117" s="30" t="str">
        <x:v>按执行角色权限读取；策略只能使用可访问快照</x:v>
      </x:c>
    </x:row>
    <x:row r="118" ht="32" customHeight="1">
      <x:c r="A118" s="30" t="str">
        <x:v>A001</x:v>
      </x:c>
      <x:c r="B118" s="30" t="str">
        <x:v>F383</x:v>
      </x:c>
      <x:c r="C118" s="30" t="str">
        <x:v>episode.world_frame</x:v>
      </x:c>
      <x:c r="D118" s="30" t="str">
        <x:v>候选输入schema</x:v>
      </x:c>
      <x:c r="E118" s="30" t="str">
        <x:v>按执行角色权限读取；策略只能使用可访问快照</x:v>
      </x:c>
    </x:row>
    <x:row r="119" ht="32" customHeight="1">
      <x:c r="A119" s="30" t="str">
        <x:v>A001</x:v>
      </x:c>
      <x:c r="B119" s="30" t="str">
        <x:v>F384</x:v>
      </x:c>
      <x:c r="C119" s="30" t="str">
        <x:v>episode.map_bounds_m</x:v>
      </x:c>
      <x:c r="D119" s="30" t="str">
        <x:v>候选输入schema</x:v>
      </x:c>
      <x:c r="E119" s="30" t="str">
        <x:v>按执行角色权限读取；策略只能使用可访问快照</x:v>
      </x:c>
    </x:row>
    <x:row r="120" ht="32" customHeight="1">
      <x:c r="A120" s="30" t="str">
        <x:v>A001</x:v>
      </x:c>
      <x:c r="B120" s="30" t="str">
        <x:v>F385</x:v>
      </x:c>
      <x:c r="C120" s="30" t="str">
        <x:v>episode.backend_modes</x:v>
      </x:c>
      <x:c r="D120" s="30" t="str">
        <x:v>候选输入schema</x:v>
      </x:c>
      <x:c r="E120" s="30" t="str">
        <x:v>按执行角色权限读取；策略只能使用可访问快照</x:v>
      </x:c>
    </x:row>
    <x:row r="121" ht="32" customHeight="1">
      <x:c r="A121" s="30" t="str">
        <x:v>A001</x:v>
      </x:c>
      <x:c r="B121" s="30" t="str">
        <x:v>F004</x:v>
      </x:c>
      <x:c r="C121" s="30" t="str">
        <x:v>entity.pose</x:v>
      </x:c>
      <x:c r="D121" s="30" t="str">
        <x:v>直接效果</x:v>
      </x:c>
      <x:c r="E121" s="30" t="str">
        <x:v>经实际执行/回执提交；不是规划时提前修改</x:v>
      </x:c>
    </x:row>
    <x:row r="122" ht="32" customHeight="1">
      <x:c r="A122" s="30" t="str">
        <x:v>A001</x:v>
      </x:c>
      <x:c r="B122" s="30" t="str">
        <x:v>F109</x:v>
      </x:c>
      <x:c r="C122" s="30" t="str">
        <x:v>platform.motion_state</x:v>
      </x:c>
      <x:c r="D122" s="30" t="str">
        <x:v>直接效果</x:v>
      </x:c>
      <x:c r="E122" s="30" t="str">
        <x:v>经实际执行/回执提交；不是规划时提前修改</x:v>
      </x:c>
    </x:row>
    <x:row r="123" ht="32" customHeight="1">
      <x:c r="A123" s="30" t="str">
        <x:v>A001</x:v>
      </x:c>
      <x:c r="B123" s="30" t="str">
        <x:v>F105</x:v>
      </x:c>
      <x:c r="C123" s="30" t="str">
        <x:v>platform.battery_remaining_Wh</x:v>
      </x:c>
      <x:c r="D123" s="30" t="str">
        <x:v>直接效果</x:v>
      </x:c>
      <x:c r="E123" s="30" t="str">
        <x:v>经实际执行/回执提交；不是规划时提前修改</x:v>
      </x:c>
    </x:row>
    <x:row r="124" ht="32" customHeight="1">
      <x:c r="A124" s="30" t="str">
        <x:v>A002</x:v>
      </x:c>
      <x:c r="B124" s="30" t="str">
        <x:v>F001</x:v>
      </x:c>
      <x:c r="C124" s="30" t="str">
        <x:v>entity.id</x:v>
      </x:c>
      <x:c r="D124" s="30" t="str">
        <x:v>候选输入schema</x:v>
      </x:c>
      <x:c r="E124" s="30" t="str">
        <x:v>按执行角色权限读取；策略只能使用可访问快照</x:v>
      </x:c>
    </x:row>
    <x:row r="125" ht="32" customHeight="1">
      <x:c r="A125" s="30" t="str">
        <x:v>A002</x:v>
      </x:c>
      <x:c r="B125" s="30" t="str">
        <x:v>F002</x:v>
      </x:c>
      <x:c r="C125" s="30" t="str">
        <x:v>entity.kind</x:v>
      </x:c>
      <x:c r="D125" s="30" t="str">
        <x:v>候选输入schema</x:v>
      </x:c>
      <x:c r="E125" s="30" t="str">
        <x:v>按执行角色权限读取；策略只能使用可访问快照</x:v>
      </x:c>
    </x:row>
    <x:row r="126" ht="32" customHeight="1">
      <x:c r="A126" s="30" t="str">
        <x:v>A002</x:v>
      </x:c>
      <x:c r="B126" s="30" t="str">
        <x:v>F003</x:v>
      </x:c>
      <x:c r="C126" s="30" t="str">
        <x:v>entity.parent_id</x:v>
      </x:c>
      <x:c r="D126" s="30" t="str">
        <x:v>候选输入schema</x:v>
      </x:c>
      <x:c r="E126" s="30" t="str">
        <x:v>按执行角色权限读取；策略只能使用可访问快照</x:v>
      </x:c>
    </x:row>
    <x:row r="127" ht="32" customHeight="1">
      <x:c r="A127" s="30" t="str">
        <x:v>A002</x:v>
      </x:c>
      <x:c r="B127" s="30" t="str">
        <x:v>F004</x:v>
      </x:c>
      <x:c r="C127" s="30" t="str">
        <x:v>entity.pose</x:v>
      </x:c>
      <x:c r="D127" s="30" t="str">
        <x:v>候选输入schema</x:v>
      </x:c>
      <x:c r="E127" s="30" t="str">
        <x:v>按执行角色权限读取；策略只能使用可访问快照</x:v>
      </x:c>
    </x:row>
    <x:row r="128" ht="32" customHeight="1">
      <x:c r="A128" s="30" t="str">
        <x:v>A002</x:v>
      </x:c>
      <x:c r="B128" s="30" t="str">
        <x:v>F005</x:v>
      </x:c>
      <x:c r="C128" s="30" t="str">
        <x:v>entity.footprint</x:v>
      </x:c>
      <x:c r="D128" s="30" t="str">
        <x:v>候选输入schema</x:v>
      </x:c>
      <x:c r="E128" s="30" t="str">
        <x:v>按执行角色权限读取；策略只能使用可访问快照</x:v>
      </x:c>
    </x:row>
    <x:row r="129" ht="32" customHeight="1">
      <x:c r="A129" s="30" t="str">
        <x:v>A002</x:v>
      </x:c>
      <x:c r="B129" s="30" t="str">
        <x:v>F006</x:v>
      </x:c>
      <x:c r="C129" s="30" t="str">
        <x:v>entity.height_m</x:v>
      </x:c>
      <x:c r="D129" s="30" t="str">
        <x:v>候选输入schema</x:v>
      </x:c>
      <x:c r="E129" s="30" t="str">
        <x:v>按执行角色权限读取；策略只能使用可访问快照</x:v>
      </x:c>
    </x:row>
    <x:row r="130" ht="32" customHeight="1">
      <x:c r="A130" s="30" t="str">
        <x:v>A002</x:v>
      </x:c>
      <x:c r="B130" s="30" t="str">
        <x:v>F007</x:v>
      </x:c>
      <x:c r="C130" s="30" t="str">
        <x:v>entity.region_id</x:v>
      </x:c>
      <x:c r="D130" s="30" t="str">
        <x:v>候选输入schema</x:v>
      </x:c>
      <x:c r="E130" s="30" t="str">
        <x:v>按执行角色权限读取；策略只能使用可访问快照</x:v>
      </x:c>
    </x:row>
    <x:row r="131" ht="32" customHeight="1">
      <x:c r="A131" s="30" t="str">
        <x:v>A002</x:v>
      </x:c>
      <x:c r="B131" s="30" t="str">
        <x:v>F008</x:v>
      </x:c>
      <x:c r="C131" s="30" t="str">
        <x:v>entity.revision</x:v>
      </x:c>
      <x:c r="D131" s="30" t="str">
        <x:v>候选输入schema</x:v>
      </x:c>
      <x:c r="E131" s="30" t="str">
        <x:v>按执行角色权限读取；策略只能使用可访问快照</x:v>
      </x:c>
    </x:row>
    <x:row r="132" ht="32" customHeight="1">
      <x:c r="A132" s="30" t="str">
        <x:v>A002</x:v>
      </x:c>
      <x:c r="B132" s="30" t="str">
        <x:v>F009</x:v>
      </x:c>
      <x:c r="C132" s="30" t="str">
        <x:v>entity.provenance</x:v>
      </x:c>
      <x:c r="D132" s="30" t="str">
        <x:v>候选输入schema</x:v>
      </x:c>
      <x:c r="E132" s="30" t="str">
        <x:v>按执行角色权限读取；策略只能使用可访问快照</x:v>
      </x:c>
    </x:row>
    <x:row r="133" ht="32" customHeight="1">
      <x:c r="A133" s="30" t="str">
        <x:v>A002</x:v>
      </x:c>
      <x:c r="B133" s="30" t="str">
        <x:v>F010</x:v>
      </x:c>
      <x:c r="C133" s="30" t="str">
        <x:v>hazard.kind</x:v>
      </x:c>
      <x:c r="D133" s="30" t="str">
        <x:v>候选输入schema</x:v>
      </x:c>
      <x:c r="E133" s="30" t="str">
        <x:v>按执行角色权限读取；策略只能使用可访问快照</x:v>
      </x:c>
    </x:row>
    <x:row r="134" ht="32" customHeight="1">
      <x:c r="A134" s="30" t="str">
        <x:v>A002</x:v>
      </x:c>
      <x:c r="B134" s="30" t="str">
        <x:v>F011</x:v>
      </x:c>
      <x:c r="C134" s="30" t="str">
        <x:v>hazard.footprint</x:v>
      </x:c>
      <x:c r="D134" s="30" t="str">
        <x:v>候选输入schema</x:v>
      </x:c>
      <x:c r="E134" s="30" t="str">
        <x:v>按执行角色权限读取；策略只能使用可访问快照</x:v>
      </x:c>
    </x:row>
    <x:row r="135" ht="32" customHeight="1">
      <x:c r="A135" s="30" t="str">
        <x:v>A002</x:v>
      </x:c>
      <x:c r="B135" s="30" t="str">
        <x:v>F012</x:v>
      </x:c>
      <x:c r="C135" s="30" t="str">
        <x:v>hazard.intensity</x:v>
      </x:c>
      <x:c r="D135" s="30" t="str">
        <x:v>候选输入schema</x:v>
      </x:c>
      <x:c r="E135" s="30" t="str">
        <x:v>按执行角色权限读取；策略只能使用可访问快照</x:v>
      </x:c>
    </x:row>
    <x:row r="136" ht="32" customHeight="1">
      <x:c r="A136" s="30" t="str">
        <x:v>A002</x:v>
      </x:c>
      <x:c r="B136" s="30" t="str">
        <x:v>F013</x:v>
      </x:c>
      <x:c r="C136" s="30" t="str">
        <x:v>hazard.active</x:v>
      </x:c>
      <x:c r="D136" s="30" t="str">
        <x:v>候选输入schema</x:v>
      </x:c>
      <x:c r="E136" s="30" t="str">
        <x:v>按执行角色权限读取；策略只能使用可访问快照</x:v>
      </x:c>
    </x:row>
    <x:row r="137" ht="32" customHeight="1">
      <x:c r="A137" s="30" t="str">
        <x:v>A002</x:v>
      </x:c>
      <x:c r="B137" s="30" t="str">
        <x:v>F014</x:v>
      </x:c>
      <x:c r="C137" s="30" t="str">
        <x:v>hazard.water_depth_m</x:v>
      </x:c>
      <x:c r="D137" s="30" t="str">
        <x:v>候选输入schema</x:v>
      </x:c>
      <x:c r="E137" s="30" t="str">
        <x:v>按执行角色权限读取；策略只能使用可访问快照</x:v>
      </x:c>
    </x:row>
    <x:row r="138" ht="32" customHeight="1">
      <x:c r="A138" s="30" t="str">
        <x:v>A002</x:v>
      </x:c>
      <x:c r="B138" s="30" t="str">
        <x:v>F015</x:v>
      </x:c>
      <x:c r="C138" s="30" t="str">
        <x:v>hazard.flow_speed_mps</x:v>
      </x:c>
      <x:c r="D138" s="30" t="str">
        <x:v>候选输入schema</x:v>
      </x:c>
      <x:c r="E138" s="30" t="str">
        <x:v>按执行角色权限读取；策略只能使用可访问快照</x:v>
      </x:c>
    </x:row>
    <x:row r="139" ht="32" customHeight="1">
      <x:c r="A139" s="30" t="str">
        <x:v>A002</x:v>
      </x:c>
      <x:c r="B139" s="30" t="str">
        <x:v>F016</x:v>
      </x:c>
      <x:c r="C139" s="30" t="str">
        <x:v>hazard.smoke_density</x:v>
      </x:c>
      <x:c r="D139" s="30" t="str">
        <x:v>候选输入schema</x:v>
      </x:c>
      <x:c r="E139" s="30" t="str">
        <x:v>按执行角色权限读取；策略只能使用可访问快照</x:v>
      </x:c>
    </x:row>
    <x:row r="140" ht="32" customHeight="1">
      <x:c r="A140" s="30" t="str">
        <x:v>A002</x:v>
      </x:c>
      <x:c r="B140" s="30" t="str">
        <x:v>F017</x:v>
      </x:c>
      <x:c r="C140" s="30" t="str">
        <x:v>hazard.fire_intensity</x:v>
      </x:c>
      <x:c r="D140" s="30" t="str">
        <x:v>候选输入schema</x:v>
      </x:c>
      <x:c r="E140" s="30" t="str">
        <x:v>按执行角色权限读取；策略只能使用可访问快照</x:v>
      </x:c>
    </x:row>
    <x:row r="141" ht="32" customHeight="1">
      <x:c r="A141" s="30" t="str">
        <x:v>A002</x:v>
      </x:c>
      <x:c r="B141" s="30" t="str">
        <x:v>F018</x:v>
      </x:c>
      <x:c r="C141" s="30" t="str">
        <x:v>hazard.gas_level</x:v>
      </x:c>
      <x:c r="D141" s="30" t="str">
        <x:v>候选输入schema</x:v>
      </x:c>
      <x:c r="E141" s="30" t="str">
        <x:v>按执行角色权限读取；策略只能使用可访问快照</x:v>
      </x:c>
    </x:row>
    <x:row r="142" ht="32" customHeight="1">
      <x:c r="A142" s="30" t="str">
        <x:v>A002</x:v>
      </x:c>
      <x:c r="B142" s="30" t="str">
        <x:v>F019</x:v>
      </x:c>
      <x:c r="C142" s="30" t="str">
        <x:v>hazard.wind_mps</x:v>
      </x:c>
      <x:c r="D142" s="30" t="str">
        <x:v>候选输入schema</x:v>
      </x:c>
      <x:c r="E142" s="30" t="str">
        <x:v>按执行角色权限读取；策略只能使用可访问快照</x:v>
      </x:c>
    </x:row>
    <x:row r="143" ht="32" customHeight="1">
      <x:c r="A143" s="30" t="str">
        <x:v>A002</x:v>
      </x:c>
      <x:c r="B143" s="30" t="str">
        <x:v>F020</x:v>
      </x:c>
      <x:c r="C143" s="30" t="str">
        <x:v>hazard.visibility_m</x:v>
      </x:c>
      <x:c r="D143" s="30" t="str">
        <x:v>候选输入schema</x:v>
      </x:c>
      <x:c r="E143" s="30" t="str">
        <x:v>按执行角色权限读取；策略只能使用可访问快照</x:v>
      </x:c>
    </x:row>
    <x:row r="144" ht="32" customHeight="1">
      <x:c r="A144" s="30" t="str">
        <x:v>A002</x:v>
      </x:c>
      <x:c r="B144" s="30" t="str">
        <x:v>F021</x:v>
      </x:c>
      <x:c r="C144" s="30" t="str">
        <x:v>hazard.weather</x:v>
      </x:c>
      <x:c r="D144" s="30" t="str">
        <x:v>候选输入schema</x:v>
      </x:c>
      <x:c r="E144" s="30" t="str">
        <x:v>按执行角色权限读取；策略只能使用可访问快照</x:v>
      </x:c>
    </x:row>
    <x:row r="145" ht="32" customHeight="1">
      <x:c r="A145" s="30" t="str">
        <x:v>A002</x:v>
      </x:c>
      <x:c r="B145" s="30" t="str">
        <x:v>F022</x:v>
      </x:c>
      <x:c r="C145" s="30" t="str">
        <x:v>hazard.illumination</x:v>
      </x:c>
      <x:c r="D145" s="30" t="str">
        <x:v>候选输入schema</x:v>
      </x:c>
      <x:c r="E145" s="30" t="str">
        <x:v>按执行角色权限读取；策略只能使用可访问快照</x:v>
      </x:c>
    </x:row>
    <x:row r="146" ht="32" customHeight="1">
      <x:c r="A146" s="30" t="str">
        <x:v>A002</x:v>
      </x:c>
      <x:c r="B146" s="30" t="str">
        <x:v>F023</x:v>
      </x:c>
      <x:c r="C146" s="30" t="str">
        <x:v>hazard.secondary_event</x:v>
      </x:c>
      <x:c r="D146" s="30" t="str">
        <x:v>候选输入schema</x:v>
      </x:c>
      <x:c r="E146" s="30" t="str">
        <x:v>按执行角色权限读取；策略只能使用可访问快照</x:v>
      </x:c>
    </x:row>
    <x:row r="147" ht="32" customHeight="1">
      <x:c r="A147" s="30" t="str">
        <x:v>A002</x:v>
      </x:c>
      <x:c r="B147" s="30" t="str">
        <x:v>F024</x:v>
      </x:c>
      <x:c r="C147" s="30" t="str">
        <x:v>hazard.exclusion_zone</x:v>
      </x:c>
      <x:c r="D147" s="30" t="str">
        <x:v>候选输入schema</x:v>
      </x:c>
      <x:c r="E147" s="30" t="str">
        <x:v>按执行角色权限读取；策略只能使用可访问快照</x:v>
      </x:c>
    </x:row>
    <x:row r="148" ht="32" customHeight="1">
      <x:c r="A148" s="30" t="str">
        <x:v>A002</x:v>
      </x:c>
      <x:c r="B148" s="30" t="str">
        <x:v>F025</x:v>
      </x:c>
      <x:c r="C148" s="30" t="str">
        <x:v>hazard.expiry_s</x:v>
      </x:c>
      <x:c r="D148" s="30" t="str">
        <x:v>候选输入schema</x:v>
      </x:c>
      <x:c r="E148" s="30" t="str">
        <x:v>按执行角色权限读取；策略只能使用可访问快照</x:v>
      </x:c>
    </x:row>
    <x:row r="149" ht="32" customHeight="1">
      <x:c r="A149" s="30" t="str">
        <x:v>A002</x:v>
      </x:c>
      <x:c r="B149" s="30" t="str">
        <x:v>F044</x:v>
      </x:c>
      <x:c r="C149" s="30" t="str">
        <x:v>road.centerline</x:v>
      </x:c>
      <x:c r="D149" s="30" t="str">
        <x:v>候选输入schema</x:v>
      </x:c>
      <x:c r="E149" s="30" t="str">
        <x:v>按执行角色权限读取；策略只能使用可访问快照</x:v>
      </x:c>
    </x:row>
    <x:row r="150" ht="32" customHeight="1">
      <x:c r="A150" s="30" t="str">
        <x:v>A002</x:v>
      </x:c>
      <x:c r="B150" s="30" t="str">
        <x:v>F045</x:v>
      </x:c>
      <x:c r="C150" s="30" t="str">
        <x:v>road.width_m</x:v>
      </x:c>
      <x:c r="D150" s="30" t="str">
        <x:v>候选输入schema</x:v>
      </x:c>
      <x:c r="E150" s="30" t="str">
        <x:v>按执行角色权限读取；策略只能使用可访问快照</x:v>
      </x:c>
    </x:row>
    <x:row r="151" ht="32" customHeight="1">
      <x:c r="A151" s="30" t="str">
        <x:v>A002</x:v>
      </x:c>
      <x:c r="B151" s="30" t="str">
        <x:v>F046</x:v>
      </x:c>
      <x:c r="C151" s="30" t="str">
        <x:v>road.surface</x:v>
      </x:c>
      <x:c r="D151" s="30" t="str">
        <x:v>候选输入schema</x:v>
      </x:c>
      <x:c r="E151" s="30" t="str">
        <x:v>按执行角色权限读取；策略只能使用可访问快照</x:v>
      </x:c>
    </x:row>
    <x:row r="152" ht="32" customHeight="1">
      <x:c r="A152" s="30" t="str">
        <x:v>A002</x:v>
      </x:c>
      <x:c r="B152" s="30" t="str">
        <x:v>F047</x:v>
      </x:c>
      <x:c r="C152" s="30" t="str">
        <x:v>road.from_node</x:v>
      </x:c>
      <x:c r="D152" s="30" t="str">
        <x:v>候选输入schema</x:v>
      </x:c>
      <x:c r="E152" s="30" t="str">
        <x:v>按执行角色权限读取；策略只能使用可访问快照</x:v>
      </x:c>
    </x:row>
    <x:row r="153" ht="32" customHeight="1">
      <x:c r="A153" s="30" t="str">
        <x:v>A002</x:v>
      </x:c>
      <x:c r="B153" s="30" t="str">
        <x:v>F048</x:v>
      </x:c>
      <x:c r="C153" s="30" t="str">
        <x:v>road.to_node</x:v>
      </x:c>
      <x:c r="D153" s="30" t="str">
        <x:v>候选输入schema</x:v>
      </x:c>
      <x:c r="E153" s="30" t="str">
        <x:v>按执行角色权限读取；策略只能使用可访问快照</x:v>
      </x:c>
    </x:row>
    <x:row r="154" ht="32" customHeight="1">
      <x:c r="A154" s="30" t="str">
        <x:v>A002</x:v>
      </x:c>
      <x:c r="B154" s="30" t="str">
        <x:v>F049</x:v>
      </x:c>
      <x:c r="C154" s="30" t="str">
        <x:v>road.obstacle_ids</x:v>
      </x:c>
      <x:c r="D154" s="30" t="str">
        <x:v>候选输入schema</x:v>
      </x:c>
      <x:c r="E154" s="30" t="str">
        <x:v>按执行角色权限读取；策略只能使用可访问快照</x:v>
      </x:c>
    </x:row>
    <x:row r="155" ht="32" customHeight="1">
      <x:c r="A155" s="30" t="str">
        <x:v>A002</x:v>
      </x:c>
      <x:c r="B155" s="30" t="str">
        <x:v>F050</x:v>
      </x:c>
      <x:c r="C155" s="30" t="str">
        <x:v>road.clear_width_m</x:v>
      </x:c>
      <x:c r="D155" s="30" t="str">
        <x:v>候选输入schema</x:v>
      </x:c>
      <x:c r="E155" s="30" t="str">
        <x:v>按执行角色权限读取；策略只能使用可访问快照</x:v>
      </x:c>
    </x:row>
    <x:row r="156" ht="32" customHeight="1">
      <x:c r="A156" s="30" t="str">
        <x:v>A002</x:v>
      </x:c>
      <x:c r="B156" s="30" t="str">
        <x:v>F051</x:v>
      </x:c>
      <x:c r="C156" s="30" t="str">
        <x:v>road.clear_height_m</x:v>
      </x:c>
      <x:c r="D156" s="30" t="str">
        <x:v>候选输入schema</x:v>
      </x:c>
      <x:c r="E156" s="30" t="str">
        <x:v>按执行角色权限读取；策略只能使用可访问快照</x:v>
      </x:c>
    </x:row>
    <x:row r="157" ht="32" customHeight="1">
      <x:c r="A157" s="30" t="str">
        <x:v>A002</x:v>
      </x:c>
      <x:c r="B157" s="30" t="str">
        <x:v>F052</x:v>
      </x:c>
      <x:c r="C157" s="30" t="str">
        <x:v>road.turn_radius_m</x:v>
      </x:c>
      <x:c r="D157" s="30" t="str">
        <x:v>候选输入schema</x:v>
      </x:c>
      <x:c r="E157" s="30" t="str">
        <x:v>按执行角色权限读取；策略只能使用可访问快照</x:v>
      </x:c>
    </x:row>
    <x:row r="158" ht="32" customHeight="1">
      <x:c r="A158" s="30" t="str">
        <x:v>A002</x:v>
      </x:c>
      <x:c r="B158" s="30" t="str">
        <x:v>F053</x:v>
      </x:c>
      <x:c r="C158" s="30" t="str">
        <x:v>road.step_height_m</x:v>
      </x:c>
      <x:c r="D158" s="30" t="str">
        <x:v>候选输入schema</x:v>
      </x:c>
      <x:c r="E158" s="30" t="str">
        <x:v>按执行角色权限读取；策略只能使用可访问快照</x:v>
      </x:c>
    </x:row>
    <x:row r="159" ht="32" customHeight="1">
      <x:c r="A159" s="30" t="str">
        <x:v>A002</x:v>
      </x:c>
      <x:c r="B159" s="30" t="str">
        <x:v>F054</x:v>
      </x:c>
      <x:c r="C159" s="30" t="str">
        <x:v>road.entry_state</x:v>
      </x:c>
      <x:c r="D159" s="30" t="str">
        <x:v>候选输入schema</x:v>
      </x:c>
      <x:c r="E159" s="30" t="str">
        <x:v>按执行角色权限读取；策略只能使用可访问快照</x:v>
      </x:c>
    </x:row>
    <x:row r="160" ht="32" customHeight="1">
      <x:c r="A160" s="30" t="str">
        <x:v>A002</x:v>
      </x:c>
      <x:c r="B160" s="30" t="str">
        <x:v>F055</x:v>
      </x:c>
      <x:c r="C160" s="30" t="str">
        <x:v>road.water_depth_m</x:v>
      </x:c>
      <x:c r="D160" s="30" t="str">
        <x:v>候选输入schema</x:v>
      </x:c>
      <x:c r="E160" s="30" t="str">
        <x:v>按执行角色权限读取；策略只能使用可访问快照</x:v>
      </x:c>
    </x:row>
    <x:row r="161" ht="32" customHeight="1">
      <x:c r="A161" s="30" t="str">
        <x:v>A002</x:v>
      </x:c>
      <x:c r="B161" s="30" t="str">
        <x:v>F056</x:v>
      </x:c>
      <x:c r="C161" s="30" t="str">
        <x:v>road.passability</x:v>
      </x:c>
      <x:c r="D161" s="30" t="str">
        <x:v>候选输入schema</x:v>
      </x:c>
      <x:c r="E161" s="30" t="str">
        <x:v>按执行角色权限读取；策略只能使用可访问快照</x:v>
      </x:c>
    </x:row>
    <x:row r="162" ht="32" customHeight="1">
      <x:c r="A162" s="30" t="str">
        <x:v>A002</x:v>
      </x:c>
      <x:c r="B162" s="30" t="str">
        <x:v>F057</x:v>
      </x:c>
      <x:c r="C162" s="30" t="str">
        <x:v>road.travel_cost</x:v>
      </x:c>
      <x:c r="D162" s="30" t="str">
        <x:v>候选输入schema</x:v>
      </x:c>
      <x:c r="E162" s="30" t="str">
        <x:v>按执行角色权限读取；策略只能使用可访问快照</x:v>
      </x:c>
    </x:row>
    <x:row r="163" ht="32" customHeight="1">
      <x:c r="A163" s="30" t="str">
        <x:v>A002</x:v>
      </x:c>
      <x:c r="B163" s="30" t="str">
        <x:v>F058</x:v>
      </x:c>
      <x:c r="C163" s="30" t="str">
        <x:v>road.topology_revision</x:v>
      </x:c>
      <x:c r="D163" s="30" t="str">
        <x:v>候选输入schema</x:v>
      </x:c>
      <x:c r="E163" s="30" t="str">
        <x:v>按执行角色权限读取；策略只能使用可访问快照</x:v>
      </x:c>
    </x:row>
    <x:row r="164" ht="32" customHeight="1">
      <x:c r="A164" s="30" t="str">
        <x:v>A002</x:v>
      </x:c>
      <x:c r="B164" s="30" t="str">
        <x:v>F095</x:v>
      </x:c>
      <x:c r="C164" s="30" t="str">
        <x:v>platform.kind</x:v>
      </x:c>
      <x:c r="D164" s="30" t="str">
        <x:v>候选输入schema</x:v>
      </x:c>
      <x:c r="E164" s="30" t="str">
        <x:v>按执行角色权限读取；策略只能使用可访问快照</x:v>
      </x:c>
    </x:row>
    <x:row r="165" ht="32" customHeight="1">
      <x:c r="A165" s="30" t="str">
        <x:v>A002</x:v>
      </x:c>
      <x:c r="B165" s="30" t="str">
        <x:v>F096</x:v>
      </x:c>
      <x:c r="C165" s="30" t="str">
        <x:v>platform.capability_ids</x:v>
      </x:c>
      <x:c r="D165" s="30" t="str">
        <x:v>候选输入schema</x:v>
      </x:c>
      <x:c r="E165" s="30" t="str">
        <x:v>按执行角色权限读取；策略只能使用可访问快照</x:v>
      </x:c>
    </x:row>
    <x:row r="166" ht="32" customHeight="1">
      <x:c r="A166" s="30" t="str">
        <x:v>A002</x:v>
      </x:c>
      <x:c r="B166" s="30" t="str">
        <x:v>F097</x:v>
      </x:c>
      <x:c r="C166" s="30" t="str">
        <x:v>platform.equipment_ids</x:v>
      </x:c>
      <x:c r="D166" s="30" t="str">
        <x:v>候选输入schema</x:v>
      </x:c>
      <x:c r="E166" s="30" t="str">
        <x:v>按执行角色权限读取；策略只能使用可访问快照</x:v>
      </x:c>
    </x:row>
    <x:row r="167" ht="32" customHeight="1">
      <x:c r="A167" s="30" t="str">
        <x:v>A002</x:v>
      </x:c>
      <x:c r="B167" s="30" t="str">
        <x:v>F098</x:v>
      </x:c>
      <x:c r="C167" s="30" t="str">
        <x:v>platform.width_m</x:v>
      </x:c>
      <x:c r="D167" s="30" t="str">
        <x:v>候选输入schema</x:v>
      </x:c>
      <x:c r="E167" s="30" t="str">
        <x:v>按执行角色权限读取；策略只能使用可访问快照</x:v>
      </x:c>
    </x:row>
    <x:row r="168" ht="32" customHeight="1">
      <x:c r="A168" s="30" t="str">
        <x:v>A002</x:v>
      </x:c>
      <x:c r="B168" s="30" t="str">
        <x:v>F099</x:v>
      </x:c>
      <x:c r="C168" s="30" t="str">
        <x:v>platform.height_m</x:v>
      </x:c>
      <x:c r="D168" s="30" t="str">
        <x:v>候选输入schema</x:v>
      </x:c>
      <x:c r="E168" s="30" t="str">
        <x:v>按执行角色权限读取；策略只能使用可访问快照</x:v>
      </x:c>
    </x:row>
    <x:row r="169" ht="32" customHeight="1">
      <x:c r="A169" s="30" t="str">
        <x:v>A002</x:v>
      </x:c>
      <x:c r="B169" s="30" t="str">
        <x:v>F100</x:v>
      </x:c>
      <x:c r="C169" s="30" t="str">
        <x:v>platform.swept_radius_m</x:v>
      </x:c>
      <x:c r="D169" s="30" t="str">
        <x:v>候选输入schema</x:v>
      </x:c>
      <x:c r="E169" s="30" t="str">
        <x:v>按执行角色权限读取；策略只能使用可访问快照</x:v>
      </x:c>
    </x:row>
    <x:row r="170" ht="32" customHeight="1">
      <x:c r="A170" s="30" t="str">
        <x:v>A002</x:v>
      </x:c>
      <x:c r="B170" s="30" t="str">
        <x:v>F101</x:v>
      </x:c>
      <x:c r="C170" s="30" t="str">
        <x:v>platform.payload_capacity_kg</x:v>
      </x:c>
      <x:c r="D170" s="30" t="str">
        <x:v>候选输入schema</x:v>
      </x:c>
      <x:c r="E170" s="30" t="str">
        <x:v>按执行角色权限读取；策略只能使用可访问快照</x:v>
      </x:c>
    </x:row>
    <x:row r="171" ht="32" customHeight="1">
      <x:c r="A171" s="30" t="str">
        <x:v>A002</x:v>
      </x:c>
      <x:c r="B171" s="30" t="str">
        <x:v>F102</x:v>
      </x:c>
      <x:c r="C171" s="30" t="str">
        <x:v>platform.payload_used_kg</x:v>
      </x:c>
      <x:c r="D171" s="30" t="str">
        <x:v>候选输入schema</x:v>
      </x:c>
      <x:c r="E171" s="30" t="str">
        <x:v>按执行角色权限读取；策略只能使用可访问快照</x:v>
      </x:c>
    </x:row>
    <x:row r="172" ht="32" customHeight="1">
      <x:c r="A172" s="30" t="str">
        <x:v>A002</x:v>
      </x:c>
      <x:c r="B172" s="30" t="str">
        <x:v>F103</x:v>
      </x:c>
      <x:c r="C172" s="30" t="str">
        <x:v>platform.payload_item_ids</x:v>
      </x:c>
      <x:c r="D172" s="30" t="str">
        <x:v>候选输入schema</x:v>
      </x:c>
      <x:c r="E172" s="30" t="str">
        <x:v>按执行角色权限读取；策略只能使用可访问快照</x:v>
      </x:c>
    </x:row>
    <x:row r="173" ht="32" customHeight="1">
      <x:c r="A173" s="30" t="str">
        <x:v>A002</x:v>
      </x:c>
      <x:c r="B173" s="30" t="str">
        <x:v>F104</x:v>
      </x:c>
      <x:c r="C173" s="30" t="str">
        <x:v>platform.battery_capacity_Wh</x:v>
      </x:c>
      <x:c r="D173" s="30" t="str">
        <x:v>候选输入schema</x:v>
      </x:c>
      <x:c r="E173" s="30" t="str">
        <x:v>按执行角色权限读取；策略只能使用可访问快照</x:v>
      </x:c>
    </x:row>
    <x:row r="174" ht="32" customHeight="1">
      <x:c r="A174" s="30" t="str">
        <x:v>A002</x:v>
      </x:c>
      <x:c r="B174" s="30" t="str">
        <x:v>F105</x:v>
      </x:c>
      <x:c r="C174" s="30" t="str">
        <x:v>platform.battery_remaining_Wh</x:v>
      </x:c>
      <x:c r="D174" s="30" t="str">
        <x:v>候选输入schema</x:v>
      </x:c>
      <x:c r="E174" s="30" t="str">
        <x:v>按执行角色权限读取；策略只能使用可访问快照</x:v>
      </x:c>
    </x:row>
    <x:row r="175" ht="32" customHeight="1">
      <x:c r="A175" s="30" t="str">
        <x:v>A002</x:v>
      </x:c>
      <x:c r="B175" s="30" t="str">
        <x:v>F106</x:v>
      </x:c>
      <x:c r="C175" s="30" t="str">
        <x:v>platform.reserve_Wh</x:v>
      </x:c>
      <x:c r="D175" s="30" t="str">
        <x:v>候选输入schema</x:v>
      </x:c>
      <x:c r="E175" s="30" t="str">
        <x:v>按执行角色权限读取；策略只能使用可访问快照</x:v>
      </x:c>
    </x:row>
    <x:row r="176" ht="32" customHeight="1">
      <x:c r="A176" s="30" t="str">
        <x:v>A002</x:v>
      </x:c>
      <x:c r="B176" s="30" t="str">
        <x:v>F107</x:v>
      </x:c>
      <x:c r="C176" s="30" t="str">
        <x:v>platform.speed_limit_mps</x:v>
      </x:c>
      <x:c r="D176" s="30" t="str">
        <x:v>候选输入schema</x:v>
      </x:c>
      <x:c r="E176" s="30" t="str">
        <x:v>按执行角色权限读取；策略只能使用可访问快照</x:v>
      </x:c>
    </x:row>
    <x:row r="177" ht="32" customHeight="1">
      <x:c r="A177" s="30" t="str">
        <x:v>A002</x:v>
      </x:c>
      <x:c r="B177" s="30" t="str">
        <x:v>F108</x:v>
      </x:c>
      <x:c r="C177" s="30" t="str">
        <x:v>platform.energy_model</x:v>
      </x:c>
      <x:c r="D177" s="30" t="str">
        <x:v>候选输入schema</x:v>
      </x:c>
      <x:c r="E177" s="30" t="str">
        <x:v>按执行角色权限读取；策略只能使用可访问快照</x:v>
      </x:c>
    </x:row>
    <x:row r="178" ht="32" customHeight="1">
      <x:c r="A178" s="30" t="str">
        <x:v>A002</x:v>
      </x:c>
      <x:c r="B178" s="30" t="str">
        <x:v>F109</x:v>
      </x:c>
      <x:c r="C178" s="30" t="str">
        <x:v>platform.motion_state</x:v>
      </x:c>
      <x:c r="D178" s="30" t="str">
        <x:v>候选输入schema</x:v>
      </x:c>
      <x:c r="E178" s="30" t="str">
        <x:v>按执行角色权限读取；策略只能使用可访问快照</x:v>
      </x:c>
    </x:row>
    <x:row r="179" ht="32" customHeight="1">
      <x:c r="A179" s="30" t="str">
        <x:v>A002</x:v>
      </x:c>
      <x:c r="B179" s="30" t="str">
        <x:v>F110</x:v>
      </x:c>
      <x:c r="C179" s="30" t="str">
        <x:v>platform.health_state</x:v>
      </x:c>
      <x:c r="D179" s="30" t="str">
        <x:v>候选输入schema</x:v>
      </x:c>
      <x:c r="E179" s="30" t="str">
        <x:v>按执行角色权限读取；策略只能使用可访问快照</x:v>
      </x:c>
    </x:row>
    <x:row r="180" ht="32" customHeight="1">
      <x:c r="A180" s="30" t="str">
        <x:v>A002</x:v>
      </x:c>
      <x:c r="B180" s="30" t="str">
        <x:v>F111</x:v>
      </x:c>
      <x:c r="C180" s="30" t="str">
        <x:v>platform.current_action_id</x:v>
      </x:c>
      <x:c r="D180" s="30" t="str">
        <x:v>候选输入schema</x:v>
      </x:c>
      <x:c r="E180" s="30" t="str">
        <x:v>按执行角色权限读取；策略只能使用可访问快照</x:v>
      </x:c>
    </x:row>
    <x:row r="181" ht="32" customHeight="1">
      <x:c r="A181" s="30" t="str">
        <x:v>A002</x:v>
      </x:c>
      <x:c r="B181" s="30" t="str">
        <x:v>F112</x:v>
      </x:c>
      <x:c r="C181" s="30" t="str">
        <x:v>platform.busy_until_est_s</x:v>
      </x:c>
      <x:c r="D181" s="30" t="str">
        <x:v>候选输入schema</x:v>
      </x:c>
      <x:c r="E181" s="30" t="str">
        <x:v>按执行角色权限读取；策略只能使用可访问快照</x:v>
      </x:c>
    </x:row>
    <x:row r="182" ht="32" customHeight="1">
      <x:c r="A182" s="30" t="str">
        <x:v>A002</x:v>
      </x:c>
      <x:c r="B182" s="30" t="str">
        <x:v>F113</x:v>
      </x:c>
      <x:c r="C182" s="30" t="str">
        <x:v>platform.return_site_id</x:v>
      </x:c>
      <x:c r="D182" s="30" t="str">
        <x:v>候选输入schema</x:v>
      </x:c>
      <x:c r="E182" s="30" t="str">
        <x:v>按执行角色权限读取；策略只能使用可访问快照</x:v>
      </x:c>
    </x:row>
    <x:row r="183" ht="32" customHeight="1">
      <x:c r="A183" s="30" t="str">
        <x:v>A002</x:v>
      </x:c>
      <x:c r="B183" s="30" t="str">
        <x:v>F114</x:v>
      </x:c>
      <x:c r="C183" s="30" t="str">
        <x:v>platform.water_tolerance_m</x:v>
      </x:c>
      <x:c r="D183" s="30" t="str">
        <x:v>候选输入schema</x:v>
      </x:c>
      <x:c r="E183" s="30" t="str">
        <x:v>按执行角色权限读取；策略只能使用可访问快照</x:v>
      </x:c>
    </x:row>
    <x:row r="184" ht="32" customHeight="1">
      <x:c r="A184" s="30" t="str">
        <x:v>A002</x:v>
      </x:c>
      <x:c r="B184" s="30" t="str">
        <x:v>F115</x:v>
      </x:c>
      <x:c r="C184" s="30" t="str">
        <x:v>platform.concurrency_policy</x:v>
      </x:c>
      <x:c r="D184" s="30" t="str">
        <x:v>候选输入schema</x:v>
      </x:c>
      <x:c r="E184" s="30" t="str">
        <x:v>按执行角色权限读取；策略只能使用可访问快照</x:v>
      </x:c>
    </x:row>
    <x:row r="185" ht="32" customHeight="1">
      <x:c r="A185" s="30" t="str">
        <x:v>A002</x:v>
      </x:c>
      <x:c r="B185" s="30" t="str">
        <x:v>F196</x:v>
      </x:c>
      <x:c r="C185" s="30" t="str">
        <x:v>task.type</x:v>
      </x:c>
      <x:c r="D185" s="30" t="str">
        <x:v>候选输入schema</x:v>
      </x:c>
      <x:c r="E185" s="30" t="str">
        <x:v>按执行角色权限读取；策略只能使用可访问快照</x:v>
      </x:c>
    </x:row>
    <x:row r="186" ht="32" customHeight="1">
      <x:c r="A186" s="30" t="str">
        <x:v>A002</x:v>
      </x:c>
      <x:c r="B186" s="30" t="str">
        <x:v>F197</x:v>
      </x:c>
      <x:c r="C186" s="30" t="str">
        <x:v>task.creator_id</x:v>
      </x:c>
      <x:c r="D186" s="30" t="str">
        <x:v>候选输入schema</x:v>
      </x:c>
      <x:c r="E186" s="30" t="str">
        <x:v>按执行角色权限读取；策略只能使用可访问快照</x:v>
      </x:c>
    </x:row>
    <x:row r="187" ht="32" customHeight="1">
      <x:c r="A187" s="30" t="str">
        <x:v>A002</x:v>
      </x:c>
      <x:c r="B187" s="30" t="str">
        <x:v>F198</x:v>
      </x:c>
      <x:c r="C187" s="30" t="str">
        <x:v>task.target_ref</x:v>
      </x:c>
      <x:c r="D187" s="30" t="str">
        <x:v>候选输入schema</x:v>
      </x:c>
      <x:c r="E187" s="30" t="str">
        <x:v>按执行角色权限读取；策略只能使用可访问快照</x:v>
      </x:c>
    </x:row>
    <x:row r="188" ht="32" customHeight="1">
      <x:c r="A188" s="30" t="str">
        <x:v>A002</x:v>
      </x:c>
      <x:c r="B188" s="30" t="str">
        <x:v>F199</x:v>
      </x:c>
      <x:c r="C188" s="30" t="str">
        <x:v>task.goal_predicate</x:v>
      </x:c>
      <x:c r="D188" s="30" t="str">
        <x:v>候选输入schema</x:v>
      </x:c>
      <x:c r="E188" s="30" t="str">
        <x:v>按执行角色权限读取；策略只能使用可访问快照</x:v>
      </x:c>
    </x:row>
    <x:row r="189" ht="32" customHeight="1">
      <x:c r="A189" s="30" t="str">
        <x:v>A002</x:v>
      </x:c>
      <x:c r="B189" s="30" t="str">
        <x:v>F200</x:v>
      </x:c>
      <x:c r="C189" s="30" t="str">
        <x:v>task.revision</x:v>
      </x:c>
      <x:c r="D189" s="30" t="str">
        <x:v>候选输入schema</x:v>
      </x:c>
      <x:c r="E189" s="30" t="str">
        <x:v>按执行角色权限读取；策略只能使用可访问快照</x:v>
      </x:c>
    </x:row>
    <x:row r="190" ht="32" customHeight="1">
      <x:c r="A190" s="30" t="str">
        <x:v>A002</x:v>
      </x:c>
      <x:c r="B190" s="30" t="str">
        <x:v>F201</x:v>
      </x:c>
      <x:c r="C190" s="30" t="str">
        <x:v>task.status</x:v>
      </x:c>
      <x:c r="D190" s="30" t="str">
        <x:v>候选输入schema</x:v>
      </x:c>
      <x:c r="E190" s="30" t="str">
        <x:v>按执行角色权限读取；策略只能使用可访问快照</x:v>
      </x:c>
    </x:row>
    <x:row r="191" ht="32" customHeight="1">
      <x:c r="A191" s="30" t="str">
        <x:v>A002</x:v>
      </x:c>
      <x:c r="B191" s="30" t="str">
        <x:v>F202</x:v>
      </x:c>
      <x:c r="C191" s="30" t="str">
        <x:v>task.priority</x:v>
      </x:c>
      <x:c r="D191" s="30" t="str">
        <x:v>候选输入schema</x:v>
      </x:c>
      <x:c r="E191" s="30" t="str">
        <x:v>按执行角色权限读取；策略只能使用可访问快照</x:v>
      </x:c>
    </x:row>
    <x:row r="192" ht="32" customHeight="1">
      <x:c r="A192" s="30" t="str">
        <x:v>A002</x:v>
      </x:c>
      <x:c r="B192" s="30" t="str">
        <x:v>F203</x:v>
      </x:c>
      <x:c r="C192" s="30" t="str">
        <x:v>task.deadline_s</x:v>
      </x:c>
      <x:c r="D192" s="30" t="str">
        <x:v>候选输入schema</x:v>
      </x:c>
      <x:c r="E192" s="30" t="str">
        <x:v>按执行角色权限读取；策略只能使用可访问快照</x:v>
      </x:c>
    </x:row>
    <x:row r="193" ht="32" customHeight="1">
      <x:c r="A193" s="30" t="str">
        <x:v>A002</x:v>
      </x:c>
      <x:c r="B193" s="30" t="str">
        <x:v>F204</x:v>
      </x:c>
      <x:c r="C193" s="30" t="str">
        <x:v>task.dependency_ids</x:v>
      </x:c>
      <x:c r="D193" s="30" t="str">
        <x:v>候选输入schema</x:v>
      </x:c>
      <x:c r="E193" s="30" t="str">
        <x:v>按执行角色权限读取；策略只能使用可访问快照</x:v>
      </x:c>
    </x:row>
    <x:row r="194" ht="32" customHeight="1">
      <x:c r="A194" s="30" t="str">
        <x:v>A002</x:v>
      </x:c>
      <x:c r="B194" s="30" t="str">
        <x:v>F205</x:v>
      </x:c>
      <x:c r="C194" s="30" t="str">
        <x:v>task.required_capability_ids</x:v>
      </x:c>
      <x:c r="D194" s="30" t="str">
        <x:v>候选输入schema</x:v>
      </x:c>
      <x:c r="E194" s="30" t="str">
        <x:v>按执行角色权限读取；策略只能使用可访问快照</x:v>
      </x:c>
    </x:row>
    <x:row r="195" ht="32" customHeight="1">
      <x:c r="A195" s="30" t="str">
        <x:v>A002</x:v>
      </x:c>
      <x:c r="B195" s="30" t="str">
        <x:v>F206</x:v>
      </x:c>
      <x:c r="C195" s="30" t="str">
        <x:v>task.resource_budget</x:v>
      </x:c>
      <x:c r="D195" s="30" t="str">
        <x:v>候选输入schema</x:v>
      </x:c>
      <x:c r="E195" s="30" t="str">
        <x:v>按执行角色权限读取；策略只能使用可访问快照</x:v>
      </x:c>
    </x:row>
    <x:row r="196" ht="32" customHeight="1">
      <x:c r="A196" s="30" t="str">
        <x:v>A002</x:v>
      </x:c>
      <x:c r="B196" s="30" t="str">
        <x:v>F207</x:v>
      </x:c>
      <x:c r="C196" s="30" t="str">
        <x:v>task.assigned_to</x:v>
      </x:c>
      <x:c r="D196" s="30" t="str">
        <x:v>候选输入schema</x:v>
      </x:c>
      <x:c r="E196" s="30" t="str">
        <x:v>按执行角色权限读取；策略只能使用可访问快照</x:v>
      </x:c>
    </x:row>
    <x:row r="197" ht="32" customHeight="1">
      <x:c r="A197" s="30" t="str">
        <x:v>A002</x:v>
      </x:c>
      <x:c r="B197" s="30" t="str">
        <x:v>F208</x:v>
      </x:c>
      <x:c r="C197" s="30" t="str">
        <x:v>task.accepted_by</x:v>
      </x:c>
      <x:c r="D197" s="30" t="str">
        <x:v>候选输入schema</x:v>
      </x:c>
      <x:c r="E197" s="30" t="str">
        <x:v>按执行角色权限读取；策略只能使用可访问快照</x:v>
      </x:c>
    </x:row>
    <x:row r="198" ht="32" customHeight="1">
      <x:c r="A198" s="30" t="str">
        <x:v>A002</x:v>
      </x:c>
      <x:c r="B198" s="30" t="str">
        <x:v>F209</x:v>
      </x:c>
      <x:c r="C198" s="30" t="str">
        <x:v>task.commitment_window</x:v>
      </x:c>
      <x:c r="D198" s="30" t="str">
        <x:v>候选输入schema</x:v>
      </x:c>
      <x:c r="E198" s="30" t="str">
        <x:v>按执行角色权限读取；策略只能使用可访问快照</x:v>
      </x:c>
    </x:row>
    <x:row r="199" ht="32" customHeight="1">
      <x:c r="A199" s="30" t="str">
        <x:v>A002</x:v>
      </x:c>
      <x:c r="B199" s="30" t="str">
        <x:v>F210</x:v>
      </x:c>
      <x:c r="C199" s="30" t="str">
        <x:v>task.progress</x:v>
      </x:c>
      <x:c r="D199" s="30" t="str">
        <x:v>候选输入schema</x:v>
      </x:c>
      <x:c r="E199" s="30" t="str">
        <x:v>按执行角色权限读取；策略只能使用可访问快照</x:v>
      </x:c>
    </x:row>
    <x:row r="200" ht="32" customHeight="1">
      <x:c r="A200" s="30" t="str">
        <x:v>A002</x:v>
      </x:c>
      <x:c r="B200" s="30" t="str">
        <x:v>F211</x:v>
      </x:c>
      <x:c r="C200" s="30" t="str">
        <x:v>task.active_action_ids</x:v>
      </x:c>
      <x:c r="D200" s="30" t="str">
        <x:v>候选输入schema</x:v>
      </x:c>
      <x:c r="E200" s="30" t="str">
        <x:v>按执行角色权限读取；策略只能使用可访问快照</x:v>
      </x:c>
    </x:row>
    <x:row r="201" ht="32" customHeight="1">
      <x:c r="A201" s="30" t="str">
        <x:v>A002</x:v>
      </x:c>
      <x:c r="B201" s="30" t="str">
        <x:v>F212</x:v>
      </x:c>
      <x:c r="C201" s="30" t="str">
        <x:v>task.interruptibility</x:v>
      </x:c>
      <x:c r="D201" s="30" t="str">
        <x:v>候选输入schema</x:v>
      </x:c>
      <x:c r="E201" s="30" t="str">
        <x:v>按执行角色权限读取；策略只能使用可访问快照</x:v>
      </x:c>
    </x:row>
    <x:row r="202" ht="32" customHeight="1">
      <x:c r="A202" s="30" t="str">
        <x:v>A002</x:v>
      </x:c>
      <x:c r="B202" s="30" t="str">
        <x:v>F213</x:v>
      </x:c>
      <x:c r="C202" s="30" t="str">
        <x:v>task.original_task_id</x:v>
      </x:c>
      <x:c r="D202" s="30" t="str">
        <x:v>候选输入schema</x:v>
      </x:c>
      <x:c r="E202" s="30" t="str">
        <x:v>按执行角色权限读取；策略只能使用可访问快照</x:v>
      </x:c>
    </x:row>
    <x:row r="203" ht="32" customHeight="1">
      <x:c r="A203" s="30" t="str">
        <x:v>A002</x:v>
      </x:c>
      <x:c r="B203" s="30" t="str">
        <x:v>F214</x:v>
      </x:c>
      <x:c r="C203" s="30" t="str">
        <x:v>task.resume_checkpoint</x:v>
      </x:c>
      <x:c r="D203" s="30" t="str">
        <x:v>候选输入schema</x:v>
      </x:c>
      <x:c r="E203" s="30" t="str">
        <x:v>按执行角色权限读取；策略只能使用可访问快照</x:v>
      </x:c>
    </x:row>
    <x:row r="204" ht="32" customHeight="1">
      <x:c r="A204" s="30" t="str">
        <x:v>A002</x:v>
      </x:c>
      <x:c r="B204" s="30" t="str">
        <x:v>F215</x:v>
      </x:c>
      <x:c r="C204" s="30" t="str">
        <x:v>task.handoff_target_id</x:v>
      </x:c>
      <x:c r="D204" s="30" t="str">
        <x:v>候选输入schema</x:v>
      </x:c>
      <x:c r="E204" s="30" t="str">
        <x:v>按执行角色权限读取；策略只能使用可访问快照</x:v>
      </x:c>
    </x:row>
    <x:row r="205" ht="32" customHeight="1">
      <x:c r="A205" s="30" t="str">
        <x:v>A002</x:v>
      </x:c>
      <x:c r="B205" s="30" t="str">
        <x:v>F216</x:v>
      </x:c>
      <x:c r="C205" s="30" t="str">
        <x:v>task.result_evidence_ids</x:v>
      </x:c>
      <x:c r="D205" s="30" t="str">
        <x:v>候选输入schema</x:v>
      </x:c>
      <x:c r="E205" s="30" t="str">
        <x:v>按执行角色权限读取；策略只能使用可访问快照</x:v>
      </x:c>
    </x:row>
    <x:row r="206" ht="32" customHeight="1">
      <x:c r="A206" s="30" t="str">
        <x:v>A002</x:v>
      </x:c>
      <x:c r="B206" s="30" t="str">
        <x:v>F217</x:v>
      </x:c>
      <x:c r="C206" s="30" t="str">
        <x:v>task.failure_reason</x:v>
      </x:c>
      <x:c r="D206" s="30" t="str">
        <x:v>候选输入schema</x:v>
      </x:c>
      <x:c r="E206" s="30" t="str">
        <x:v>按执行角色权限读取；策略只能使用可访问快照</x:v>
      </x:c>
    </x:row>
    <x:row r="207" ht="32" customHeight="1">
      <x:c r="A207" s="30" t="str">
        <x:v>A002</x:v>
      </x:c>
      <x:c r="B207" s="30" t="str">
        <x:v>F218</x:v>
      </x:c>
      <x:c r="C207" s="30" t="str">
        <x:v>task.last_event_s</x:v>
      </x:c>
      <x:c r="D207" s="30" t="str">
        <x:v>候选输入schema</x:v>
      </x:c>
      <x:c r="E207" s="30" t="str">
        <x:v>按执行角色权限读取；策略只能使用可访问快照</x:v>
      </x:c>
    </x:row>
    <x:row r="208" ht="32" customHeight="1">
      <x:c r="A208" s="30" t="str">
        <x:v>A002</x:v>
      </x:c>
      <x:c r="B208" s="30" t="str">
        <x:v>F219</x:v>
      </x:c>
      <x:c r="C208" s="30" t="str">
        <x:v>task.opportunity_cost</x:v>
      </x:c>
      <x:c r="D208" s="30" t="str">
        <x:v>候选输入schema</x:v>
      </x:c>
      <x:c r="E208" s="30" t="str">
        <x:v>按执行角色权限读取；策略只能使用可访问快照</x:v>
      </x:c>
    </x:row>
    <x:row r="209" ht="32" customHeight="1">
      <x:c r="A209" s="30" t="str">
        <x:v>A002</x:v>
      </x:c>
      <x:c r="B209" s="30" t="str">
        <x:v>F230</x:v>
      </x:c>
      <x:c r="C209" s="30" t="str">
        <x:v>action.type</x:v>
      </x:c>
      <x:c r="D209" s="30" t="str">
        <x:v>候选输入schema</x:v>
      </x:c>
      <x:c r="E209" s="30" t="str">
        <x:v>按执行角色权限读取；策略只能使用可访问快照</x:v>
      </x:c>
    </x:row>
    <x:row r="210" ht="32" customHeight="1">
      <x:c r="A210" s="30" t="str">
        <x:v>A002</x:v>
      </x:c>
      <x:c r="B210" s="30" t="str">
        <x:v>F231</x:v>
      </x:c>
      <x:c r="C210" s="30" t="str">
        <x:v>action.executor_id</x:v>
      </x:c>
      <x:c r="D210" s="30" t="str">
        <x:v>候选输入schema</x:v>
      </x:c>
      <x:c r="E210" s="30" t="str">
        <x:v>按执行角色权限读取；策略只能使用可访问快照</x:v>
      </x:c>
    </x:row>
    <x:row r="211" ht="32" customHeight="1">
      <x:c r="A211" s="30" t="str">
        <x:v>A002</x:v>
      </x:c>
      <x:c r="B211" s="30" t="str">
        <x:v>F232</x:v>
      </x:c>
      <x:c r="C211" s="30" t="str">
        <x:v>action.task_ref</x:v>
      </x:c>
      <x:c r="D211" s="30" t="str">
        <x:v>候选输入schema</x:v>
      </x:c>
      <x:c r="E211" s="30" t="str">
        <x:v>按执行角色权限读取；策略只能使用可访问快照</x:v>
      </x:c>
    </x:row>
    <x:row r="212" ht="32" customHeight="1">
      <x:c r="A212" s="30" t="str">
        <x:v>A002</x:v>
      </x:c>
      <x:c r="B212" s="30" t="str">
        <x:v>F233</x:v>
      </x:c>
      <x:c r="C212" s="30" t="str">
        <x:v>action.target_ref</x:v>
      </x:c>
      <x:c r="D212" s="30" t="str">
        <x:v>候选输入schema</x:v>
      </x:c>
      <x:c r="E212" s="30" t="str">
        <x:v>按执行角色权限读取；策略只能使用可访问快照</x:v>
      </x:c>
    </x:row>
    <x:row r="213" ht="32" customHeight="1">
      <x:c r="A213" s="30" t="str">
        <x:v>A002</x:v>
      </x:c>
      <x:c r="B213" s="30" t="str">
        <x:v>F234</x:v>
      </x:c>
      <x:c r="C213" s="30" t="str">
        <x:v>action.parameters</x:v>
      </x:c>
      <x:c r="D213" s="30" t="str">
        <x:v>候选输入schema</x:v>
      </x:c>
      <x:c r="E213" s="30" t="str">
        <x:v>按执行角色权限读取；策略只能使用可访问快照</x:v>
      </x:c>
    </x:row>
    <x:row r="214" ht="32" customHeight="1">
      <x:c r="A214" s="30" t="str">
        <x:v>A002</x:v>
      </x:c>
      <x:c r="B214" s="30" t="str">
        <x:v>F235</x:v>
      </x:c>
      <x:c r="C214" s="30" t="str">
        <x:v>action.status</x:v>
      </x:c>
      <x:c r="D214" s="30" t="str">
        <x:v>候选输入schema</x:v>
      </x:c>
      <x:c r="E214" s="30" t="str">
        <x:v>按执行角色权限读取；策略只能使用可访问快照</x:v>
      </x:c>
    </x:row>
    <x:row r="215" ht="32" customHeight="1">
      <x:c r="A215" s="30" t="str">
        <x:v>A002</x:v>
      </x:c>
      <x:c r="B215" s="30" t="str">
        <x:v>F236</x:v>
      </x:c>
      <x:c r="C215" s="30" t="str">
        <x:v>action.start_s</x:v>
      </x:c>
      <x:c r="D215" s="30" t="str">
        <x:v>候选输入schema</x:v>
      </x:c>
      <x:c r="E215" s="30" t="str">
        <x:v>按执行角色权限读取；策略只能使用可访问快照</x:v>
      </x:c>
    </x:row>
    <x:row r="216" ht="32" customHeight="1">
      <x:c r="A216" s="30" t="str">
        <x:v>A002</x:v>
      </x:c>
      <x:c r="B216" s="30" t="str">
        <x:v>F237</x:v>
      </x:c>
      <x:c r="C216" s="30" t="str">
        <x:v>action.finish_s</x:v>
      </x:c>
      <x:c r="D216" s="30" t="str">
        <x:v>候选输入schema</x:v>
      </x:c>
      <x:c r="E216" s="30" t="str">
        <x:v>按执行角色权限读取；策略只能使用可访问快照</x:v>
      </x:c>
    </x:row>
    <x:row r="217" ht="32" customHeight="1">
      <x:c r="A217" s="30" t="str">
        <x:v>A002</x:v>
      </x:c>
      <x:c r="B217" s="30" t="str">
        <x:v>F238</x:v>
      </x:c>
      <x:c r="C217" s="30" t="str">
        <x:v>action.reserved_resources</x:v>
      </x:c>
      <x:c r="D217" s="30" t="str">
        <x:v>候选输入schema</x:v>
      </x:c>
      <x:c r="E217" s="30" t="str">
        <x:v>按执行角色权限读取；策略只能使用可访问快照</x:v>
      </x:c>
    </x:row>
    <x:row r="218" ht="32" customHeight="1">
      <x:c r="A218" s="30" t="str">
        <x:v>A002</x:v>
      </x:c>
      <x:c r="B218" s="30" t="str">
        <x:v>F239</x:v>
      </x:c>
      <x:c r="C218" s="30" t="str">
        <x:v>action.consumed_resources</x:v>
      </x:c>
      <x:c r="D218" s="30" t="str">
        <x:v>候选输入schema</x:v>
      </x:c>
      <x:c r="E218" s="30" t="str">
        <x:v>按执行角色权限读取；策略只能使用可访问快照</x:v>
      </x:c>
    </x:row>
    <x:row r="219" ht="32" customHeight="1">
      <x:c r="A219" s="30" t="str">
        <x:v>A002</x:v>
      </x:c>
      <x:c r="B219" s="30" t="str">
        <x:v>F240</x:v>
      </x:c>
      <x:c r="C219" s="30" t="str">
        <x:v>action.feedback</x:v>
      </x:c>
      <x:c r="D219" s="30" t="str">
        <x:v>候选输入schema</x:v>
      </x:c>
      <x:c r="E219" s="30" t="str">
        <x:v>按执行角色权限读取；策略只能使用可访问快照</x:v>
      </x:c>
    </x:row>
    <x:row r="220" ht="32" customHeight="1">
      <x:c r="A220" s="30" t="str">
        <x:v>A002</x:v>
      </x:c>
      <x:c r="B220" s="30" t="str">
        <x:v>F241</x:v>
      </x:c>
      <x:c r="C220" s="30" t="str">
        <x:v>action.result</x:v>
      </x:c>
      <x:c r="D220" s="30" t="str">
        <x:v>候选输入schema</x:v>
      </x:c>
      <x:c r="E220" s="30" t="str">
        <x:v>按执行角色权限读取；策略只能使用可访问快照</x:v>
      </x:c>
    </x:row>
    <x:row r="221" ht="32" customHeight="1">
      <x:c r="A221" s="30" t="str">
        <x:v>A002</x:v>
      </x:c>
      <x:c r="B221" s="30" t="str">
        <x:v>F242</x:v>
      </x:c>
      <x:c r="C221" s="30" t="str">
        <x:v>action.rejection_code</x:v>
      </x:c>
      <x:c r="D221" s="30" t="str">
        <x:v>候选输入schema</x:v>
      </x:c>
      <x:c r="E221" s="30" t="str">
        <x:v>按执行角色权限读取；策略只能使用可访问快照</x:v>
      </x:c>
    </x:row>
    <x:row r="222" ht="32" customHeight="1">
      <x:c r="A222" s="30" t="str">
        <x:v>A002</x:v>
      </x:c>
      <x:c r="B222" s="30" t="str">
        <x:v>F243</x:v>
      </x:c>
      <x:c r="C222" s="30" t="str">
        <x:v>action.failure_code</x:v>
      </x:c>
      <x:c r="D222" s="30" t="str">
        <x:v>候选输入schema</x:v>
      </x:c>
      <x:c r="E222" s="30" t="str">
        <x:v>按执行角色权限读取；策略只能使用可访问快照</x:v>
      </x:c>
    </x:row>
    <x:row r="223" ht="32" customHeight="1">
      <x:c r="A223" s="30" t="str">
        <x:v>A002</x:v>
      </x:c>
      <x:c r="B223" s="30" t="str">
        <x:v>F244</x:v>
      </x:c>
      <x:c r="C223" s="30" t="str">
        <x:v>action.cancel_requested</x:v>
      </x:c>
      <x:c r="D223" s="30" t="str">
        <x:v>候选输入schema</x:v>
      </x:c>
      <x:c r="E223" s="30" t="str">
        <x:v>按执行角色权限读取；策略只能使用可访问快照</x:v>
      </x:c>
    </x:row>
    <x:row r="224" ht="32" customHeight="1">
      <x:c r="A224" s="30" t="str">
        <x:v>A002</x:v>
      </x:c>
      <x:c r="B224" s="30" t="str">
        <x:v>F245</x:v>
      </x:c>
      <x:c r="C224" s="30" t="str">
        <x:v>action.backend_mode</x:v>
      </x:c>
      <x:c r="D224" s="30" t="str">
        <x:v>候选输入schema</x:v>
      </x:c>
      <x:c r="E224" s="30" t="str">
        <x:v>按执行角色权限读取；策略只能使用可访问快照</x:v>
      </x:c>
    </x:row>
    <x:row r="225" ht="32" customHeight="1">
      <x:c r="A225" s="30" t="str">
        <x:v>A002</x:v>
      </x:c>
      <x:c r="B225" s="30" t="str">
        <x:v>F371</x:v>
      </x:c>
      <x:c r="C225" s="30" t="str">
        <x:v>region.land_use</x:v>
      </x:c>
      <x:c r="D225" s="30" t="str">
        <x:v>候选输入schema</x:v>
      </x:c>
      <x:c r="E225" s="30" t="str">
        <x:v>按执行角色权限读取；策略只能使用可访问快照</x:v>
      </x:c>
    </x:row>
    <x:row r="226" ht="32" customHeight="1">
      <x:c r="A226" s="30" t="str">
        <x:v>A002</x:v>
      </x:c>
      <x:c r="B226" s="30" t="str">
        <x:v>F372</x:v>
      </x:c>
      <x:c r="C226" s="30" t="str">
        <x:v>region.building_density</x:v>
      </x:c>
      <x:c r="D226" s="30" t="str">
        <x:v>候选输入schema</x:v>
      </x:c>
      <x:c r="E226" s="30" t="str">
        <x:v>按执行角色权限读取；策略只能使用可访问快照</x:v>
      </x:c>
    </x:row>
    <x:row r="227" ht="32" customHeight="1">
      <x:c r="A227" s="30" t="str">
        <x:v>A002</x:v>
      </x:c>
      <x:c r="B227" s="30" t="str">
        <x:v>F373</x:v>
      </x:c>
      <x:c r="C227" s="30" t="str">
        <x:v>region.road_pattern</x:v>
      </x:c>
      <x:c r="D227" s="30" t="str">
        <x:v>候选输入schema</x:v>
      </x:c>
      <x:c r="E227" s="30" t="str">
        <x:v>按执行角色权限读取；策略只能使用可访问快照</x:v>
      </x:c>
    </x:row>
    <x:row r="228" ht="32" customHeight="1">
      <x:c r="A228" s="30" t="str">
        <x:v>A002</x:v>
      </x:c>
      <x:c r="B228" s="30" t="str">
        <x:v>F374</x:v>
      </x:c>
      <x:c r="C228" s="30" t="str">
        <x:v>region.occupancy_prior_id</x:v>
      </x:c>
      <x:c r="D228" s="30" t="str">
        <x:v>候选输入schema</x:v>
      </x:c>
      <x:c r="E228" s="30" t="str">
        <x:v>按执行角色权限读取；策略只能使用可访问快照</x:v>
      </x:c>
    </x:row>
    <x:row r="229" ht="32" customHeight="1">
      <x:c r="A229" s="30" t="str">
        <x:v>A002</x:v>
      </x:c>
      <x:c r="B229" s="30" t="str">
        <x:v>F375</x:v>
      </x:c>
      <x:c r="C229" s="30" t="str">
        <x:v>region.disaster_profile_id</x:v>
      </x:c>
      <x:c r="D229" s="30" t="str">
        <x:v>候选输入schema</x:v>
      </x:c>
      <x:c r="E229" s="30" t="str">
        <x:v>按执行角色权限读取；策略只能使用可访问快照</x:v>
      </x:c>
    </x:row>
    <x:row r="230" ht="32" customHeight="1">
      <x:c r="A230" s="30" t="str">
        <x:v>A002</x:v>
      </x:c>
      <x:c r="B230" s="30" t="str">
        <x:v>F376</x:v>
      </x:c>
      <x:c r="C230" s="30" t="str">
        <x:v>region.surface_palette</x:v>
      </x:c>
      <x:c r="D230" s="30" t="str">
        <x:v>候选输入schema</x:v>
      </x:c>
      <x:c r="E230" s="30" t="str">
        <x:v>按执行角色权限读取；策略只能使用可访问快照</x:v>
      </x:c>
    </x:row>
    <x:row r="231" ht="32" customHeight="1">
      <x:c r="A231" s="30" t="str">
        <x:v>A002</x:v>
      </x:c>
      <x:c r="B231" s="30" t="str">
        <x:v>F377</x:v>
      </x:c>
      <x:c r="C231" s="30" t="str">
        <x:v>region.base_elevation_m</x:v>
      </x:c>
      <x:c r="D231" s="30" t="str">
        <x:v>候选输入schema</x:v>
      </x:c>
      <x:c r="E231" s="30" t="str">
        <x:v>按执行角色权限读取；策略只能使用可访问快照</x:v>
      </x:c>
    </x:row>
    <x:row r="232" ht="32" customHeight="1">
      <x:c r="A232" s="30" t="str">
        <x:v>A002</x:v>
      </x:c>
      <x:c r="B232" s="30" t="str">
        <x:v>F378</x:v>
      </x:c>
      <x:c r="C232" s="30" t="str">
        <x:v>episode.scenario_id</x:v>
      </x:c>
      <x:c r="D232" s="30" t="str">
        <x:v>候选输入schema</x:v>
      </x:c>
      <x:c r="E232" s="30" t="str">
        <x:v>按执行角色权限读取；策略只能使用可访问快照</x:v>
      </x:c>
    </x:row>
    <x:row r="233" ht="32" customHeight="1">
      <x:c r="A233" s="30" t="str">
        <x:v>A002</x:v>
      </x:c>
      <x:c r="B233" s="30" t="str">
        <x:v>F379</x:v>
      </x:c>
      <x:c r="C233" s="30" t="str">
        <x:v>episode.map_revision</x:v>
      </x:c>
      <x:c r="D233" s="30" t="str">
        <x:v>候选输入schema</x:v>
      </x:c>
      <x:c r="E233" s="30" t="str">
        <x:v>按执行角色权限读取；策略只能使用可访问快照</x:v>
      </x:c>
    </x:row>
    <x:row r="234" ht="32" customHeight="1">
      <x:c r="A234" s="30" t="str">
        <x:v>A002</x:v>
      </x:c>
      <x:c r="B234" s="30" t="str">
        <x:v>F380</x:v>
      </x:c>
      <x:c r="C234" s="30" t="str">
        <x:v>episode.seed</x:v>
      </x:c>
      <x:c r="D234" s="30" t="str">
        <x:v>候选输入schema</x:v>
      </x:c>
      <x:c r="E234" s="30" t="str">
        <x:v>按执行角色权限读取；策略只能使用可访问快照</x:v>
      </x:c>
    </x:row>
    <x:row r="235" ht="32" customHeight="1">
      <x:c r="A235" s="30" t="str">
        <x:v>A002</x:v>
      </x:c>
      <x:c r="B235" s="30" t="str">
        <x:v>F381</x:v>
      </x:c>
      <x:c r="C235" s="30" t="str">
        <x:v>episode.sim_time_s</x:v>
      </x:c>
      <x:c r="D235" s="30" t="str">
        <x:v>候选输入schema</x:v>
      </x:c>
      <x:c r="E235" s="30" t="str">
        <x:v>按执行角色权限读取；策略只能使用可访问快照</x:v>
      </x:c>
    </x:row>
    <x:row r="236" ht="32" customHeight="1">
      <x:c r="A236" s="30" t="str">
        <x:v>A002</x:v>
      </x:c>
      <x:c r="B236" s="30" t="str">
        <x:v>F382</x:v>
      </x:c>
      <x:c r="C236" s="30" t="str">
        <x:v>episode.clock_step_s</x:v>
      </x:c>
      <x:c r="D236" s="30" t="str">
        <x:v>候选输入schema</x:v>
      </x:c>
      <x:c r="E236" s="30" t="str">
        <x:v>按执行角色权限读取；策略只能使用可访问快照</x:v>
      </x:c>
    </x:row>
    <x:row r="237" ht="32" customHeight="1">
      <x:c r="A237" s="30" t="str">
        <x:v>A002</x:v>
      </x:c>
      <x:c r="B237" s="30" t="str">
        <x:v>F383</x:v>
      </x:c>
      <x:c r="C237" s="30" t="str">
        <x:v>episode.world_frame</x:v>
      </x:c>
      <x:c r="D237" s="30" t="str">
        <x:v>候选输入schema</x:v>
      </x:c>
      <x:c r="E237" s="30" t="str">
        <x:v>按执行角色权限读取；策略只能使用可访问快照</x:v>
      </x:c>
    </x:row>
    <x:row r="238" ht="32" customHeight="1">
      <x:c r="A238" s="30" t="str">
        <x:v>A002</x:v>
      </x:c>
      <x:c r="B238" s="30" t="str">
        <x:v>F384</x:v>
      </x:c>
      <x:c r="C238" s="30" t="str">
        <x:v>episode.map_bounds_m</x:v>
      </x:c>
      <x:c r="D238" s="30" t="str">
        <x:v>候选输入schema</x:v>
      </x:c>
      <x:c r="E238" s="30" t="str">
        <x:v>按执行角色权限读取；策略只能使用可访问快照</x:v>
      </x:c>
    </x:row>
    <x:row r="239" ht="32" customHeight="1">
      <x:c r="A239" s="30" t="str">
        <x:v>A002</x:v>
      </x:c>
      <x:c r="B239" s="30" t="str">
        <x:v>F385</x:v>
      </x:c>
      <x:c r="C239" s="30" t="str">
        <x:v>episode.backend_modes</x:v>
      </x:c>
      <x:c r="D239" s="30" t="str">
        <x:v>候选输入schema</x:v>
      </x:c>
      <x:c r="E239" s="30" t="str">
        <x:v>按执行角色权限读取；策略只能使用可访问快照</x:v>
      </x:c>
    </x:row>
    <x:row r="240" ht="32" customHeight="1">
      <x:c r="A240" s="30" t="str">
        <x:v>A002</x:v>
      </x:c>
      <x:c r="B240" s="30" t="str">
        <x:v>F004</x:v>
      </x:c>
      <x:c r="C240" s="30" t="str">
        <x:v>entity.pose</x:v>
      </x:c>
      <x:c r="D240" s="30" t="str">
        <x:v>直接效果</x:v>
      </x:c>
      <x:c r="E240" s="30" t="str">
        <x:v>经实际执行/回执提交；不是规划时提前修改</x:v>
      </x:c>
    </x:row>
    <x:row r="241" ht="32" customHeight="1">
      <x:c r="A241" s="30" t="str">
        <x:v>A002</x:v>
      </x:c>
      <x:c r="B241" s="30" t="str">
        <x:v>F109</x:v>
      </x:c>
      <x:c r="C241" s="30" t="str">
        <x:v>platform.motion_state</x:v>
      </x:c>
      <x:c r="D241" s="30" t="str">
        <x:v>直接效果</x:v>
      </x:c>
      <x:c r="E241" s="30" t="str">
        <x:v>经实际执行/回执提交；不是规划时提前修改</x:v>
      </x:c>
    </x:row>
    <x:row r="242" ht="32" customHeight="1">
      <x:c r="A242" s="30" t="str">
        <x:v>A002</x:v>
      </x:c>
      <x:c r="B242" s="30" t="str">
        <x:v>F105</x:v>
      </x:c>
      <x:c r="C242" s="30" t="str">
        <x:v>platform.battery_remaining_Wh</x:v>
      </x:c>
      <x:c r="D242" s="30" t="str">
        <x:v>直接效果</x:v>
      </x:c>
      <x:c r="E242" s="30" t="str">
        <x:v>经实际执行/回执提交；不是规划时提前修改</x:v>
      </x:c>
    </x:row>
    <x:row r="243" ht="32" customHeight="1">
      <x:c r="A243" s="30" t="str">
        <x:v>A003</x:v>
      </x:c>
      <x:c r="B243" s="30" t="str">
        <x:v>F001</x:v>
      </x:c>
      <x:c r="C243" s="30" t="str">
        <x:v>entity.id</x:v>
      </x:c>
      <x:c r="D243" s="30" t="str">
        <x:v>候选输入schema</x:v>
      </x:c>
      <x:c r="E243" s="30" t="str">
        <x:v>按执行角色权限读取；策略只能使用可访问快照</x:v>
      </x:c>
    </x:row>
    <x:row r="244" ht="32" customHeight="1">
      <x:c r="A244" s="30" t="str">
        <x:v>A003</x:v>
      </x:c>
      <x:c r="B244" s="30" t="str">
        <x:v>F002</x:v>
      </x:c>
      <x:c r="C244" s="30" t="str">
        <x:v>entity.kind</x:v>
      </x:c>
      <x:c r="D244" s="30" t="str">
        <x:v>候选输入schema</x:v>
      </x:c>
      <x:c r="E244" s="30" t="str">
        <x:v>按执行角色权限读取；策略只能使用可访问快照</x:v>
      </x:c>
    </x:row>
    <x:row r="245" ht="32" customHeight="1">
      <x:c r="A245" s="30" t="str">
        <x:v>A003</x:v>
      </x:c>
      <x:c r="B245" s="30" t="str">
        <x:v>F003</x:v>
      </x:c>
      <x:c r="C245" s="30" t="str">
        <x:v>entity.parent_id</x:v>
      </x:c>
      <x:c r="D245" s="30" t="str">
        <x:v>候选输入schema</x:v>
      </x:c>
      <x:c r="E245" s="30" t="str">
        <x:v>按执行角色权限读取；策略只能使用可访问快照</x:v>
      </x:c>
    </x:row>
    <x:row r="246" ht="32" customHeight="1">
      <x:c r="A246" s="30" t="str">
        <x:v>A003</x:v>
      </x:c>
      <x:c r="B246" s="30" t="str">
        <x:v>F004</x:v>
      </x:c>
      <x:c r="C246" s="30" t="str">
        <x:v>entity.pose</x:v>
      </x:c>
      <x:c r="D246" s="30" t="str">
        <x:v>候选输入schema</x:v>
      </x:c>
      <x:c r="E246" s="30" t="str">
        <x:v>按执行角色权限读取；策略只能使用可访问快照</x:v>
      </x:c>
    </x:row>
    <x:row r="247" ht="32" customHeight="1">
      <x:c r="A247" s="30" t="str">
        <x:v>A003</x:v>
      </x:c>
      <x:c r="B247" s="30" t="str">
        <x:v>F005</x:v>
      </x:c>
      <x:c r="C247" s="30" t="str">
        <x:v>entity.footprint</x:v>
      </x:c>
      <x:c r="D247" s="30" t="str">
        <x:v>候选输入schema</x:v>
      </x:c>
      <x:c r="E247" s="30" t="str">
        <x:v>按执行角色权限读取；策略只能使用可访问快照</x:v>
      </x:c>
    </x:row>
    <x:row r="248" ht="32" customHeight="1">
      <x:c r="A248" s="30" t="str">
        <x:v>A003</x:v>
      </x:c>
      <x:c r="B248" s="30" t="str">
        <x:v>F006</x:v>
      </x:c>
      <x:c r="C248" s="30" t="str">
        <x:v>entity.height_m</x:v>
      </x:c>
      <x:c r="D248" s="30" t="str">
        <x:v>候选输入schema</x:v>
      </x:c>
      <x:c r="E248" s="30" t="str">
        <x:v>按执行角色权限读取；策略只能使用可访问快照</x:v>
      </x:c>
    </x:row>
    <x:row r="249" ht="32" customHeight="1">
      <x:c r="A249" s="30" t="str">
        <x:v>A003</x:v>
      </x:c>
      <x:c r="B249" s="30" t="str">
        <x:v>F007</x:v>
      </x:c>
      <x:c r="C249" s="30" t="str">
        <x:v>entity.region_id</x:v>
      </x:c>
      <x:c r="D249" s="30" t="str">
        <x:v>候选输入schema</x:v>
      </x:c>
      <x:c r="E249" s="30" t="str">
        <x:v>按执行角色权限读取；策略只能使用可访问快照</x:v>
      </x:c>
    </x:row>
    <x:row r="250" ht="32" customHeight="1">
      <x:c r="A250" s="30" t="str">
        <x:v>A003</x:v>
      </x:c>
      <x:c r="B250" s="30" t="str">
        <x:v>F008</x:v>
      </x:c>
      <x:c r="C250" s="30" t="str">
        <x:v>entity.revision</x:v>
      </x:c>
      <x:c r="D250" s="30" t="str">
        <x:v>候选输入schema</x:v>
      </x:c>
      <x:c r="E250" s="30" t="str">
        <x:v>按执行角色权限读取；策略只能使用可访问快照</x:v>
      </x:c>
    </x:row>
    <x:row r="251" ht="32" customHeight="1">
      <x:c r="A251" s="30" t="str">
        <x:v>A003</x:v>
      </x:c>
      <x:c r="B251" s="30" t="str">
        <x:v>F009</x:v>
      </x:c>
      <x:c r="C251" s="30" t="str">
        <x:v>entity.provenance</x:v>
      </x:c>
      <x:c r="D251" s="30" t="str">
        <x:v>候选输入schema</x:v>
      </x:c>
      <x:c r="E251" s="30" t="str">
        <x:v>按执行角色权限读取；策略只能使用可访问快照</x:v>
      </x:c>
    </x:row>
    <x:row r="252" ht="32" customHeight="1">
      <x:c r="A252" s="30" t="str">
        <x:v>A003</x:v>
      </x:c>
      <x:c r="B252" s="30" t="str">
        <x:v>F010</x:v>
      </x:c>
      <x:c r="C252" s="30" t="str">
        <x:v>hazard.kind</x:v>
      </x:c>
      <x:c r="D252" s="30" t="str">
        <x:v>候选输入schema</x:v>
      </x:c>
      <x:c r="E252" s="30" t="str">
        <x:v>按执行角色权限读取；策略只能使用可访问快照</x:v>
      </x:c>
    </x:row>
    <x:row r="253" ht="32" customHeight="1">
      <x:c r="A253" s="30" t="str">
        <x:v>A003</x:v>
      </x:c>
      <x:c r="B253" s="30" t="str">
        <x:v>F011</x:v>
      </x:c>
      <x:c r="C253" s="30" t="str">
        <x:v>hazard.footprint</x:v>
      </x:c>
      <x:c r="D253" s="30" t="str">
        <x:v>候选输入schema</x:v>
      </x:c>
      <x:c r="E253" s="30" t="str">
        <x:v>按执行角色权限读取；策略只能使用可访问快照</x:v>
      </x:c>
    </x:row>
    <x:row r="254" ht="32" customHeight="1">
      <x:c r="A254" s="30" t="str">
        <x:v>A003</x:v>
      </x:c>
      <x:c r="B254" s="30" t="str">
        <x:v>F012</x:v>
      </x:c>
      <x:c r="C254" s="30" t="str">
        <x:v>hazard.intensity</x:v>
      </x:c>
      <x:c r="D254" s="30" t="str">
        <x:v>候选输入schema</x:v>
      </x:c>
      <x:c r="E254" s="30" t="str">
        <x:v>按执行角色权限读取；策略只能使用可访问快照</x:v>
      </x:c>
    </x:row>
    <x:row r="255" ht="32" customHeight="1">
      <x:c r="A255" s="30" t="str">
        <x:v>A003</x:v>
      </x:c>
      <x:c r="B255" s="30" t="str">
        <x:v>F013</x:v>
      </x:c>
      <x:c r="C255" s="30" t="str">
        <x:v>hazard.active</x:v>
      </x:c>
      <x:c r="D255" s="30" t="str">
        <x:v>候选输入schema</x:v>
      </x:c>
      <x:c r="E255" s="30" t="str">
        <x:v>按执行角色权限读取；策略只能使用可访问快照</x:v>
      </x:c>
    </x:row>
    <x:row r="256" ht="32" customHeight="1">
      <x:c r="A256" s="30" t="str">
        <x:v>A003</x:v>
      </x:c>
      <x:c r="B256" s="30" t="str">
        <x:v>F014</x:v>
      </x:c>
      <x:c r="C256" s="30" t="str">
        <x:v>hazard.water_depth_m</x:v>
      </x:c>
      <x:c r="D256" s="30" t="str">
        <x:v>候选输入schema</x:v>
      </x:c>
      <x:c r="E256" s="30" t="str">
        <x:v>按执行角色权限读取；策略只能使用可访问快照</x:v>
      </x:c>
    </x:row>
    <x:row r="257" ht="32" customHeight="1">
      <x:c r="A257" s="30" t="str">
        <x:v>A003</x:v>
      </x:c>
      <x:c r="B257" s="30" t="str">
        <x:v>F015</x:v>
      </x:c>
      <x:c r="C257" s="30" t="str">
        <x:v>hazard.flow_speed_mps</x:v>
      </x:c>
      <x:c r="D257" s="30" t="str">
        <x:v>候选输入schema</x:v>
      </x:c>
      <x:c r="E257" s="30" t="str">
        <x:v>按执行角色权限读取；策略只能使用可访问快照</x:v>
      </x:c>
    </x:row>
    <x:row r="258" ht="32" customHeight="1">
      <x:c r="A258" s="30" t="str">
        <x:v>A003</x:v>
      </x:c>
      <x:c r="B258" s="30" t="str">
        <x:v>F016</x:v>
      </x:c>
      <x:c r="C258" s="30" t="str">
        <x:v>hazard.smoke_density</x:v>
      </x:c>
      <x:c r="D258" s="30" t="str">
        <x:v>候选输入schema</x:v>
      </x:c>
      <x:c r="E258" s="30" t="str">
        <x:v>按执行角色权限读取；策略只能使用可访问快照</x:v>
      </x:c>
    </x:row>
    <x:row r="259" ht="32" customHeight="1">
      <x:c r="A259" s="30" t="str">
        <x:v>A003</x:v>
      </x:c>
      <x:c r="B259" s="30" t="str">
        <x:v>F017</x:v>
      </x:c>
      <x:c r="C259" s="30" t="str">
        <x:v>hazard.fire_intensity</x:v>
      </x:c>
      <x:c r="D259" s="30" t="str">
        <x:v>候选输入schema</x:v>
      </x:c>
      <x:c r="E259" s="30" t="str">
        <x:v>按执行角色权限读取；策略只能使用可访问快照</x:v>
      </x:c>
    </x:row>
    <x:row r="260" ht="32" customHeight="1">
      <x:c r="A260" s="30" t="str">
        <x:v>A003</x:v>
      </x:c>
      <x:c r="B260" s="30" t="str">
        <x:v>F018</x:v>
      </x:c>
      <x:c r="C260" s="30" t="str">
        <x:v>hazard.gas_level</x:v>
      </x:c>
      <x:c r="D260" s="30" t="str">
        <x:v>候选输入schema</x:v>
      </x:c>
      <x:c r="E260" s="30" t="str">
        <x:v>按执行角色权限读取；策略只能使用可访问快照</x:v>
      </x:c>
    </x:row>
    <x:row r="261" ht="32" customHeight="1">
      <x:c r="A261" s="30" t="str">
        <x:v>A003</x:v>
      </x:c>
      <x:c r="B261" s="30" t="str">
        <x:v>F019</x:v>
      </x:c>
      <x:c r="C261" s="30" t="str">
        <x:v>hazard.wind_mps</x:v>
      </x:c>
      <x:c r="D261" s="30" t="str">
        <x:v>候选输入schema</x:v>
      </x:c>
      <x:c r="E261" s="30" t="str">
        <x:v>按执行角色权限读取；策略只能使用可访问快照</x:v>
      </x:c>
    </x:row>
    <x:row r="262" ht="32" customHeight="1">
      <x:c r="A262" s="30" t="str">
        <x:v>A003</x:v>
      </x:c>
      <x:c r="B262" s="30" t="str">
        <x:v>F020</x:v>
      </x:c>
      <x:c r="C262" s="30" t="str">
        <x:v>hazard.visibility_m</x:v>
      </x:c>
      <x:c r="D262" s="30" t="str">
        <x:v>候选输入schema</x:v>
      </x:c>
      <x:c r="E262" s="30" t="str">
        <x:v>按执行角色权限读取；策略只能使用可访问快照</x:v>
      </x:c>
    </x:row>
    <x:row r="263" ht="32" customHeight="1">
      <x:c r="A263" s="30" t="str">
        <x:v>A003</x:v>
      </x:c>
      <x:c r="B263" s="30" t="str">
        <x:v>F021</x:v>
      </x:c>
      <x:c r="C263" s="30" t="str">
        <x:v>hazard.weather</x:v>
      </x:c>
      <x:c r="D263" s="30" t="str">
        <x:v>候选输入schema</x:v>
      </x:c>
      <x:c r="E263" s="30" t="str">
        <x:v>按执行角色权限读取；策略只能使用可访问快照</x:v>
      </x:c>
    </x:row>
    <x:row r="264" ht="32" customHeight="1">
      <x:c r="A264" s="30" t="str">
        <x:v>A003</x:v>
      </x:c>
      <x:c r="B264" s="30" t="str">
        <x:v>F022</x:v>
      </x:c>
      <x:c r="C264" s="30" t="str">
        <x:v>hazard.illumination</x:v>
      </x:c>
      <x:c r="D264" s="30" t="str">
        <x:v>候选输入schema</x:v>
      </x:c>
      <x:c r="E264" s="30" t="str">
        <x:v>按执行角色权限读取；策略只能使用可访问快照</x:v>
      </x:c>
    </x:row>
    <x:row r="265" ht="32" customHeight="1">
      <x:c r="A265" s="30" t="str">
        <x:v>A003</x:v>
      </x:c>
      <x:c r="B265" s="30" t="str">
        <x:v>F023</x:v>
      </x:c>
      <x:c r="C265" s="30" t="str">
        <x:v>hazard.secondary_event</x:v>
      </x:c>
      <x:c r="D265" s="30" t="str">
        <x:v>候选输入schema</x:v>
      </x:c>
      <x:c r="E265" s="30" t="str">
        <x:v>按执行角色权限读取；策略只能使用可访问快照</x:v>
      </x:c>
    </x:row>
    <x:row r="266" ht="32" customHeight="1">
      <x:c r="A266" s="30" t="str">
        <x:v>A003</x:v>
      </x:c>
      <x:c r="B266" s="30" t="str">
        <x:v>F024</x:v>
      </x:c>
      <x:c r="C266" s="30" t="str">
        <x:v>hazard.exclusion_zone</x:v>
      </x:c>
      <x:c r="D266" s="30" t="str">
        <x:v>候选输入schema</x:v>
      </x:c>
      <x:c r="E266" s="30" t="str">
        <x:v>按执行角色权限读取；策略只能使用可访问快照</x:v>
      </x:c>
    </x:row>
    <x:row r="267" ht="32" customHeight="1">
      <x:c r="A267" s="30" t="str">
        <x:v>A003</x:v>
      </x:c>
      <x:c r="B267" s="30" t="str">
        <x:v>F025</x:v>
      </x:c>
      <x:c r="C267" s="30" t="str">
        <x:v>hazard.expiry_s</x:v>
      </x:c>
      <x:c r="D267" s="30" t="str">
        <x:v>候选输入schema</x:v>
      </x:c>
      <x:c r="E267" s="30" t="str">
        <x:v>按执行角色权限读取；策略只能使用可访问快照</x:v>
      </x:c>
    </x:row>
    <x:row r="268" ht="32" customHeight="1">
      <x:c r="A268" s="30" t="str">
        <x:v>A003</x:v>
      </x:c>
      <x:c r="B268" s="30" t="str">
        <x:v>F044</x:v>
      </x:c>
      <x:c r="C268" s="30" t="str">
        <x:v>road.centerline</x:v>
      </x:c>
      <x:c r="D268" s="30" t="str">
        <x:v>候选输入schema</x:v>
      </x:c>
      <x:c r="E268" s="30" t="str">
        <x:v>按执行角色权限读取；策略只能使用可访问快照</x:v>
      </x:c>
    </x:row>
    <x:row r="269" ht="32" customHeight="1">
      <x:c r="A269" s="30" t="str">
        <x:v>A003</x:v>
      </x:c>
      <x:c r="B269" s="30" t="str">
        <x:v>F045</x:v>
      </x:c>
      <x:c r="C269" s="30" t="str">
        <x:v>road.width_m</x:v>
      </x:c>
      <x:c r="D269" s="30" t="str">
        <x:v>候选输入schema</x:v>
      </x:c>
      <x:c r="E269" s="30" t="str">
        <x:v>按执行角色权限读取；策略只能使用可访问快照</x:v>
      </x:c>
    </x:row>
    <x:row r="270" ht="32" customHeight="1">
      <x:c r="A270" s="30" t="str">
        <x:v>A003</x:v>
      </x:c>
      <x:c r="B270" s="30" t="str">
        <x:v>F046</x:v>
      </x:c>
      <x:c r="C270" s="30" t="str">
        <x:v>road.surface</x:v>
      </x:c>
      <x:c r="D270" s="30" t="str">
        <x:v>候选输入schema</x:v>
      </x:c>
      <x:c r="E270" s="30" t="str">
        <x:v>按执行角色权限读取；策略只能使用可访问快照</x:v>
      </x:c>
    </x:row>
    <x:row r="271" ht="32" customHeight="1">
      <x:c r="A271" s="30" t="str">
        <x:v>A003</x:v>
      </x:c>
      <x:c r="B271" s="30" t="str">
        <x:v>F047</x:v>
      </x:c>
      <x:c r="C271" s="30" t="str">
        <x:v>road.from_node</x:v>
      </x:c>
      <x:c r="D271" s="30" t="str">
        <x:v>候选输入schema</x:v>
      </x:c>
      <x:c r="E271" s="30" t="str">
        <x:v>按执行角色权限读取；策略只能使用可访问快照</x:v>
      </x:c>
    </x:row>
    <x:row r="272" ht="32" customHeight="1">
      <x:c r="A272" s="30" t="str">
        <x:v>A003</x:v>
      </x:c>
      <x:c r="B272" s="30" t="str">
        <x:v>F048</x:v>
      </x:c>
      <x:c r="C272" s="30" t="str">
        <x:v>road.to_node</x:v>
      </x:c>
      <x:c r="D272" s="30" t="str">
        <x:v>候选输入schema</x:v>
      </x:c>
      <x:c r="E272" s="30" t="str">
        <x:v>按执行角色权限读取；策略只能使用可访问快照</x:v>
      </x:c>
    </x:row>
    <x:row r="273" ht="32" customHeight="1">
      <x:c r="A273" s="30" t="str">
        <x:v>A003</x:v>
      </x:c>
      <x:c r="B273" s="30" t="str">
        <x:v>F049</x:v>
      </x:c>
      <x:c r="C273" s="30" t="str">
        <x:v>road.obstacle_ids</x:v>
      </x:c>
      <x:c r="D273" s="30" t="str">
        <x:v>候选输入schema</x:v>
      </x:c>
      <x:c r="E273" s="30" t="str">
        <x:v>按执行角色权限读取；策略只能使用可访问快照</x:v>
      </x:c>
    </x:row>
    <x:row r="274" ht="32" customHeight="1">
      <x:c r="A274" s="30" t="str">
        <x:v>A003</x:v>
      </x:c>
      <x:c r="B274" s="30" t="str">
        <x:v>F050</x:v>
      </x:c>
      <x:c r="C274" s="30" t="str">
        <x:v>road.clear_width_m</x:v>
      </x:c>
      <x:c r="D274" s="30" t="str">
        <x:v>候选输入schema</x:v>
      </x:c>
      <x:c r="E274" s="30" t="str">
        <x:v>按执行角色权限读取；策略只能使用可访问快照</x:v>
      </x:c>
    </x:row>
    <x:row r="275" ht="32" customHeight="1">
      <x:c r="A275" s="30" t="str">
        <x:v>A003</x:v>
      </x:c>
      <x:c r="B275" s="30" t="str">
        <x:v>F051</x:v>
      </x:c>
      <x:c r="C275" s="30" t="str">
        <x:v>road.clear_height_m</x:v>
      </x:c>
      <x:c r="D275" s="30" t="str">
        <x:v>候选输入schema</x:v>
      </x:c>
      <x:c r="E275" s="30" t="str">
        <x:v>按执行角色权限读取；策略只能使用可访问快照</x:v>
      </x:c>
    </x:row>
    <x:row r="276" ht="32" customHeight="1">
      <x:c r="A276" s="30" t="str">
        <x:v>A003</x:v>
      </x:c>
      <x:c r="B276" s="30" t="str">
        <x:v>F052</x:v>
      </x:c>
      <x:c r="C276" s="30" t="str">
        <x:v>road.turn_radius_m</x:v>
      </x:c>
      <x:c r="D276" s="30" t="str">
        <x:v>候选输入schema</x:v>
      </x:c>
      <x:c r="E276" s="30" t="str">
        <x:v>按执行角色权限读取；策略只能使用可访问快照</x:v>
      </x:c>
    </x:row>
    <x:row r="277" ht="32" customHeight="1">
      <x:c r="A277" s="30" t="str">
        <x:v>A003</x:v>
      </x:c>
      <x:c r="B277" s="30" t="str">
        <x:v>F053</x:v>
      </x:c>
      <x:c r="C277" s="30" t="str">
        <x:v>road.step_height_m</x:v>
      </x:c>
      <x:c r="D277" s="30" t="str">
        <x:v>候选输入schema</x:v>
      </x:c>
      <x:c r="E277" s="30" t="str">
        <x:v>按执行角色权限读取；策略只能使用可访问快照</x:v>
      </x:c>
    </x:row>
    <x:row r="278" ht="32" customHeight="1">
      <x:c r="A278" s="30" t="str">
        <x:v>A003</x:v>
      </x:c>
      <x:c r="B278" s="30" t="str">
        <x:v>F054</x:v>
      </x:c>
      <x:c r="C278" s="30" t="str">
        <x:v>road.entry_state</x:v>
      </x:c>
      <x:c r="D278" s="30" t="str">
        <x:v>候选输入schema</x:v>
      </x:c>
      <x:c r="E278" s="30" t="str">
        <x:v>按执行角色权限读取；策略只能使用可访问快照</x:v>
      </x:c>
    </x:row>
    <x:row r="279" ht="32" customHeight="1">
      <x:c r="A279" s="30" t="str">
        <x:v>A003</x:v>
      </x:c>
      <x:c r="B279" s="30" t="str">
        <x:v>F055</x:v>
      </x:c>
      <x:c r="C279" s="30" t="str">
        <x:v>road.water_depth_m</x:v>
      </x:c>
      <x:c r="D279" s="30" t="str">
        <x:v>候选输入schema</x:v>
      </x:c>
      <x:c r="E279" s="30" t="str">
        <x:v>按执行角色权限读取；策略只能使用可访问快照</x:v>
      </x:c>
    </x:row>
    <x:row r="280" ht="32" customHeight="1">
      <x:c r="A280" s="30" t="str">
        <x:v>A003</x:v>
      </x:c>
      <x:c r="B280" s="30" t="str">
        <x:v>F056</x:v>
      </x:c>
      <x:c r="C280" s="30" t="str">
        <x:v>road.passability</x:v>
      </x:c>
      <x:c r="D280" s="30" t="str">
        <x:v>候选输入schema</x:v>
      </x:c>
      <x:c r="E280" s="30" t="str">
        <x:v>按执行角色权限读取；策略只能使用可访问快照</x:v>
      </x:c>
    </x:row>
    <x:row r="281" ht="32" customHeight="1">
      <x:c r="A281" s="30" t="str">
        <x:v>A003</x:v>
      </x:c>
      <x:c r="B281" s="30" t="str">
        <x:v>F057</x:v>
      </x:c>
      <x:c r="C281" s="30" t="str">
        <x:v>road.travel_cost</x:v>
      </x:c>
      <x:c r="D281" s="30" t="str">
        <x:v>候选输入schema</x:v>
      </x:c>
      <x:c r="E281" s="30" t="str">
        <x:v>按执行角色权限读取；策略只能使用可访问快照</x:v>
      </x:c>
    </x:row>
    <x:row r="282" ht="32" customHeight="1">
      <x:c r="A282" s="30" t="str">
        <x:v>A003</x:v>
      </x:c>
      <x:c r="B282" s="30" t="str">
        <x:v>F058</x:v>
      </x:c>
      <x:c r="C282" s="30" t="str">
        <x:v>road.topology_revision</x:v>
      </x:c>
      <x:c r="D282" s="30" t="str">
        <x:v>候选输入schema</x:v>
      </x:c>
      <x:c r="E282" s="30" t="str">
        <x:v>按执行角色权限读取；策略只能使用可访问快照</x:v>
      </x:c>
    </x:row>
    <x:row r="283" ht="32" customHeight="1">
      <x:c r="A283" s="30" t="str">
        <x:v>A003</x:v>
      </x:c>
      <x:c r="B283" s="30" t="str">
        <x:v>F095</x:v>
      </x:c>
      <x:c r="C283" s="30" t="str">
        <x:v>platform.kind</x:v>
      </x:c>
      <x:c r="D283" s="30" t="str">
        <x:v>候选输入schema</x:v>
      </x:c>
      <x:c r="E283" s="30" t="str">
        <x:v>按执行角色权限读取；策略只能使用可访问快照</x:v>
      </x:c>
    </x:row>
    <x:row r="284" ht="32" customHeight="1">
      <x:c r="A284" s="30" t="str">
        <x:v>A003</x:v>
      </x:c>
      <x:c r="B284" s="30" t="str">
        <x:v>F096</x:v>
      </x:c>
      <x:c r="C284" s="30" t="str">
        <x:v>platform.capability_ids</x:v>
      </x:c>
      <x:c r="D284" s="30" t="str">
        <x:v>候选输入schema</x:v>
      </x:c>
      <x:c r="E284" s="30" t="str">
        <x:v>按执行角色权限读取；策略只能使用可访问快照</x:v>
      </x:c>
    </x:row>
    <x:row r="285" ht="32" customHeight="1">
      <x:c r="A285" s="30" t="str">
        <x:v>A003</x:v>
      </x:c>
      <x:c r="B285" s="30" t="str">
        <x:v>F097</x:v>
      </x:c>
      <x:c r="C285" s="30" t="str">
        <x:v>platform.equipment_ids</x:v>
      </x:c>
      <x:c r="D285" s="30" t="str">
        <x:v>候选输入schema</x:v>
      </x:c>
      <x:c r="E285" s="30" t="str">
        <x:v>按执行角色权限读取；策略只能使用可访问快照</x:v>
      </x:c>
    </x:row>
    <x:row r="286" ht="32" customHeight="1">
      <x:c r="A286" s="30" t="str">
        <x:v>A003</x:v>
      </x:c>
      <x:c r="B286" s="30" t="str">
        <x:v>F098</x:v>
      </x:c>
      <x:c r="C286" s="30" t="str">
        <x:v>platform.width_m</x:v>
      </x:c>
      <x:c r="D286" s="30" t="str">
        <x:v>候选输入schema</x:v>
      </x:c>
      <x:c r="E286" s="30" t="str">
        <x:v>按执行角色权限读取；策略只能使用可访问快照</x:v>
      </x:c>
    </x:row>
    <x:row r="287" ht="32" customHeight="1">
      <x:c r="A287" s="30" t="str">
        <x:v>A003</x:v>
      </x:c>
      <x:c r="B287" s="30" t="str">
        <x:v>F099</x:v>
      </x:c>
      <x:c r="C287" s="30" t="str">
        <x:v>platform.height_m</x:v>
      </x:c>
      <x:c r="D287" s="30" t="str">
        <x:v>候选输入schema</x:v>
      </x:c>
      <x:c r="E287" s="30" t="str">
        <x:v>按执行角色权限读取；策略只能使用可访问快照</x:v>
      </x:c>
    </x:row>
    <x:row r="288" ht="32" customHeight="1">
      <x:c r="A288" s="30" t="str">
        <x:v>A003</x:v>
      </x:c>
      <x:c r="B288" s="30" t="str">
        <x:v>F100</x:v>
      </x:c>
      <x:c r="C288" s="30" t="str">
        <x:v>platform.swept_radius_m</x:v>
      </x:c>
      <x:c r="D288" s="30" t="str">
        <x:v>候选输入schema</x:v>
      </x:c>
      <x:c r="E288" s="30" t="str">
        <x:v>按执行角色权限读取；策略只能使用可访问快照</x:v>
      </x:c>
    </x:row>
    <x:row r="289" ht="32" customHeight="1">
      <x:c r="A289" s="30" t="str">
        <x:v>A003</x:v>
      </x:c>
      <x:c r="B289" s="30" t="str">
        <x:v>F101</x:v>
      </x:c>
      <x:c r="C289" s="30" t="str">
        <x:v>platform.payload_capacity_kg</x:v>
      </x:c>
      <x:c r="D289" s="30" t="str">
        <x:v>候选输入schema</x:v>
      </x:c>
      <x:c r="E289" s="30" t="str">
        <x:v>按执行角色权限读取；策略只能使用可访问快照</x:v>
      </x:c>
    </x:row>
    <x:row r="290" ht="32" customHeight="1">
      <x:c r="A290" s="30" t="str">
        <x:v>A003</x:v>
      </x:c>
      <x:c r="B290" s="30" t="str">
        <x:v>F102</x:v>
      </x:c>
      <x:c r="C290" s="30" t="str">
        <x:v>platform.payload_used_kg</x:v>
      </x:c>
      <x:c r="D290" s="30" t="str">
        <x:v>候选输入schema</x:v>
      </x:c>
      <x:c r="E290" s="30" t="str">
        <x:v>按执行角色权限读取；策略只能使用可访问快照</x:v>
      </x:c>
    </x:row>
    <x:row r="291" ht="32" customHeight="1">
      <x:c r="A291" s="30" t="str">
        <x:v>A003</x:v>
      </x:c>
      <x:c r="B291" s="30" t="str">
        <x:v>F103</x:v>
      </x:c>
      <x:c r="C291" s="30" t="str">
        <x:v>platform.payload_item_ids</x:v>
      </x:c>
      <x:c r="D291" s="30" t="str">
        <x:v>候选输入schema</x:v>
      </x:c>
      <x:c r="E291" s="30" t="str">
        <x:v>按执行角色权限读取；策略只能使用可访问快照</x:v>
      </x:c>
    </x:row>
    <x:row r="292" ht="32" customHeight="1">
      <x:c r="A292" s="30" t="str">
        <x:v>A003</x:v>
      </x:c>
      <x:c r="B292" s="30" t="str">
        <x:v>F104</x:v>
      </x:c>
      <x:c r="C292" s="30" t="str">
        <x:v>platform.battery_capacity_Wh</x:v>
      </x:c>
      <x:c r="D292" s="30" t="str">
        <x:v>候选输入schema</x:v>
      </x:c>
      <x:c r="E292" s="30" t="str">
        <x:v>按执行角色权限读取；策略只能使用可访问快照</x:v>
      </x:c>
    </x:row>
    <x:row r="293" ht="32" customHeight="1">
      <x:c r="A293" s="30" t="str">
        <x:v>A003</x:v>
      </x:c>
      <x:c r="B293" s="30" t="str">
        <x:v>F105</x:v>
      </x:c>
      <x:c r="C293" s="30" t="str">
        <x:v>platform.battery_remaining_Wh</x:v>
      </x:c>
      <x:c r="D293" s="30" t="str">
        <x:v>候选输入schema</x:v>
      </x:c>
      <x:c r="E293" s="30" t="str">
        <x:v>按执行角色权限读取；策略只能使用可访问快照</x:v>
      </x:c>
    </x:row>
    <x:row r="294" ht="32" customHeight="1">
      <x:c r="A294" s="30" t="str">
        <x:v>A003</x:v>
      </x:c>
      <x:c r="B294" s="30" t="str">
        <x:v>F106</x:v>
      </x:c>
      <x:c r="C294" s="30" t="str">
        <x:v>platform.reserve_Wh</x:v>
      </x:c>
      <x:c r="D294" s="30" t="str">
        <x:v>候选输入schema</x:v>
      </x:c>
      <x:c r="E294" s="30" t="str">
        <x:v>按执行角色权限读取；策略只能使用可访问快照</x:v>
      </x:c>
    </x:row>
    <x:row r="295" ht="32" customHeight="1">
      <x:c r="A295" s="30" t="str">
        <x:v>A003</x:v>
      </x:c>
      <x:c r="B295" s="30" t="str">
        <x:v>F107</x:v>
      </x:c>
      <x:c r="C295" s="30" t="str">
        <x:v>platform.speed_limit_mps</x:v>
      </x:c>
      <x:c r="D295" s="30" t="str">
        <x:v>候选输入schema</x:v>
      </x:c>
      <x:c r="E295" s="30" t="str">
        <x:v>按执行角色权限读取；策略只能使用可访问快照</x:v>
      </x:c>
    </x:row>
    <x:row r="296" ht="32" customHeight="1">
      <x:c r="A296" s="30" t="str">
        <x:v>A003</x:v>
      </x:c>
      <x:c r="B296" s="30" t="str">
        <x:v>F108</x:v>
      </x:c>
      <x:c r="C296" s="30" t="str">
        <x:v>platform.energy_model</x:v>
      </x:c>
      <x:c r="D296" s="30" t="str">
        <x:v>候选输入schema</x:v>
      </x:c>
      <x:c r="E296" s="30" t="str">
        <x:v>按执行角色权限读取；策略只能使用可访问快照</x:v>
      </x:c>
    </x:row>
    <x:row r="297" ht="32" customHeight="1">
      <x:c r="A297" s="30" t="str">
        <x:v>A003</x:v>
      </x:c>
      <x:c r="B297" s="30" t="str">
        <x:v>F109</x:v>
      </x:c>
      <x:c r="C297" s="30" t="str">
        <x:v>platform.motion_state</x:v>
      </x:c>
      <x:c r="D297" s="30" t="str">
        <x:v>候选输入schema</x:v>
      </x:c>
      <x:c r="E297" s="30" t="str">
        <x:v>按执行角色权限读取；策略只能使用可访问快照</x:v>
      </x:c>
    </x:row>
    <x:row r="298" ht="32" customHeight="1">
      <x:c r="A298" s="30" t="str">
        <x:v>A003</x:v>
      </x:c>
      <x:c r="B298" s="30" t="str">
        <x:v>F110</x:v>
      </x:c>
      <x:c r="C298" s="30" t="str">
        <x:v>platform.health_state</x:v>
      </x:c>
      <x:c r="D298" s="30" t="str">
        <x:v>候选输入schema</x:v>
      </x:c>
      <x:c r="E298" s="30" t="str">
        <x:v>按执行角色权限读取；策略只能使用可访问快照</x:v>
      </x:c>
    </x:row>
    <x:row r="299" ht="32" customHeight="1">
      <x:c r="A299" s="30" t="str">
        <x:v>A003</x:v>
      </x:c>
      <x:c r="B299" s="30" t="str">
        <x:v>F111</x:v>
      </x:c>
      <x:c r="C299" s="30" t="str">
        <x:v>platform.current_action_id</x:v>
      </x:c>
      <x:c r="D299" s="30" t="str">
        <x:v>候选输入schema</x:v>
      </x:c>
      <x:c r="E299" s="30" t="str">
        <x:v>按执行角色权限读取；策略只能使用可访问快照</x:v>
      </x:c>
    </x:row>
    <x:row r="300" ht="32" customHeight="1">
      <x:c r="A300" s="30" t="str">
        <x:v>A003</x:v>
      </x:c>
      <x:c r="B300" s="30" t="str">
        <x:v>F112</x:v>
      </x:c>
      <x:c r="C300" s="30" t="str">
        <x:v>platform.busy_until_est_s</x:v>
      </x:c>
      <x:c r="D300" s="30" t="str">
        <x:v>候选输入schema</x:v>
      </x:c>
      <x:c r="E300" s="30" t="str">
        <x:v>按执行角色权限读取；策略只能使用可访问快照</x:v>
      </x:c>
    </x:row>
    <x:row r="301" ht="32" customHeight="1">
      <x:c r="A301" s="30" t="str">
        <x:v>A003</x:v>
      </x:c>
      <x:c r="B301" s="30" t="str">
        <x:v>F113</x:v>
      </x:c>
      <x:c r="C301" s="30" t="str">
        <x:v>platform.return_site_id</x:v>
      </x:c>
      <x:c r="D301" s="30" t="str">
        <x:v>候选输入schema</x:v>
      </x:c>
      <x:c r="E301" s="30" t="str">
        <x:v>按执行角色权限读取；策略只能使用可访问快照</x:v>
      </x:c>
    </x:row>
    <x:row r="302" ht="32" customHeight="1">
      <x:c r="A302" s="30" t="str">
        <x:v>A003</x:v>
      </x:c>
      <x:c r="B302" s="30" t="str">
        <x:v>F114</x:v>
      </x:c>
      <x:c r="C302" s="30" t="str">
        <x:v>platform.water_tolerance_m</x:v>
      </x:c>
      <x:c r="D302" s="30" t="str">
        <x:v>候选输入schema</x:v>
      </x:c>
      <x:c r="E302" s="30" t="str">
        <x:v>按执行角色权限读取；策略只能使用可访问快照</x:v>
      </x:c>
    </x:row>
    <x:row r="303" ht="32" customHeight="1">
      <x:c r="A303" s="30" t="str">
        <x:v>A003</x:v>
      </x:c>
      <x:c r="B303" s="30" t="str">
        <x:v>F115</x:v>
      </x:c>
      <x:c r="C303" s="30" t="str">
        <x:v>platform.concurrency_policy</x:v>
      </x:c>
      <x:c r="D303" s="30" t="str">
        <x:v>候选输入schema</x:v>
      </x:c>
      <x:c r="E303" s="30" t="str">
        <x:v>按执行角色权限读取；策略只能使用可访问快照</x:v>
      </x:c>
    </x:row>
    <x:row r="304" ht="32" customHeight="1">
      <x:c r="A304" s="30" t="str">
        <x:v>A003</x:v>
      </x:c>
      <x:c r="B304" s="30" t="str">
        <x:v>F196</x:v>
      </x:c>
      <x:c r="C304" s="30" t="str">
        <x:v>task.type</x:v>
      </x:c>
      <x:c r="D304" s="30" t="str">
        <x:v>候选输入schema</x:v>
      </x:c>
      <x:c r="E304" s="30" t="str">
        <x:v>按执行角色权限读取；策略只能使用可访问快照</x:v>
      </x:c>
    </x:row>
    <x:row r="305" ht="32" customHeight="1">
      <x:c r="A305" s="30" t="str">
        <x:v>A003</x:v>
      </x:c>
      <x:c r="B305" s="30" t="str">
        <x:v>F197</x:v>
      </x:c>
      <x:c r="C305" s="30" t="str">
        <x:v>task.creator_id</x:v>
      </x:c>
      <x:c r="D305" s="30" t="str">
        <x:v>候选输入schema</x:v>
      </x:c>
      <x:c r="E305" s="30" t="str">
        <x:v>按执行角色权限读取；策略只能使用可访问快照</x:v>
      </x:c>
    </x:row>
    <x:row r="306" ht="32" customHeight="1">
      <x:c r="A306" s="30" t="str">
        <x:v>A003</x:v>
      </x:c>
      <x:c r="B306" s="30" t="str">
        <x:v>F198</x:v>
      </x:c>
      <x:c r="C306" s="30" t="str">
        <x:v>task.target_ref</x:v>
      </x:c>
      <x:c r="D306" s="30" t="str">
        <x:v>候选输入schema</x:v>
      </x:c>
      <x:c r="E306" s="30" t="str">
        <x:v>按执行角色权限读取；策略只能使用可访问快照</x:v>
      </x:c>
    </x:row>
    <x:row r="307" ht="32" customHeight="1">
      <x:c r="A307" s="30" t="str">
        <x:v>A003</x:v>
      </x:c>
      <x:c r="B307" s="30" t="str">
        <x:v>F199</x:v>
      </x:c>
      <x:c r="C307" s="30" t="str">
        <x:v>task.goal_predicate</x:v>
      </x:c>
      <x:c r="D307" s="30" t="str">
        <x:v>候选输入schema</x:v>
      </x:c>
      <x:c r="E307" s="30" t="str">
        <x:v>按执行角色权限读取；策略只能使用可访问快照</x:v>
      </x:c>
    </x:row>
    <x:row r="308" ht="32" customHeight="1">
      <x:c r="A308" s="30" t="str">
        <x:v>A003</x:v>
      </x:c>
      <x:c r="B308" s="30" t="str">
        <x:v>F200</x:v>
      </x:c>
      <x:c r="C308" s="30" t="str">
        <x:v>task.revision</x:v>
      </x:c>
      <x:c r="D308" s="30" t="str">
        <x:v>候选输入schema</x:v>
      </x:c>
      <x:c r="E308" s="30" t="str">
        <x:v>按执行角色权限读取；策略只能使用可访问快照</x:v>
      </x:c>
    </x:row>
    <x:row r="309" ht="32" customHeight="1">
      <x:c r="A309" s="30" t="str">
        <x:v>A003</x:v>
      </x:c>
      <x:c r="B309" s="30" t="str">
        <x:v>F201</x:v>
      </x:c>
      <x:c r="C309" s="30" t="str">
        <x:v>task.status</x:v>
      </x:c>
      <x:c r="D309" s="30" t="str">
        <x:v>候选输入schema</x:v>
      </x:c>
      <x:c r="E309" s="30" t="str">
        <x:v>按执行角色权限读取；策略只能使用可访问快照</x:v>
      </x:c>
    </x:row>
    <x:row r="310" ht="32" customHeight="1">
      <x:c r="A310" s="30" t="str">
        <x:v>A003</x:v>
      </x:c>
      <x:c r="B310" s="30" t="str">
        <x:v>F202</x:v>
      </x:c>
      <x:c r="C310" s="30" t="str">
        <x:v>task.priority</x:v>
      </x:c>
      <x:c r="D310" s="30" t="str">
        <x:v>候选输入schema</x:v>
      </x:c>
      <x:c r="E310" s="30" t="str">
        <x:v>按执行角色权限读取；策略只能使用可访问快照</x:v>
      </x:c>
    </x:row>
    <x:row r="311" ht="32" customHeight="1">
      <x:c r="A311" s="30" t="str">
        <x:v>A003</x:v>
      </x:c>
      <x:c r="B311" s="30" t="str">
        <x:v>F203</x:v>
      </x:c>
      <x:c r="C311" s="30" t="str">
        <x:v>task.deadline_s</x:v>
      </x:c>
      <x:c r="D311" s="30" t="str">
        <x:v>候选输入schema</x:v>
      </x:c>
      <x:c r="E311" s="30" t="str">
        <x:v>按执行角色权限读取；策略只能使用可访问快照</x:v>
      </x:c>
    </x:row>
    <x:row r="312" ht="32" customHeight="1">
      <x:c r="A312" s="30" t="str">
        <x:v>A003</x:v>
      </x:c>
      <x:c r="B312" s="30" t="str">
        <x:v>F204</x:v>
      </x:c>
      <x:c r="C312" s="30" t="str">
        <x:v>task.dependency_ids</x:v>
      </x:c>
      <x:c r="D312" s="30" t="str">
        <x:v>候选输入schema</x:v>
      </x:c>
      <x:c r="E312" s="30" t="str">
        <x:v>按执行角色权限读取；策略只能使用可访问快照</x:v>
      </x:c>
    </x:row>
    <x:row r="313" ht="32" customHeight="1">
      <x:c r="A313" s="30" t="str">
        <x:v>A003</x:v>
      </x:c>
      <x:c r="B313" s="30" t="str">
        <x:v>F205</x:v>
      </x:c>
      <x:c r="C313" s="30" t="str">
        <x:v>task.required_capability_ids</x:v>
      </x:c>
      <x:c r="D313" s="30" t="str">
        <x:v>候选输入schema</x:v>
      </x:c>
      <x:c r="E313" s="30" t="str">
        <x:v>按执行角色权限读取；策略只能使用可访问快照</x:v>
      </x:c>
    </x:row>
    <x:row r="314" ht="32" customHeight="1">
      <x:c r="A314" s="30" t="str">
        <x:v>A003</x:v>
      </x:c>
      <x:c r="B314" s="30" t="str">
        <x:v>F206</x:v>
      </x:c>
      <x:c r="C314" s="30" t="str">
        <x:v>task.resource_budget</x:v>
      </x:c>
      <x:c r="D314" s="30" t="str">
        <x:v>候选输入schema</x:v>
      </x:c>
      <x:c r="E314" s="30" t="str">
        <x:v>按执行角色权限读取；策略只能使用可访问快照</x:v>
      </x:c>
    </x:row>
    <x:row r="315" ht="32" customHeight="1">
      <x:c r="A315" s="30" t="str">
        <x:v>A003</x:v>
      </x:c>
      <x:c r="B315" s="30" t="str">
        <x:v>F207</x:v>
      </x:c>
      <x:c r="C315" s="30" t="str">
        <x:v>task.assigned_to</x:v>
      </x:c>
      <x:c r="D315" s="30" t="str">
        <x:v>候选输入schema</x:v>
      </x:c>
      <x:c r="E315" s="30" t="str">
        <x:v>按执行角色权限读取；策略只能使用可访问快照</x:v>
      </x:c>
    </x:row>
    <x:row r="316" ht="32" customHeight="1">
      <x:c r="A316" s="30" t="str">
        <x:v>A003</x:v>
      </x:c>
      <x:c r="B316" s="30" t="str">
        <x:v>F208</x:v>
      </x:c>
      <x:c r="C316" s="30" t="str">
        <x:v>task.accepted_by</x:v>
      </x:c>
      <x:c r="D316" s="30" t="str">
        <x:v>候选输入schema</x:v>
      </x:c>
      <x:c r="E316" s="30" t="str">
        <x:v>按执行角色权限读取；策略只能使用可访问快照</x:v>
      </x:c>
    </x:row>
    <x:row r="317" ht="32" customHeight="1">
      <x:c r="A317" s="30" t="str">
        <x:v>A003</x:v>
      </x:c>
      <x:c r="B317" s="30" t="str">
        <x:v>F209</x:v>
      </x:c>
      <x:c r="C317" s="30" t="str">
        <x:v>task.commitment_window</x:v>
      </x:c>
      <x:c r="D317" s="30" t="str">
        <x:v>候选输入schema</x:v>
      </x:c>
      <x:c r="E317" s="30" t="str">
        <x:v>按执行角色权限读取；策略只能使用可访问快照</x:v>
      </x:c>
    </x:row>
    <x:row r="318" ht="32" customHeight="1">
      <x:c r="A318" s="30" t="str">
        <x:v>A003</x:v>
      </x:c>
      <x:c r="B318" s="30" t="str">
        <x:v>F210</x:v>
      </x:c>
      <x:c r="C318" s="30" t="str">
        <x:v>task.progress</x:v>
      </x:c>
      <x:c r="D318" s="30" t="str">
        <x:v>候选输入schema</x:v>
      </x:c>
      <x:c r="E318" s="30" t="str">
        <x:v>按执行角色权限读取；策略只能使用可访问快照</x:v>
      </x:c>
    </x:row>
    <x:row r="319" ht="32" customHeight="1">
      <x:c r="A319" s="30" t="str">
        <x:v>A003</x:v>
      </x:c>
      <x:c r="B319" s="30" t="str">
        <x:v>F211</x:v>
      </x:c>
      <x:c r="C319" s="30" t="str">
        <x:v>task.active_action_ids</x:v>
      </x:c>
      <x:c r="D319" s="30" t="str">
        <x:v>候选输入schema</x:v>
      </x:c>
      <x:c r="E319" s="30" t="str">
        <x:v>按执行角色权限读取；策略只能使用可访问快照</x:v>
      </x:c>
    </x:row>
    <x:row r="320" ht="32" customHeight="1">
      <x:c r="A320" s="30" t="str">
        <x:v>A003</x:v>
      </x:c>
      <x:c r="B320" s="30" t="str">
        <x:v>F212</x:v>
      </x:c>
      <x:c r="C320" s="30" t="str">
        <x:v>task.interruptibility</x:v>
      </x:c>
      <x:c r="D320" s="30" t="str">
        <x:v>候选输入schema</x:v>
      </x:c>
      <x:c r="E320" s="30" t="str">
        <x:v>按执行角色权限读取；策略只能使用可访问快照</x:v>
      </x:c>
    </x:row>
    <x:row r="321" ht="32" customHeight="1">
      <x:c r="A321" s="30" t="str">
        <x:v>A003</x:v>
      </x:c>
      <x:c r="B321" s="30" t="str">
        <x:v>F213</x:v>
      </x:c>
      <x:c r="C321" s="30" t="str">
        <x:v>task.original_task_id</x:v>
      </x:c>
      <x:c r="D321" s="30" t="str">
        <x:v>候选输入schema</x:v>
      </x:c>
      <x:c r="E321" s="30" t="str">
        <x:v>按执行角色权限读取；策略只能使用可访问快照</x:v>
      </x:c>
    </x:row>
    <x:row r="322" ht="32" customHeight="1">
      <x:c r="A322" s="30" t="str">
        <x:v>A003</x:v>
      </x:c>
      <x:c r="B322" s="30" t="str">
        <x:v>F214</x:v>
      </x:c>
      <x:c r="C322" s="30" t="str">
        <x:v>task.resume_checkpoint</x:v>
      </x:c>
      <x:c r="D322" s="30" t="str">
        <x:v>候选输入schema</x:v>
      </x:c>
      <x:c r="E322" s="30" t="str">
        <x:v>按执行角色权限读取；策略只能使用可访问快照</x:v>
      </x:c>
    </x:row>
    <x:row r="323" ht="32" customHeight="1">
      <x:c r="A323" s="30" t="str">
        <x:v>A003</x:v>
      </x:c>
      <x:c r="B323" s="30" t="str">
        <x:v>F215</x:v>
      </x:c>
      <x:c r="C323" s="30" t="str">
        <x:v>task.handoff_target_id</x:v>
      </x:c>
      <x:c r="D323" s="30" t="str">
        <x:v>候选输入schema</x:v>
      </x:c>
      <x:c r="E323" s="30" t="str">
        <x:v>按执行角色权限读取；策略只能使用可访问快照</x:v>
      </x:c>
    </x:row>
    <x:row r="324" ht="32" customHeight="1">
      <x:c r="A324" s="30" t="str">
        <x:v>A003</x:v>
      </x:c>
      <x:c r="B324" s="30" t="str">
        <x:v>F216</x:v>
      </x:c>
      <x:c r="C324" s="30" t="str">
        <x:v>task.result_evidence_ids</x:v>
      </x:c>
      <x:c r="D324" s="30" t="str">
        <x:v>候选输入schema</x:v>
      </x:c>
      <x:c r="E324" s="30" t="str">
        <x:v>按执行角色权限读取；策略只能使用可访问快照</x:v>
      </x:c>
    </x:row>
    <x:row r="325" ht="32" customHeight="1">
      <x:c r="A325" s="30" t="str">
        <x:v>A003</x:v>
      </x:c>
      <x:c r="B325" s="30" t="str">
        <x:v>F217</x:v>
      </x:c>
      <x:c r="C325" s="30" t="str">
        <x:v>task.failure_reason</x:v>
      </x:c>
      <x:c r="D325" s="30" t="str">
        <x:v>候选输入schema</x:v>
      </x:c>
      <x:c r="E325" s="30" t="str">
        <x:v>按执行角色权限读取；策略只能使用可访问快照</x:v>
      </x:c>
    </x:row>
    <x:row r="326" ht="32" customHeight="1">
      <x:c r="A326" s="30" t="str">
        <x:v>A003</x:v>
      </x:c>
      <x:c r="B326" s="30" t="str">
        <x:v>F218</x:v>
      </x:c>
      <x:c r="C326" s="30" t="str">
        <x:v>task.last_event_s</x:v>
      </x:c>
      <x:c r="D326" s="30" t="str">
        <x:v>候选输入schema</x:v>
      </x:c>
      <x:c r="E326" s="30" t="str">
        <x:v>按执行角色权限读取；策略只能使用可访问快照</x:v>
      </x:c>
    </x:row>
    <x:row r="327" ht="32" customHeight="1">
      <x:c r="A327" s="30" t="str">
        <x:v>A003</x:v>
      </x:c>
      <x:c r="B327" s="30" t="str">
        <x:v>F219</x:v>
      </x:c>
      <x:c r="C327" s="30" t="str">
        <x:v>task.opportunity_cost</x:v>
      </x:c>
      <x:c r="D327" s="30" t="str">
        <x:v>候选输入schema</x:v>
      </x:c>
      <x:c r="E327" s="30" t="str">
        <x:v>按执行角色权限读取；策略只能使用可访问快照</x:v>
      </x:c>
    </x:row>
    <x:row r="328" ht="32" customHeight="1">
      <x:c r="A328" s="30" t="str">
        <x:v>A003</x:v>
      </x:c>
      <x:c r="B328" s="30" t="str">
        <x:v>F230</x:v>
      </x:c>
      <x:c r="C328" s="30" t="str">
        <x:v>action.type</x:v>
      </x:c>
      <x:c r="D328" s="30" t="str">
        <x:v>候选输入schema</x:v>
      </x:c>
      <x:c r="E328" s="30" t="str">
        <x:v>按执行角色权限读取；策略只能使用可访问快照</x:v>
      </x:c>
    </x:row>
    <x:row r="329" ht="32" customHeight="1">
      <x:c r="A329" s="30" t="str">
        <x:v>A003</x:v>
      </x:c>
      <x:c r="B329" s="30" t="str">
        <x:v>F231</x:v>
      </x:c>
      <x:c r="C329" s="30" t="str">
        <x:v>action.executor_id</x:v>
      </x:c>
      <x:c r="D329" s="30" t="str">
        <x:v>候选输入schema</x:v>
      </x:c>
      <x:c r="E329" s="30" t="str">
        <x:v>按执行角色权限读取；策略只能使用可访问快照</x:v>
      </x:c>
    </x:row>
    <x:row r="330" ht="32" customHeight="1">
      <x:c r="A330" s="30" t="str">
        <x:v>A003</x:v>
      </x:c>
      <x:c r="B330" s="30" t="str">
        <x:v>F232</x:v>
      </x:c>
      <x:c r="C330" s="30" t="str">
        <x:v>action.task_ref</x:v>
      </x:c>
      <x:c r="D330" s="30" t="str">
        <x:v>候选输入schema</x:v>
      </x:c>
      <x:c r="E330" s="30" t="str">
        <x:v>按执行角色权限读取；策略只能使用可访问快照</x:v>
      </x:c>
    </x:row>
    <x:row r="331" ht="32" customHeight="1">
      <x:c r="A331" s="30" t="str">
        <x:v>A003</x:v>
      </x:c>
      <x:c r="B331" s="30" t="str">
        <x:v>F233</x:v>
      </x:c>
      <x:c r="C331" s="30" t="str">
        <x:v>action.target_ref</x:v>
      </x:c>
      <x:c r="D331" s="30" t="str">
        <x:v>候选输入schema</x:v>
      </x:c>
      <x:c r="E331" s="30" t="str">
        <x:v>按执行角色权限读取；策略只能使用可访问快照</x:v>
      </x:c>
    </x:row>
    <x:row r="332" ht="32" customHeight="1">
      <x:c r="A332" s="30" t="str">
        <x:v>A003</x:v>
      </x:c>
      <x:c r="B332" s="30" t="str">
        <x:v>F234</x:v>
      </x:c>
      <x:c r="C332" s="30" t="str">
        <x:v>action.parameters</x:v>
      </x:c>
      <x:c r="D332" s="30" t="str">
        <x:v>候选输入schema</x:v>
      </x:c>
      <x:c r="E332" s="30" t="str">
        <x:v>按执行角色权限读取；策略只能使用可访问快照</x:v>
      </x:c>
    </x:row>
    <x:row r="333" ht="32" customHeight="1">
      <x:c r="A333" s="30" t="str">
        <x:v>A003</x:v>
      </x:c>
      <x:c r="B333" s="30" t="str">
        <x:v>F235</x:v>
      </x:c>
      <x:c r="C333" s="30" t="str">
        <x:v>action.status</x:v>
      </x:c>
      <x:c r="D333" s="30" t="str">
        <x:v>候选输入schema</x:v>
      </x:c>
      <x:c r="E333" s="30" t="str">
        <x:v>按执行角色权限读取；策略只能使用可访问快照</x:v>
      </x:c>
    </x:row>
    <x:row r="334" ht="32" customHeight="1">
      <x:c r="A334" s="30" t="str">
        <x:v>A003</x:v>
      </x:c>
      <x:c r="B334" s="30" t="str">
        <x:v>F236</x:v>
      </x:c>
      <x:c r="C334" s="30" t="str">
        <x:v>action.start_s</x:v>
      </x:c>
      <x:c r="D334" s="30" t="str">
        <x:v>候选输入schema</x:v>
      </x:c>
      <x:c r="E334" s="30" t="str">
        <x:v>按执行角色权限读取；策略只能使用可访问快照</x:v>
      </x:c>
    </x:row>
    <x:row r="335" ht="32" customHeight="1">
      <x:c r="A335" s="30" t="str">
        <x:v>A003</x:v>
      </x:c>
      <x:c r="B335" s="30" t="str">
        <x:v>F237</x:v>
      </x:c>
      <x:c r="C335" s="30" t="str">
        <x:v>action.finish_s</x:v>
      </x:c>
      <x:c r="D335" s="30" t="str">
        <x:v>候选输入schema</x:v>
      </x:c>
      <x:c r="E335" s="30" t="str">
        <x:v>按执行角色权限读取；策略只能使用可访问快照</x:v>
      </x:c>
    </x:row>
    <x:row r="336" ht="32" customHeight="1">
      <x:c r="A336" s="30" t="str">
        <x:v>A003</x:v>
      </x:c>
      <x:c r="B336" s="30" t="str">
        <x:v>F238</x:v>
      </x:c>
      <x:c r="C336" s="30" t="str">
        <x:v>action.reserved_resources</x:v>
      </x:c>
      <x:c r="D336" s="30" t="str">
        <x:v>候选输入schema</x:v>
      </x:c>
      <x:c r="E336" s="30" t="str">
        <x:v>按执行角色权限读取；策略只能使用可访问快照</x:v>
      </x:c>
    </x:row>
    <x:row r="337" ht="32" customHeight="1">
      <x:c r="A337" s="30" t="str">
        <x:v>A003</x:v>
      </x:c>
      <x:c r="B337" s="30" t="str">
        <x:v>F239</x:v>
      </x:c>
      <x:c r="C337" s="30" t="str">
        <x:v>action.consumed_resources</x:v>
      </x:c>
      <x:c r="D337" s="30" t="str">
        <x:v>候选输入schema</x:v>
      </x:c>
      <x:c r="E337" s="30" t="str">
        <x:v>按执行角色权限读取；策略只能使用可访问快照</x:v>
      </x:c>
    </x:row>
    <x:row r="338" ht="32" customHeight="1">
      <x:c r="A338" s="30" t="str">
        <x:v>A003</x:v>
      </x:c>
      <x:c r="B338" s="30" t="str">
        <x:v>F240</x:v>
      </x:c>
      <x:c r="C338" s="30" t="str">
        <x:v>action.feedback</x:v>
      </x:c>
      <x:c r="D338" s="30" t="str">
        <x:v>候选输入schema</x:v>
      </x:c>
      <x:c r="E338" s="30" t="str">
        <x:v>按执行角色权限读取；策略只能使用可访问快照</x:v>
      </x:c>
    </x:row>
    <x:row r="339" ht="32" customHeight="1">
      <x:c r="A339" s="30" t="str">
        <x:v>A003</x:v>
      </x:c>
      <x:c r="B339" s="30" t="str">
        <x:v>F241</x:v>
      </x:c>
      <x:c r="C339" s="30" t="str">
        <x:v>action.result</x:v>
      </x:c>
      <x:c r="D339" s="30" t="str">
        <x:v>候选输入schema</x:v>
      </x:c>
      <x:c r="E339" s="30" t="str">
        <x:v>按执行角色权限读取；策略只能使用可访问快照</x:v>
      </x:c>
    </x:row>
    <x:row r="340" ht="32" customHeight="1">
      <x:c r="A340" s="30" t="str">
        <x:v>A003</x:v>
      </x:c>
      <x:c r="B340" s="30" t="str">
        <x:v>F242</x:v>
      </x:c>
      <x:c r="C340" s="30" t="str">
        <x:v>action.rejection_code</x:v>
      </x:c>
      <x:c r="D340" s="30" t="str">
        <x:v>候选输入schema</x:v>
      </x:c>
      <x:c r="E340" s="30" t="str">
        <x:v>按执行角色权限读取；策略只能使用可访问快照</x:v>
      </x:c>
    </x:row>
    <x:row r="341" ht="32" customHeight="1">
      <x:c r="A341" s="30" t="str">
        <x:v>A003</x:v>
      </x:c>
      <x:c r="B341" s="30" t="str">
        <x:v>F243</x:v>
      </x:c>
      <x:c r="C341" s="30" t="str">
        <x:v>action.failure_code</x:v>
      </x:c>
      <x:c r="D341" s="30" t="str">
        <x:v>候选输入schema</x:v>
      </x:c>
      <x:c r="E341" s="30" t="str">
        <x:v>按执行角色权限读取；策略只能使用可访问快照</x:v>
      </x:c>
    </x:row>
    <x:row r="342" ht="32" customHeight="1">
      <x:c r="A342" s="30" t="str">
        <x:v>A003</x:v>
      </x:c>
      <x:c r="B342" s="30" t="str">
        <x:v>F244</x:v>
      </x:c>
      <x:c r="C342" s="30" t="str">
        <x:v>action.cancel_requested</x:v>
      </x:c>
      <x:c r="D342" s="30" t="str">
        <x:v>候选输入schema</x:v>
      </x:c>
      <x:c r="E342" s="30" t="str">
        <x:v>按执行角色权限读取；策略只能使用可访问快照</x:v>
      </x:c>
    </x:row>
    <x:row r="343" ht="32" customHeight="1">
      <x:c r="A343" s="30" t="str">
        <x:v>A003</x:v>
      </x:c>
      <x:c r="B343" s="30" t="str">
        <x:v>F245</x:v>
      </x:c>
      <x:c r="C343" s="30" t="str">
        <x:v>action.backend_mode</x:v>
      </x:c>
      <x:c r="D343" s="30" t="str">
        <x:v>候选输入schema</x:v>
      </x:c>
      <x:c r="E343" s="30" t="str">
        <x:v>按执行角色权限读取；策略只能使用可访问快照</x:v>
      </x:c>
    </x:row>
    <x:row r="344" ht="32" customHeight="1">
      <x:c r="A344" s="30" t="str">
        <x:v>A003</x:v>
      </x:c>
      <x:c r="B344" s="30" t="str">
        <x:v>F371</x:v>
      </x:c>
      <x:c r="C344" s="30" t="str">
        <x:v>region.land_use</x:v>
      </x:c>
      <x:c r="D344" s="30" t="str">
        <x:v>候选输入schema</x:v>
      </x:c>
      <x:c r="E344" s="30" t="str">
        <x:v>按执行角色权限读取；策略只能使用可访问快照</x:v>
      </x:c>
    </x:row>
    <x:row r="345" ht="32" customHeight="1">
      <x:c r="A345" s="30" t="str">
        <x:v>A003</x:v>
      </x:c>
      <x:c r="B345" s="30" t="str">
        <x:v>F372</x:v>
      </x:c>
      <x:c r="C345" s="30" t="str">
        <x:v>region.building_density</x:v>
      </x:c>
      <x:c r="D345" s="30" t="str">
        <x:v>候选输入schema</x:v>
      </x:c>
      <x:c r="E345" s="30" t="str">
        <x:v>按执行角色权限读取；策略只能使用可访问快照</x:v>
      </x:c>
    </x:row>
    <x:row r="346" ht="32" customHeight="1">
      <x:c r="A346" s="30" t="str">
        <x:v>A003</x:v>
      </x:c>
      <x:c r="B346" s="30" t="str">
        <x:v>F373</x:v>
      </x:c>
      <x:c r="C346" s="30" t="str">
        <x:v>region.road_pattern</x:v>
      </x:c>
      <x:c r="D346" s="30" t="str">
        <x:v>候选输入schema</x:v>
      </x:c>
      <x:c r="E346" s="30" t="str">
        <x:v>按执行角色权限读取；策略只能使用可访问快照</x:v>
      </x:c>
    </x:row>
    <x:row r="347" ht="32" customHeight="1">
      <x:c r="A347" s="30" t="str">
        <x:v>A003</x:v>
      </x:c>
      <x:c r="B347" s="30" t="str">
        <x:v>F374</x:v>
      </x:c>
      <x:c r="C347" s="30" t="str">
        <x:v>region.occupancy_prior_id</x:v>
      </x:c>
      <x:c r="D347" s="30" t="str">
        <x:v>候选输入schema</x:v>
      </x:c>
      <x:c r="E347" s="30" t="str">
        <x:v>按执行角色权限读取；策略只能使用可访问快照</x:v>
      </x:c>
    </x:row>
    <x:row r="348" ht="32" customHeight="1">
      <x:c r="A348" s="30" t="str">
        <x:v>A003</x:v>
      </x:c>
      <x:c r="B348" s="30" t="str">
        <x:v>F375</x:v>
      </x:c>
      <x:c r="C348" s="30" t="str">
        <x:v>region.disaster_profile_id</x:v>
      </x:c>
      <x:c r="D348" s="30" t="str">
        <x:v>候选输入schema</x:v>
      </x:c>
      <x:c r="E348" s="30" t="str">
        <x:v>按执行角色权限读取；策略只能使用可访问快照</x:v>
      </x:c>
    </x:row>
    <x:row r="349" ht="32" customHeight="1">
      <x:c r="A349" s="30" t="str">
        <x:v>A003</x:v>
      </x:c>
      <x:c r="B349" s="30" t="str">
        <x:v>F376</x:v>
      </x:c>
      <x:c r="C349" s="30" t="str">
        <x:v>region.surface_palette</x:v>
      </x:c>
      <x:c r="D349" s="30" t="str">
        <x:v>候选输入schema</x:v>
      </x:c>
      <x:c r="E349" s="30" t="str">
        <x:v>按执行角色权限读取；策略只能使用可访问快照</x:v>
      </x:c>
    </x:row>
    <x:row r="350" ht="32" customHeight="1">
      <x:c r="A350" s="30" t="str">
        <x:v>A003</x:v>
      </x:c>
      <x:c r="B350" s="30" t="str">
        <x:v>F377</x:v>
      </x:c>
      <x:c r="C350" s="30" t="str">
        <x:v>region.base_elevation_m</x:v>
      </x:c>
      <x:c r="D350" s="30" t="str">
        <x:v>候选输入schema</x:v>
      </x:c>
      <x:c r="E350" s="30" t="str">
        <x:v>按执行角色权限读取；策略只能使用可访问快照</x:v>
      </x:c>
    </x:row>
    <x:row r="351" ht="32" customHeight="1">
      <x:c r="A351" s="30" t="str">
        <x:v>A003</x:v>
      </x:c>
      <x:c r="B351" s="30" t="str">
        <x:v>F378</x:v>
      </x:c>
      <x:c r="C351" s="30" t="str">
        <x:v>episode.scenario_id</x:v>
      </x:c>
      <x:c r="D351" s="30" t="str">
        <x:v>候选输入schema</x:v>
      </x:c>
      <x:c r="E351" s="30" t="str">
        <x:v>按执行角色权限读取；策略只能使用可访问快照</x:v>
      </x:c>
    </x:row>
    <x:row r="352" ht="32" customHeight="1">
      <x:c r="A352" s="30" t="str">
        <x:v>A003</x:v>
      </x:c>
      <x:c r="B352" s="30" t="str">
        <x:v>F379</x:v>
      </x:c>
      <x:c r="C352" s="30" t="str">
        <x:v>episode.map_revision</x:v>
      </x:c>
      <x:c r="D352" s="30" t="str">
        <x:v>候选输入schema</x:v>
      </x:c>
      <x:c r="E352" s="30" t="str">
        <x:v>按执行角色权限读取；策略只能使用可访问快照</x:v>
      </x:c>
    </x:row>
    <x:row r="353" ht="32" customHeight="1">
      <x:c r="A353" s="30" t="str">
        <x:v>A003</x:v>
      </x:c>
      <x:c r="B353" s="30" t="str">
        <x:v>F380</x:v>
      </x:c>
      <x:c r="C353" s="30" t="str">
        <x:v>episode.seed</x:v>
      </x:c>
      <x:c r="D353" s="30" t="str">
        <x:v>候选输入schema</x:v>
      </x:c>
      <x:c r="E353" s="30" t="str">
        <x:v>按执行角色权限读取；策略只能使用可访问快照</x:v>
      </x:c>
    </x:row>
    <x:row r="354" ht="32" customHeight="1">
      <x:c r="A354" s="30" t="str">
        <x:v>A003</x:v>
      </x:c>
      <x:c r="B354" s="30" t="str">
        <x:v>F381</x:v>
      </x:c>
      <x:c r="C354" s="30" t="str">
        <x:v>episode.sim_time_s</x:v>
      </x:c>
      <x:c r="D354" s="30" t="str">
        <x:v>候选输入schema</x:v>
      </x:c>
      <x:c r="E354" s="30" t="str">
        <x:v>按执行角色权限读取；策略只能使用可访问快照</x:v>
      </x:c>
    </x:row>
    <x:row r="355" ht="32" customHeight="1">
      <x:c r="A355" s="30" t="str">
        <x:v>A003</x:v>
      </x:c>
      <x:c r="B355" s="30" t="str">
        <x:v>F382</x:v>
      </x:c>
      <x:c r="C355" s="30" t="str">
        <x:v>episode.clock_step_s</x:v>
      </x:c>
      <x:c r="D355" s="30" t="str">
        <x:v>候选输入schema</x:v>
      </x:c>
      <x:c r="E355" s="30" t="str">
        <x:v>按执行角色权限读取；策略只能使用可访问快照</x:v>
      </x:c>
    </x:row>
    <x:row r="356" ht="32" customHeight="1">
      <x:c r="A356" s="30" t="str">
        <x:v>A003</x:v>
      </x:c>
      <x:c r="B356" s="30" t="str">
        <x:v>F383</x:v>
      </x:c>
      <x:c r="C356" s="30" t="str">
        <x:v>episode.world_frame</x:v>
      </x:c>
      <x:c r="D356" s="30" t="str">
        <x:v>候选输入schema</x:v>
      </x:c>
      <x:c r="E356" s="30" t="str">
        <x:v>按执行角色权限读取；策略只能使用可访问快照</x:v>
      </x:c>
    </x:row>
    <x:row r="357" ht="32" customHeight="1">
      <x:c r="A357" s="30" t="str">
        <x:v>A003</x:v>
      </x:c>
      <x:c r="B357" s="30" t="str">
        <x:v>F384</x:v>
      </x:c>
      <x:c r="C357" s="30" t="str">
        <x:v>episode.map_bounds_m</x:v>
      </x:c>
      <x:c r="D357" s="30" t="str">
        <x:v>候选输入schema</x:v>
      </x:c>
      <x:c r="E357" s="30" t="str">
        <x:v>按执行角色权限读取；策略只能使用可访问快照</x:v>
      </x:c>
    </x:row>
    <x:row r="358" ht="32" customHeight="1">
      <x:c r="A358" s="30" t="str">
        <x:v>A003</x:v>
      </x:c>
      <x:c r="B358" s="30" t="str">
        <x:v>F385</x:v>
      </x:c>
      <x:c r="C358" s="30" t="str">
        <x:v>episode.backend_modes</x:v>
      </x:c>
      <x:c r="D358" s="30" t="str">
        <x:v>候选输入schema</x:v>
      </x:c>
      <x:c r="E358" s="30" t="str">
        <x:v>按执行角色权限读取；策略只能使用可访问快照</x:v>
      </x:c>
    </x:row>
    <x:row r="359" ht="32" customHeight="1">
      <x:c r="A359" s="30" t="str">
        <x:v>A003</x:v>
      </x:c>
      <x:c r="B359" s="30" t="str">
        <x:v>F004</x:v>
      </x:c>
      <x:c r="C359" s="30" t="str">
        <x:v>entity.pose</x:v>
      </x:c>
      <x:c r="D359" s="30" t="str">
        <x:v>直接效果</x:v>
      </x:c>
      <x:c r="E359" s="30" t="str">
        <x:v>经实际执行/回执提交；不是规划时提前修改</x:v>
      </x:c>
    </x:row>
    <x:row r="360" ht="32" customHeight="1">
      <x:c r="A360" s="30" t="str">
        <x:v>A003</x:v>
      </x:c>
      <x:c r="B360" s="30" t="str">
        <x:v>F109</x:v>
      </x:c>
      <x:c r="C360" s="30" t="str">
        <x:v>platform.motion_state</x:v>
      </x:c>
      <x:c r="D360" s="30" t="str">
        <x:v>直接效果</x:v>
      </x:c>
      <x:c r="E360" s="30" t="str">
        <x:v>经实际执行/回执提交；不是规划时提前修改</x:v>
      </x:c>
    </x:row>
    <x:row r="361" ht="32" customHeight="1">
      <x:c r="A361" s="30" t="str">
        <x:v>A003</x:v>
      </x:c>
      <x:c r="B361" s="30" t="str">
        <x:v>F105</x:v>
      </x:c>
      <x:c r="C361" s="30" t="str">
        <x:v>platform.battery_remaining_Wh</x:v>
      </x:c>
      <x:c r="D361" s="30" t="str">
        <x:v>直接效果</x:v>
      </x:c>
      <x:c r="E361" s="30" t="str">
        <x:v>经实际执行/回执提交；不是规划时提前修改</x:v>
      </x:c>
    </x:row>
    <x:row r="362" ht="32" customHeight="1">
      <x:c r="A362" s="30" t="str">
        <x:v>A004</x:v>
      </x:c>
      <x:c r="B362" s="30" t="str">
        <x:v>F010</x:v>
      </x:c>
      <x:c r="C362" s="30" t="str">
        <x:v>hazard.kind</x:v>
      </x:c>
      <x:c r="D362" s="30" t="str">
        <x:v>候选输入schema</x:v>
      </x:c>
      <x:c r="E362" s="30" t="str">
        <x:v>按执行角色权限读取；策略只能使用可访问快照</x:v>
      </x:c>
    </x:row>
    <x:row r="363" ht="32" customHeight="1">
      <x:c r="A363" s="30" t="str">
        <x:v>A004</x:v>
      </x:c>
      <x:c r="B363" s="30" t="str">
        <x:v>F011</x:v>
      </x:c>
      <x:c r="C363" s="30" t="str">
        <x:v>hazard.footprint</x:v>
      </x:c>
      <x:c r="D363" s="30" t="str">
        <x:v>候选输入schema</x:v>
      </x:c>
      <x:c r="E363" s="30" t="str">
        <x:v>按执行角色权限读取；策略只能使用可访问快照</x:v>
      </x:c>
    </x:row>
    <x:row r="364" ht="32" customHeight="1">
      <x:c r="A364" s="30" t="str">
        <x:v>A004</x:v>
      </x:c>
      <x:c r="B364" s="30" t="str">
        <x:v>F012</x:v>
      </x:c>
      <x:c r="C364" s="30" t="str">
        <x:v>hazard.intensity</x:v>
      </x:c>
      <x:c r="D364" s="30" t="str">
        <x:v>候选输入schema</x:v>
      </x:c>
      <x:c r="E364" s="30" t="str">
        <x:v>按执行角色权限读取；策略只能使用可访问快照</x:v>
      </x:c>
    </x:row>
    <x:row r="365" ht="32" customHeight="1">
      <x:c r="A365" s="30" t="str">
        <x:v>A004</x:v>
      </x:c>
      <x:c r="B365" s="30" t="str">
        <x:v>F013</x:v>
      </x:c>
      <x:c r="C365" s="30" t="str">
        <x:v>hazard.active</x:v>
      </x:c>
      <x:c r="D365" s="30" t="str">
        <x:v>候选输入schema</x:v>
      </x:c>
      <x:c r="E365" s="30" t="str">
        <x:v>按执行角色权限读取；策略只能使用可访问快照</x:v>
      </x:c>
    </x:row>
    <x:row r="366" ht="32" customHeight="1">
      <x:c r="A366" s="30" t="str">
        <x:v>A004</x:v>
      </x:c>
      <x:c r="B366" s="30" t="str">
        <x:v>F014</x:v>
      </x:c>
      <x:c r="C366" s="30" t="str">
        <x:v>hazard.water_depth_m</x:v>
      </x:c>
      <x:c r="D366" s="30" t="str">
        <x:v>候选输入schema</x:v>
      </x:c>
      <x:c r="E366" s="30" t="str">
        <x:v>按执行角色权限读取；策略只能使用可访问快照</x:v>
      </x:c>
    </x:row>
    <x:row r="367" ht="32" customHeight="1">
      <x:c r="A367" s="30" t="str">
        <x:v>A004</x:v>
      </x:c>
      <x:c r="B367" s="30" t="str">
        <x:v>F015</x:v>
      </x:c>
      <x:c r="C367" s="30" t="str">
        <x:v>hazard.flow_speed_mps</x:v>
      </x:c>
      <x:c r="D367" s="30" t="str">
        <x:v>候选输入schema</x:v>
      </x:c>
      <x:c r="E367" s="30" t="str">
        <x:v>按执行角色权限读取；策略只能使用可访问快照</x:v>
      </x:c>
    </x:row>
    <x:row r="368" ht="32" customHeight="1">
      <x:c r="A368" s="30" t="str">
        <x:v>A004</x:v>
      </x:c>
      <x:c r="B368" s="30" t="str">
        <x:v>F016</x:v>
      </x:c>
      <x:c r="C368" s="30" t="str">
        <x:v>hazard.smoke_density</x:v>
      </x:c>
      <x:c r="D368" s="30" t="str">
        <x:v>候选输入schema</x:v>
      </x:c>
      <x:c r="E368" s="30" t="str">
        <x:v>按执行角色权限读取；策略只能使用可访问快照</x:v>
      </x:c>
    </x:row>
    <x:row r="369" ht="32" customHeight="1">
      <x:c r="A369" s="30" t="str">
        <x:v>A004</x:v>
      </x:c>
      <x:c r="B369" s="30" t="str">
        <x:v>F017</x:v>
      </x:c>
      <x:c r="C369" s="30" t="str">
        <x:v>hazard.fire_intensity</x:v>
      </x:c>
      <x:c r="D369" s="30" t="str">
        <x:v>候选输入schema</x:v>
      </x:c>
      <x:c r="E369" s="30" t="str">
        <x:v>按执行角色权限读取；策略只能使用可访问快照</x:v>
      </x:c>
    </x:row>
    <x:row r="370" ht="32" customHeight="1">
      <x:c r="A370" s="30" t="str">
        <x:v>A004</x:v>
      </x:c>
      <x:c r="B370" s="30" t="str">
        <x:v>F018</x:v>
      </x:c>
      <x:c r="C370" s="30" t="str">
        <x:v>hazard.gas_level</x:v>
      </x:c>
      <x:c r="D370" s="30" t="str">
        <x:v>候选输入schema</x:v>
      </x:c>
      <x:c r="E370" s="30" t="str">
        <x:v>按执行角色权限读取；策略只能使用可访问快照</x:v>
      </x:c>
    </x:row>
    <x:row r="371" ht="32" customHeight="1">
      <x:c r="A371" s="30" t="str">
        <x:v>A004</x:v>
      </x:c>
      <x:c r="B371" s="30" t="str">
        <x:v>F019</x:v>
      </x:c>
      <x:c r="C371" s="30" t="str">
        <x:v>hazard.wind_mps</x:v>
      </x:c>
      <x:c r="D371" s="30" t="str">
        <x:v>候选输入schema</x:v>
      </x:c>
      <x:c r="E371" s="30" t="str">
        <x:v>按执行角色权限读取；策略只能使用可访问快照</x:v>
      </x:c>
    </x:row>
    <x:row r="372" ht="32" customHeight="1">
      <x:c r="A372" s="30" t="str">
        <x:v>A004</x:v>
      </x:c>
      <x:c r="B372" s="30" t="str">
        <x:v>F020</x:v>
      </x:c>
      <x:c r="C372" s="30" t="str">
        <x:v>hazard.visibility_m</x:v>
      </x:c>
      <x:c r="D372" s="30" t="str">
        <x:v>候选输入schema</x:v>
      </x:c>
      <x:c r="E372" s="30" t="str">
        <x:v>按执行角色权限读取；策略只能使用可访问快照</x:v>
      </x:c>
    </x:row>
    <x:row r="373" ht="32" customHeight="1">
      <x:c r="A373" s="30" t="str">
        <x:v>A004</x:v>
      </x:c>
      <x:c r="B373" s="30" t="str">
        <x:v>F021</x:v>
      </x:c>
      <x:c r="C373" s="30" t="str">
        <x:v>hazard.weather</x:v>
      </x:c>
      <x:c r="D373" s="30" t="str">
        <x:v>候选输入schema</x:v>
      </x:c>
      <x:c r="E373" s="30" t="str">
        <x:v>按执行角色权限读取；策略只能使用可访问快照</x:v>
      </x:c>
    </x:row>
    <x:row r="374" ht="32" customHeight="1">
      <x:c r="A374" s="30" t="str">
        <x:v>A004</x:v>
      </x:c>
      <x:c r="B374" s="30" t="str">
        <x:v>F022</x:v>
      </x:c>
      <x:c r="C374" s="30" t="str">
        <x:v>hazard.illumination</x:v>
      </x:c>
      <x:c r="D374" s="30" t="str">
        <x:v>候选输入schema</x:v>
      </x:c>
      <x:c r="E374" s="30" t="str">
        <x:v>按执行角色权限读取；策略只能使用可访问快照</x:v>
      </x:c>
    </x:row>
    <x:row r="375" ht="32" customHeight="1">
      <x:c r="A375" s="30" t="str">
        <x:v>A004</x:v>
      </x:c>
      <x:c r="B375" s="30" t="str">
        <x:v>F023</x:v>
      </x:c>
      <x:c r="C375" s="30" t="str">
        <x:v>hazard.secondary_event</x:v>
      </x:c>
      <x:c r="D375" s="30" t="str">
        <x:v>候选输入schema</x:v>
      </x:c>
      <x:c r="E375" s="30" t="str">
        <x:v>按执行角色权限读取；策略只能使用可访问快照</x:v>
      </x:c>
    </x:row>
    <x:row r="376" ht="32" customHeight="1">
      <x:c r="A376" s="30" t="str">
        <x:v>A004</x:v>
      </x:c>
      <x:c r="B376" s="30" t="str">
        <x:v>F024</x:v>
      </x:c>
      <x:c r="C376" s="30" t="str">
        <x:v>hazard.exclusion_zone</x:v>
      </x:c>
      <x:c r="D376" s="30" t="str">
        <x:v>候选输入schema</x:v>
      </x:c>
      <x:c r="E376" s="30" t="str">
        <x:v>按执行角色权限读取；策略只能使用可访问快照</x:v>
      </x:c>
    </x:row>
    <x:row r="377" ht="32" customHeight="1">
      <x:c r="A377" s="30" t="str">
        <x:v>A004</x:v>
      </x:c>
      <x:c r="B377" s="30" t="str">
        <x:v>F025</x:v>
      </x:c>
      <x:c r="C377" s="30" t="str">
        <x:v>hazard.expiry_s</x:v>
      </x:c>
      <x:c r="D377" s="30" t="str">
        <x:v>候选输入schema</x:v>
      </x:c>
      <x:c r="E377" s="30" t="str">
        <x:v>按执行角色权限读取；策略只能使用可访问快照</x:v>
      </x:c>
    </x:row>
    <x:row r="378" ht="32" customHeight="1">
      <x:c r="A378" s="30" t="str">
        <x:v>A004</x:v>
      </x:c>
      <x:c r="B378" s="30" t="str">
        <x:v>F095</x:v>
      </x:c>
      <x:c r="C378" s="30" t="str">
        <x:v>platform.kind</x:v>
      </x:c>
      <x:c r="D378" s="30" t="str">
        <x:v>候选输入schema</x:v>
      </x:c>
      <x:c r="E378" s="30" t="str">
        <x:v>按执行角色权限读取；策略只能使用可访问快照</x:v>
      </x:c>
    </x:row>
    <x:row r="379" ht="32" customHeight="1">
      <x:c r="A379" s="30" t="str">
        <x:v>A004</x:v>
      </x:c>
      <x:c r="B379" s="30" t="str">
        <x:v>F096</x:v>
      </x:c>
      <x:c r="C379" s="30" t="str">
        <x:v>platform.capability_ids</x:v>
      </x:c>
      <x:c r="D379" s="30" t="str">
        <x:v>候选输入schema</x:v>
      </x:c>
      <x:c r="E379" s="30" t="str">
        <x:v>按执行角色权限读取；策略只能使用可访问快照</x:v>
      </x:c>
    </x:row>
    <x:row r="380" ht="32" customHeight="1">
      <x:c r="A380" s="30" t="str">
        <x:v>A004</x:v>
      </x:c>
      <x:c r="B380" s="30" t="str">
        <x:v>F097</x:v>
      </x:c>
      <x:c r="C380" s="30" t="str">
        <x:v>platform.equipment_ids</x:v>
      </x:c>
      <x:c r="D380" s="30" t="str">
        <x:v>候选输入schema</x:v>
      </x:c>
      <x:c r="E380" s="30" t="str">
        <x:v>按执行角色权限读取；策略只能使用可访问快照</x:v>
      </x:c>
    </x:row>
    <x:row r="381" ht="32" customHeight="1">
      <x:c r="A381" s="30" t="str">
        <x:v>A004</x:v>
      </x:c>
      <x:c r="B381" s="30" t="str">
        <x:v>F098</x:v>
      </x:c>
      <x:c r="C381" s="30" t="str">
        <x:v>platform.width_m</x:v>
      </x:c>
      <x:c r="D381" s="30" t="str">
        <x:v>候选输入schema</x:v>
      </x:c>
      <x:c r="E381" s="30" t="str">
        <x:v>按执行角色权限读取；策略只能使用可访问快照</x:v>
      </x:c>
    </x:row>
    <x:row r="382" ht="32" customHeight="1">
      <x:c r="A382" s="30" t="str">
        <x:v>A004</x:v>
      </x:c>
      <x:c r="B382" s="30" t="str">
        <x:v>F099</x:v>
      </x:c>
      <x:c r="C382" s="30" t="str">
        <x:v>platform.height_m</x:v>
      </x:c>
      <x:c r="D382" s="30" t="str">
        <x:v>候选输入schema</x:v>
      </x:c>
      <x:c r="E382" s="30" t="str">
        <x:v>按执行角色权限读取；策略只能使用可访问快照</x:v>
      </x:c>
    </x:row>
    <x:row r="383" ht="32" customHeight="1">
      <x:c r="A383" s="30" t="str">
        <x:v>A004</x:v>
      </x:c>
      <x:c r="B383" s="30" t="str">
        <x:v>F100</x:v>
      </x:c>
      <x:c r="C383" s="30" t="str">
        <x:v>platform.swept_radius_m</x:v>
      </x:c>
      <x:c r="D383" s="30" t="str">
        <x:v>候选输入schema</x:v>
      </x:c>
      <x:c r="E383" s="30" t="str">
        <x:v>按执行角色权限读取；策略只能使用可访问快照</x:v>
      </x:c>
    </x:row>
    <x:row r="384" ht="32" customHeight="1">
      <x:c r="A384" s="30" t="str">
        <x:v>A004</x:v>
      </x:c>
      <x:c r="B384" s="30" t="str">
        <x:v>F101</x:v>
      </x:c>
      <x:c r="C384" s="30" t="str">
        <x:v>platform.payload_capacity_kg</x:v>
      </x:c>
      <x:c r="D384" s="30" t="str">
        <x:v>候选输入schema</x:v>
      </x:c>
      <x:c r="E384" s="30" t="str">
        <x:v>按执行角色权限读取；策略只能使用可访问快照</x:v>
      </x:c>
    </x:row>
    <x:row r="385" ht="32" customHeight="1">
      <x:c r="A385" s="30" t="str">
        <x:v>A004</x:v>
      </x:c>
      <x:c r="B385" s="30" t="str">
        <x:v>F102</x:v>
      </x:c>
      <x:c r="C385" s="30" t="str">
        <x:v>platform.payload_used_kg</x:v>
      </x:c>
      <x:c r="D385" s="30" t="str">
        <x:v>候选输入schema</x:v>
      </x:c>
      <x:c r="E385" s="30" t="str">
        <x:v>按执行角色权限读取；策略只能使用可访问快照</x:v>
      </x:c>
    </x:row>
    <x:row r="386" ht="32" customHeight="1">
      <x:c r="A386" s="30" t="str">
        <x:v>A004</x:v>
      </x:c>
      <x:c r="B386" s="30" t="str">
        <x:v>F103</x:v>
      </x:c>
      <x:c r="C386" s="30" t="str">
        <x:v>platform.payload_item_ids</x:v>
      </x:c>
      <x:c r="D386" s="30" t="str">
        <x:v>候选输入schema</x:v>
      </x:c>
      <x:c r="E386" s="30" t="str">
        <x:v>按执行角色权限读取；策略只能使用可访问快照</x:v>
      </x:c>
    </x:row>
    <x:row r="387" ht="32" customHeight="1">
      <x:c r="A387" s="30" t="str">
        <x:v>A004</x:v>
      </x:c>
      <x:c r="B387" s="30" t="str">
        <x:v>F104</x:v>
      </x:c>
      <x:c r="C387" s="30" t="str">
        <x:v>platform.battery_capacity_Wh</x:v>
      </x:c>
      <x:c r="D387" s="30" t="str">
        <x:v>候选输入schema</x:v>
      </x:c>
      <x:c r="E387" s="30" t="str">
        <x:v>按执行角色权限读取；策略只能使用可访问快照</x:v>
      </x:c>
    </x:row>
    <x:row r="388" ht="32" customHeight="1">
      <x:c r="A388" s="30" t="str">
        <x:v>A004</x:v>
      </x:c>
      <x:c r="B388" s="30" t="str">
        <x:v>F105</x:v>
      </x:c>
      <x:c r="C388" s="30" t="str">
        <x:v>platform.battery_remaining_Wh</x:v>
      </x:c>
      <x:c r="D388" s="30" t="str">
        <x:v>候选输入schema</x:v>
      </x:c>
      <x:c r="E388" s="30" t="str">
        <x:v>按执行角色权限读取；策略只能使用可访问快照</x:v>
      </x:c>
    </x:row>
    <x:row r="389" ht="32" customHeight="1">
      <x:c r="A389" s="30" t="str">
        <x:v>A004</x:v>
      </x:c>
      <x:c r="B389" s="30" t="str">
        <x:v>F106</x:v>
      </x:c>
      <x:c r="C389" s="30" t="str">
        <x:v>platform.reserve_Wh</x:v>
      </x:c>
      <x:c r="D389" s="30" t="str">
        <x:v>候选输入schema</x:v>
      </x:c>
      <x:c r="E389" s="30" t="str">
        <x:v>按执行角色权限读取；策略只能使用可访问快照</x:v>
      </x:c>
    </x:row>
    <x:row r="390" ht="32" customHeight="1">
      <x:c r="A390" s="30" t="str">
        <x:v>A004</x:v>
      </x:c>
      <x:c r="B390" s="30" t="str">
        <x:v>F107</x:v>
      </x:c>
      <x:c r="C390" s="30" t="str">
        <x:v>platform.speed_limit_mps</x:v>
      </x:c>
      <x:c r="D390" s="30" t="str">
        <x:v>候选输入schema</x:v>
      </x:c>
      <x:c r="E390" s="30" t="str">
        <x:v>按执行角色权限读取；策略只能使用可访问快照</x:v>
      </x:c>
    </x:row>
    <x:row r="391" ht="32" customHeight="1">
      <x:c r="A391" s="30" t="str">
        <x:v>A004</x:v>
      </x:c>
      <x:c r="B391" s="30" t="str">
        <x:v>F108</x:v>
      </x:c>
      <x:c r="C391" s="30" t="str">
        <x:v>platform.energy_model</x:v>
      </x:c>
      <x:c r="D391" s="30" t="str">
        <x:v>候选输入schema</x:v>
      </x:c>
      <x:c r="E391" s="30" t="str">
        <x:v>按执行角色权限读取；策略只能使用可访问快照</x:v>
      </x:c>
    </x:row>
    <x:row r="392" ht="32" customHeight="1">
      <x:c r="A392" s="30" t="str">
        <x:v>A004</x:v>
      </x:c>
      <x:c r="B392" s="30" t="str">
        <x:v>F109</x:v>
      </x:c>
      <x:c r="C392" s="30" t="str">
        <x:v>platform.motion_state</x:v>
      </x:c>
      <x:c r="D392" s="30" t="str">
        <x:v>候选输入schema</x:v>
      </x:c>
      <x:c r="E392" s="30" t="str">
        <x:v>按执行角色权限读取；策略只能使用可访问快照</x:v>
      </x:c>
    </x:row>
    <x:row r="393" ht="32" customHeight="1">
      <x:c r="A393" s="30" t="str">
        <x:v>A004</x:v>
      </x:c>
      <x:c r="B393" s="30" t="str">
        <x:v>F110</x:v>
      </x:c>
      <x:c r="C393" s="30" t="str">
        <x:v>platform.health_state</x:v>
      </x:c>
      <x:c r="D393" s="30" t="str">
        <x:v>候选输入schema</x:v>
      </x:c>
      <x:c r="E393" s="30" t="str">
        <x:v>按执行角色权限读取；策略只能使用可访问快照</x:v>
      </x:c>
    </x:row>
    <x:row r="394" ht="32" customHeight="1">
      <x:c r="A394" s="30" t="str">
        <x:v>A004</x:v>
      </x:c>
      <x:c r="B394" s="30" t="str">
        <x:v>F111</x:v>
      </x:c>
      <x:c r="C394" s="30" t="str">
        <x:v>platform.current_action_id</x:v>
      </x:c>
      <x:c r="D394" s="30" t="str">
        <x:v>候选输入schema</x:v>
      </x:c>
      <x:c r="E394" s="30" t="str">
        <x:v>按执行角色权限读取；策略只能使用可访问快照</x:v>
      </x:c>
    </x:row>
    <x:row r="395" ht="32" customHeight="1">
      <x:c r="A395" s="30" t="str">
        <x:v>A004</x:v>
      </x:c>
      <x:c r="B395" s="30" t="str">
        <x:v>F112</x:v>
      </x:c>
      <x:c r="C395" s="30" t="str">
        <x:v>platform.busy_until_est_s</x:v>
      </x:c>
      <x:c r="D395" s="30" t="str">
        <x:v>候选输入schema</x:v>
      </x:c>
      <x:c r="E395" s="30" t="str">
        <x:v>按执行角色权限读取；策略只能使用可访问快照</x:v>
      </x:c>
    </x:row>
    <x:row r="396" ht="32" customHeight="1">
      <x:c r="A396" s="30" t="str">
        <x:v>A004</x:v>
      </x:c>
      <x:c r="B396" s="30" t="str">
        <x:v>F113</x:v>
      </x:c>
      <x:c r="C396" s="30" t="str">
        <x:v>platform.return_site_id</x:v>
      </x:c>
      <x:c r="D396" s="30" t="str">
        <x:v>候选输入schema</x:v>
      </x:c>
      <x:c r="E396" s="30" t="str">
        <x:v>按执行角色权限读取；策略只能使用可访问快照</x:v>
      </x:c>
    </x:row>
    <x:row r="397" ht="32" customHeight="1">
      <x:c r="A397" s="30" t="str">
        <x:v>A004</x:v>
      </x:c>
      <x:c r="B397" s="30" t="str">
        <x:v>F114</x:v>
      </x:c>
      <x:c r="C397" s="30" t="str">
        <x:v>platform.water_tolerance_m</x:v>
      </x:c>
      <x:c r="D397" s="30" t="str">
        <x:v>候选输入schema</x:v>
      </x:c>
      <x:c r="E397" s="30" t="str">
        <x:v>按执行角色权限读取；策略只能使用可访问快照</x:v>
      </x:c>
    </x:row>
    <x:row r="398" ht="32" customHeight="1">
      <x:c r="A398" s="30" t="str">
        <x:v>A004</x:v>
      </x:c>
      <x:c r="B398" s="30" t="str">
        <x:v>F115</x:v>
      </x:c>
      <x:c r="C398" s="30" t="str">
        <x:v>platform.concurrency_policy</x:v>
      </x:c>
      <x:c r="D398" s="30" t="str">
        <x:v>候选输入schema</x:v>
      </x:c>
      <x:c r="E398" s="30" t="str">
        <x:v>按执行角色权限读取；策略只能使用可访问快照</x:v>
      </x:c>
    </x:row>
    <x:row r="399" ht="32" customHeight="1">
      <x:c r="A399" s="30" t="str">
        <x:v>A004</x:v>
      </x:c>
      <x:c r="B399" s="30" t="str">
        <x:v>F196</x:v>
      </x:c>
      <x:c r="C399" s="30" t="str">
        <x:v>task.type</x:v>
      </x:c>
      <x:c r="D399" s="30" t="str">
        <x:v>候选输入schema</x:v>
      </x:c>
      <x:c r="E399" s="30" t="str">
        <x:v>按执行角色权限读取；策略只能使用可访问快照</x:v>
      </x:c>
    </x:row>
    <x:row r="400" ht="32" customHeight="1">
      <x:c r="A400" s="30" t="str">
        <x:v>A004</x:v>
      </x:c>
      <x:c r="B400" s="30" t="str">
        <x:v>F197</x:v>
      </x:c>
      <x:c r="C400" s="30" t="str">
        <x:v>task.creator_id</x:v>
      </x:c>
      <x:c r="D400" s="30" t="str">
        <x:v>候选输入schema</x:v>
      </x:c>
      <x:c r="E400" s="30" t="str">
        <x:v>按执行角色权限读取；策略只能使用可访问快照</x:v>
      </x:c>
    </x:row>
    <x:row r="401" ht="32" customHeight="1">
      <x:c r="A401" s="30" t="str">
        <x:v>A004</x:v>
      </x:c>
      <x:c r="B401" s="30" t="str">
        <x:v>F198</x:v>
      </x:c>
      <x:c r="C401" s="30" t="str">
        <x:v>task.target_ref</x:v>
      </x:c>
      <x:c r="D401" s="30" t="str">
        <x:v>候选输入schema</x:v>
      </x:c>
      <x:c r="E401" s="30" t="str">
        <x:v>按执行角色权限读取；策略只能使用可访问快照</x:v>
      </x:c>
    </x:row>
    <x:row r="402" ht="32" customHeight="1">
      <x:c r="A402" s="30" t="str">
        <x:v>A004</x:v>
      </x:c>
      <x:c r="B402" s="30" t="str">
        <x:v>F199</x:v>
      </x:c>
      <x:c r="C402" s="30" t="str">
        <x:v>task.goal_predicate</x:v>
      </x:c>
      <x:c r="D402" s="30" t="str">
        <x:v>候选输入schema</x:v>
      </x:c>
      <x:c r="E402" s="30" t="str">
        <x:v>按执行角色权限读取；策略只能使用可访问快照</x:v>
      </x:c>
    </x:row>
    <x:row r="403" ht="32" customHeight="1">
      <x:c r="A403" s="30" t="str">
        <x:v>A004</x:v>
      </x:c>
      <x:c r="B403" s="30" t="str">
        <x:v>F200</x:v>
      </x:c>
      <x:c r="C403" s="30" t="str">
        <x:v>task.revision</x:v>
      </x:c>
      <x:c r="D403" s="30" t="str">
        <x:v>候选输入schema</x:v>
      </x:c>
      <x:c r="E403" s="30" t="str">
        <x:v>按执行角色权限读取；策略只能使用可访问快照</x:v>
      </x:c>
    </x:row>
    <x:row r="404" ht="32" customHeight="1">
      <x:c r="A404" s="30" t="str">
        <x:v>A004</x:v>
      </x:c>
      <x:c r="B404" s="30" t="str">
        <x:v>F201</x:v>
      </x:c>
      <x:c r="C404" s="30" t="str">
        <x:v>task.status</x:v>
      </x:c>
      <x:c r="D404" s="30" t="str">
        <x:v>候选输入schema</x:v>
      </x:c>
      <x:c r="E404" s="30" t="str">
        <x:v>按执行角色权限读取；策略只能使用可访问快照</x:v>
      </x:c>
    </x:row>
    <x:row r="405" ht="32" customHeight="1">
      <x:c r="A405" s="30" t="str">
        <x:v>A004</x:v>
      </x:c>
      <x:c r="B405" s="30" t="str">
        <x:v>F202</x:v>
      </x:c>
      <x:c r="C405" s="30" t="str">
        <x:v>task.priority</x:v>
      </x:c>
      <x:c r="D405" s="30" t="str">
        <x:v>候选输入schema</x:v>
      </x:c>
      <x:c r="E405" s="30" t="str">
        <x:v>按执行角色权限读取；策略只能使用可访问快照</x:v>
      </x:c>
    </x:row>
    <x:row r="406" ht="32" customHeight="1">
      <x:c r="A406" s="30" t="str">
        <x:v>A004</x:v>
      </x:c>
      <x:c r="B406" s="30" t="str">
        <x:v>F203</x:v>
      </x:c>
      <x:c r="C406" s="30" t="str">
        <x:v>task.deadline_s</x:v>
      </x:c>
      <x:c r="D406" s="30" t="str">
        <x:v>候选输入schema</x:v>
      </x:c>
      <x:c r="E406" s="30" t="str">
        <x:v>按执行角色权限读取；策略只能使用可访问快照</x:v>
      </x:c>
    </x:row>
    <x:row r="407" ht="32" customHeight="1">
      <x:c r="A407" s="30" t="str">
        <x:v>A004</x:v>
      </x:c>
      <x:c r="B407" s="30" t="str">
        <x:v>F204</x:v>
      </x:c>
      <x:c r="C407" s="30" t="str">
        <x:v>task.dependency_ids</x:v>
      </x:c>
      <x:c r="D407" s="30" t="str">
        <x:v>候选输入schema</x:v>
      </x:c>
      <x:c r="E407" s="30" t="str">
        <x:v>按执行角色权限读取；策略只能使用可访问快照</x:v>
      </x:c>
    </x:row>
    <x:row r="408" ht="32" customHeight="1">
      <x:c r="A408" s="30" t="str">
        <x:v>A004</x:v>
      </x:c>
      <x:c r="B408" s="30" t="str">
        <x:v>F205</x:v>
      </x:c>
      <x:c r="C408" s="30" t="str">
        <x:v>task.required_capability_ids</x:v>
      </x:c>
      <x:c r="D408" s="30" t="str">
        <x:v>候选输入schema</x:v>
      </x:c>
      <x:c r="E408" s="30" t="str">
        <x:v>按执行角色权限读取；策略只能使用可访问快照</x:v>
      </x:c>
    </x:row>
    <x:row r="409" ht="32" customHeight="1">
      <x:c r="A409" s="30" t="str">
        <x:v>A004</x:v>
      </x:c>
      <x:c r="B409" s="30" t="str">
        <x:v>F206</x:v>
      </x:c>
      <x:c r="C409" s="30" t="str">
        <x:v>task.resource_budget</x:v>
      </x:c>
      <x:c r="D409" s="30" t="str">
        <x:v>候选输入schema</x:v>
      </x:c>
      <x:c r="E409" s="30" t="str">
        <x:v>按执行角色权限读取；策略只能使用可访问快照</x:v>
      </x:c>
    </x:row>
    <x:row r="410" ht="32" customHeight="1">
      <x:c r="A410" s="30" t="str">
        <x:v>A004</x:v>
      </x:c>
      <x:c r="B410" s="30" t="str">
        <x:v>F207</x:v>
      </x:c>
      <x:c r="C410" s="30" t="str">
        <x:v>task.assigned_to</x:v>
      </x:c>
      <x:c r="D410" s="30" t="str">
        <x:v>候选输入schema</x:v>
      </x:c>
      <x:c r="E410" s="30" t="str">
        <x:v>按执行角色权限读取；策略只能使用可访问快照</x:v>
      </x:c>
    </x:row>
    <x:row r="411" ht="32" customHeight="1">
      <x:c r="A411" s="30" t="str">
        <x:v>A004</x:v>
      </x:c>
      <x:c r="B411" s="30" t="str">
        <x:v>F208</x:v>
      </x:c>
      <x:c r="C411" s="30" t="str">
        <x:v>task.accepted_by</x:v>
      </x:c>
      <x:c r="D411" s="30" t="str">
        <x:v>候选输入schema</x:v>
      </x:c>
      <x:c r="E411" s="30" t="str">
        <x:v>按执行角色权限读取；策略只能使用可访问快照</x:v>
      </x:c>
    </x:row>
    <x:row r="412" ht="32" customHeight="1">
      <x:c r="A412" s="30" t="str">
        <x:v>A004</x:v>
      </x:c>
      <x:c r="B412" s="30" t="str">
        <x:v>F209</x:v>
      </x:c>
      <x:c r="C412" s="30" t="str">
        <x:v>task.commitment_window</x:v>
      </x:c>
      <x:c r="D412" s="30" t="str">
        <x:v>候选输入schema</x:v>
      </x:c>
      <x:c r="E412" s="30" t="str">
        <x:v>按执行角色权限读取；策略只能使用可访问快照</x:v>
      </x:c>
    </x:row>
    <x:row r="413" ht="32" customHeight="1">
      <x:c r="A413" s="30" t="str">
        <x:v>A004</x:v>
      </x:c>
      <x:c r="B413" s="30" t="str">
        <x:v>F210</x:v>
      </x:c>
      <x:c r="C413" s="30" t="str">
        <x:v>task.progress</x:v>
      </x:c>
      <x:c r="D413" s="30" t="str">
        <x:v>候选输入schema</x:v>
      </x:c>
      <x:c r="E413" s="30" t="str">
        <x:v>按执行角色权限读取；策略只能使用可访问快照</x:v>
      </x:c>
    </x:row>
    <x:row r="414" ht="32" customHeight="1">
      <x:c r="A414" s="30" t="str">
        <x:v>A004</x:v>
      </x:c>
      <x:c r="B414" s="30" t="str">
        <x:v>F211</x:v>
      </x:c>
      <x:c r="C414" s="30" t="str">
        <x:v>task.active_action_ids</x:v>
      </x:c>
      <x:c r="D414" s="30" t="str">
        <x:v>候选输入schema</x:v>
      </x:c>
      <x:c r="E414" s="30" t="str">
        <x:v>按执行角色权限读取；策略只能使用可访问快照</x:v>
      </x:c>
    </x:row>
    <x:row r="415" ht="32" customHeight="1">
      <x:c r="A415" s="30" t="str">
        <x:v>A004</x:v>
      </x:c>
      <x:c r="B415" s="30" t="str">
        <x:v>F212</x:v>
      </x:c>
      <x:c r="C415" s="30" t="str">
        <x:v>task.interruptibility</x:v>
      </x:c>
      <x:c r="D415" s="30" t="str">
        <x:v>候选输入schema</x:v>
      </x:c>
      <x:c r="E415" s="30" t="str">
        <x:v>按执行角色权限读取；策略只能使用可访问快照</x:v>
      </x:c>
    </x:row>
    <x:row r="416" ht="32" customHeight="1">
      <x:c r="A416" s="30" t="str">
        <x:v>A004</x:v>
      </x:c>
      <x:c r="B416" s="30" t="str">
        <x:v>F213</x:v>
      </x:c>
      <x:c r="C416" s="30" t="str">
        <x:v>task.original_task_id</x:v>
      </x:c>
      <x:c r="D416" s="30" t="str">
        <x:v>候选输入schema</x:v>
      </x:c>
      <x:c r="E416" s="30" t="str">
        <x:v>按执行角色权限读取；策略只能使用可访问快照</x:v>
      </x:c>
    </x:row>
    <x:row r="417" ht="32" customHeight="1">
      <x:c r="A417" s="30" t="str">
        <x:v>A004</x:v>
      </x:c>
      <x:c r="B417" s="30" t="str">
        <x:v>F214</x:v>
      </x:c>
      <x:c r="C417" s="30" t="str">
        <x:v>task.resume_checkpoint</x:v>
      </x:c>
      <x:c r="D417" s="30" t="str">
        <x:v>候选输入schema</x:v>
      </x:c>
      <x:c r="E417" s="30" t="str">
        <x:v>按执行角色权限读取；策略只能使用可访问快照</x:v>
      </x:c>
    </x:row>
    <x:row r="418" ht="32" customHeight="1">
      <x:c r="A418" s="30" t="str">
        <x:v>A004</x:v>
      </x:c>
      <x:c r="B418" s="30" t="str">
        <x:v>F215</x:v>
      </x:c>
      <x:c r="C418" s="30" t="str">
        <x:v>task.handoff_target_id</x:v>
      </x:c>
      <x:c r="D418" s="30" t="str">
        <x:v>候选输入schema</x:v>
      </x:c>
      <x:c r="E418" s="30" t="str">
        <x:v>按执行角色权限读取；策略只能使用可访问快照</x:v>
      </x:c>
    </x:row>
    <x:row r="419" ht="32" customHeight="1">
      <x:c r="A419" s="30" t="str">
        <x:v>A004</x:v>
      </x:c>
      <x:c r="B419" s="30" t="str">
        <x:v>F216</x:v>
      </x:c>
      <x:c r="C419" s="30" t="str">
        <x:v>task.result_evidence_ids</x:v>
      </x:c>
      <x:c r="D419" s="30" t="str">
        <x:v>候选输入schema</x:v>
      </x:c>
      <x:c r="E419" s="30" t="str">
        <x:v>按执行角色权限读取；策略只能使用可访问快照</x:v>
      </x:c>
    </x:row>
    <x:row r="420" ht="32" customHeight="1">
      <x:c r="A420" s="30" t="str">
        <x:v>A004</x:v>
      </x:c>
      <x:c r="B420" s="30" t="str">
        <x:v>F217</x:v>
      </x:c>
      <x:c r="C420" s="30" t="str">
        <x:v>task.failure_reason</x:v>
      </x:c>
      <x:c r="D420" s="30" t="str">
        <x:v>候选输入schema</x:v>
      </x:c>
      <x:c r="E420" s="30" t="str">
        <x:v>按执行角色权限读取；策略只能使用可访问快照</x:v>
      </x:c>
    </x:row>
    <x:row r="421" ht="32" customHeight="1">
      <x:c r="A421" s="30" t="str">
        <x:v>A004</x:v>
      </x:c>
      <x:c r="B421" s="30" t="str">
        <x:v>F218</x:v>
      </x:c>
      <x:c r="C421" s="30" t="str">
        <x:v>task.last_event_s</x:v>
      </x:c>
      <x:c r="D421" s="30" t="str">
        <x:v>候选输入schema</x:v>
      </x:c>
      <x:c r="E421" s="30" t="str">
        <x:v>按执行角色权限读取；策略只能使用可访问快照</x:v>
      </x:c>
    </x:row>
    <x:row r="422" ht="32" customHeight="1">
      <x:c r="A422" s="30" t="str">
        <x:v>A004</x:v>
      </x:c>
      <x:c r="B422" s="30" t="str">
        <x:v>F219</x:v>
      </x:c>
      <x:c r="C422" s="30" t="str">
        <x:v>task.opportunity_cost</x:v>
      </x:c>
      <x:c r="D422" s="30" t="str">
        <x:v>候选输入schema</x:v>
      </x:c>
      <x:c r="E422" s="30" t="str">
        <x:v>按执行角色权限读取；策略只能使用可访问快照</x:v>
      </x:c>
    </x:row>
    <x:row r="423" ht="32" customHeight="1">
      <x:c r="A423" s="30" t="str">
        <x:v>A004</x:v>
      </x:c>
      <x:c r="B423" s="30" t="str">
        <x:v>F230</x:v>
      </x:c>
      <x:c r="C423" s="30" t="str">
        <x:v>action.type</x:v>
      </x:c>
      <x:c r="D423" s="30" t="str">
        <x:v>候选输入schema</x:v>
      </x:c>
      <x:c r="E423" s="30" t="str">
        <x:v>按执行角色权限读取；策略只能使用可访问快照</x:v>
      </x:c>
    </x:row>
    <x:row r="424" ht="32" customHeight="1">
      <x:c r="A424" s="30" t="str">
        <x:v>A004</x:v>
      </x:c>
      <x:c r="B424" s="30" t="str">
        <x:v>F231</x:v>
      </x:c>
      <x:c r="C424" s="30" t="str">
        <x:v>action.executor_id</x:v>
      </x:c>
      <x:c r="D424" s="30" t="str">
        <x:v>候选输入schema</x:v>
      </x:c>
      <x:c r="E424" s="30" t="str">
        <x:v>按执行角色权限读取；策略只能使用可访问快照</x:v>
      </x:c>
    </x:row>
    <x:row r="425" ht="32" customHeight="1">
      <x:c r="A425" s="30" t="str">
        <x:v>A004</x:v>
      </x:c>
      <x:c r="B425" s="30" t="str">
        <x:v>F232</x:v>
      </x:c>
      <x:c r="C425" s="30" t="str">
        <x:v>action.task_ref</x:v>
      </x:c>
      <x:c r="D425" s="30" t="str">
        <x:v>候选输入schema</x:v>
      </x:c>
      <x:c r="E425" s="30" t="str">
        <x:v>按执行角色权限读取；策略只能使用可访问快照</x:v>
      </x:c>
    </x:row>
    <x:row r="426" ht="32" customHeight="1">
      <x:c r="A426" s="30" t="str">
        <x:v>A004</x:v>
      </x:c>
      <x:c r="B426" s="30" t="str">
        <x:v>F233</x:v>
      </x:c>
      <x:c r="C426" s="30" t="str">
        <x:v>action.target_ref</x:v>
      </x:c>
      <x:c r="D426" s="30" t="str">
        <x:v>候选输入schema</x:v>
      </x:c>
      <x:c r="E426" s="30" t="str">
        <x:v>按执行角色权限读取；策略只能使用可访问快照</x:v>
      </x:c>
    </x:row>
    <x:row r="427" ht="32" customHeight="1">
      <x:c r="A427" s="30" t="str">
        <x:v>A004</x:v>
      </x:c>
      <x:c r="B427" s="30" t="str">
        <x:v>F234</x:v>
      </x:c>
      <x:c r="C427" s="30" t="str">
        <x:v>action.parameters</x:v>
      </x:c>
      <x:c r="D427" s="30" t="str">
        <x:v>候选输入schema</x:v>
      </x:c>
      <x:c r="E427" s="30" t="str">
        <x:v>按执行角色权限读取；策略只能使用可访问快照</x:v>
      </x:c>
    </x:row>
    <x:row r="428" ht="32" customHeight="1">
      <x:c r="A428" s="30" t="str">
        <x:v>A004</x:v>
      </x:c>
      <x:c r="B428" s="30" t="str">
        <x:v>F235</x:v>
      </x:c>
      <x:c r="C428" s="30" t="str">
        <x:v>action.status</x:v>
      </x:c>
      <x:c r="D428" s="30" t="str">
        <x:v>候选输入schema</x:v>
      </x:c>
      <x:c r="E428" s="30" t="str">
        <x:v>按执行角色权限读取；策略只能使用可访问快照</x:v>
      </x:c>
    </x:row>
    <x:row r="429" ht="32" customHeight="1">
      <x:c r="A429" s="30" t="str">
        <x:v>A004</x:v>
      </x:c>
      <x:c r="B429" s="30" t="str">
        <x:v>F236</x:v>
      </x:c>
      <x:c r="C429" s="30" t="str">
        <x:v>action.start_s</x:v>
      </x:c>
      <x:c r="D429" s="30" t="str">
        <x:v>候选输入schema</x:v>
      </x:c>
      <x:c r="E429" s="30" t="str">
        <x:v>按执行角色权限读取；策略只能使用可访问快照</x:v>
      </x:c>
    </x:row>
    <x:row r="430" ht="32" customHeight="1">
      <x:c r="A430" s="30" t="str">
        <x:v>A004</x:v>
      </x:c>
      <x:c r="B430" s="30" t="str">
        <x:v>F237</x:v>
      </x:c>
      <x:c r="C430" s="30" t="str">
        <x:v>action.finish_s</x:v>
      </x:c>
      <x:c r="D430" s="30" t="str">
        <x:v>候选输入schema</x:v>
      </x:c>
      <x:c r="E430" s="30" t="str">
        <x:v>按执行角色权限读取；策略只能使用可访问快照</x:v>
      </x:c>
    </x:row>
    <x:row r="431" ht="32" customHeight="1">
      <x:c r="A431" s="30" t="str">
        <x:v>A004</x:v>
      </x:c>
      <x:c r="B431" s="30" t="str">
        <x:v>F238</x:v>
      </x:c>
      <x:c r="C431" s="30" t="str">
        <x:v>action.reserved_resources</x:v>
      </x:c>
      <x:c r="D431" s="30" t="str">
        <x:v>候选输入schema</x:v>
      </x:c>
      <x:c r="E431" s="30" t="str">
        <x:v>按执行角色权限读取；策略只能使用可访问快照</x:v>
      </x:c>
    </x:row>
    <x:row r="432" ht="32" customHeight="1">
      <x:c r="A432" s="30" t="str">
        <x:v>A004</x:v>
      </x:c>
      <x:c r="B432" s="30" t="str">
        <x:v>F239</x:v>
      </x:c>
      <x:c r="C432" s="30" t="str">
        <x:v>action.consumed_resources</x:v>
      </x:c>
      <x:c r="D432" s="30" t="str">
        <x:v>候选输入schema</x:v>
      </x:c>
      <x:c r="E432" s="30" t="str">
        <x:v>按执行角色权限读取；策略只能使用可访问快照</x:v>
      </x:c>
    </x:row>
    <x:row r="433" ht="32" customHeight="1">
      <x:c r="A433" s="30" t="str">
        <x:v>A004</x:v>
      </x:c>
      <x:c r="B433" s="30" t="str">
        <x:v>F240</x:v>
      </x:c>
      <x:c r="C433" s="30" t="str">
        <x:v>action.feedback</x:v>
      </x:c>
      <x:c r="D433" s="30" t="str">
        <x:v>候选输入schema</x:v>
      </x:c>
      <x:c r="E433" s="30" t="str">
        <x:v>按执行角色权限读取；策略只能使用可访问快照</x:v>
      </x:c>
    </x:row>
    <x:row r="434" ht="32" customHeight="1">
      <x:c r="A434" s="30" t="str">
        <x:v>A004</x:v>
      </x:c>
      <x:c r="B434" s="30" t="str">
        <x:v>F241</x:v>
      </x:c>
      <x:c r="C434" s="30" t="str">
        <x:v>action.result</x:v>
      </x:c>
      <x:c r="D434" s="30" t="str">
        <x:v>候选输入schema</x:v>
      </x:c>
      <x:c r="E434" s="30" t="str">
        <x:v>按执行角色权限读取；策略只能使用可访问快照</x:v>
      </x:c>
    </x:row>
    <x:row r="435" ht="32" customHeight="1">
      <x:c r="A435" s="30" t="str">
        <x:v>A004</x:v>
      </x:c>
      <x:c r="B435" s="30" t="str">
        <x:v>F242</x:v>
      </x:c>
      <x:c r="C435" s="30" t="str">
        <x:v>action.rejection_code</x:v>
      </x:c>
      <x:c r="D435" s="30" t="str">
        <x:v>候选输入schema</x:v>
      </x:c>
      <x:c r="E435" s="30" t="str">
        <x:v>按执行角色权限读取；策略只能使用可访问快照</x:v>
      </x:c>
    </x:row>
    <x:row r="436" ht="32" customHeight="1">
      <x:c r="A436" s="30" t="str">
        <x:v>A004</x:v>
      </x:c>
      <x:c r="B436" s="30" t="str">
        <x:v>F243</x:v>
      </x:c>
      <x:c r="C436" s="30" t="str">
        <x:v>action.failure_code</x:v>
      </x:c>
      <x:c r="D436" s="30" t="str">
        <x:v>候选输入schema</x:v>
      </x:c>
      <x:c r="E436" s="30" t="str">
        <x:v>按执行角色权限读取；策略只能使用可访问快照</x:v>
      </x:c>
    </x:row>
    <x:row r="437" ht="32" customHeight="1">
      <x:c r="A437" s="30" t="str">
        <x:v>A004</x:v>
      </x:c>
      <x:c r="B437" s="30" t="str">
        <x:v>F244</x:v>
      </x:c>
      <x:c r="C437" s="30" t="str">
        <x:v>action.cancel_requested</x:v>
      </x:c>
      <x:c r="D437" s="30" t="str">
        <x:v>候选输入schema</x:v>
      </x:c>
      <x:c r="E437" s="30" t="str">
        <x:v>按执行角色权限读取；策略只能使用可访问快照</x:v>
      </x:c>
    </x:row>
    <x:row r="438" ht="32" customHeight="1">
      <x:c r="A438" s="30" t="str">
        <x:v>A004</x:v>
      </x:c>
      <x:c r="B438" s="30" t="str">
        <x:v>F245</x:v>
      </x:c>
      <x:c r="C438" s="30" t="str">
        <x:v>action.backend_mode</x:v>
      </x:c>
      <x:c r="D438" s="30" t="str">
        <x:v>候选输入schema</x:v>
      </x:c>
      <x:c r="E438" s="30" t="str">
        <x:v>按执行角色权限读取；策略只能使用可访问快照</x:v>
      </x:c>
    </x:row>
    <x:row r="439" ht="32" customHeight="1">
      <x:c r="A439" s="30" t="str">
        <x:v>A004</x:v>
      </x:c>
      <x:c r="B439" s="30" t="str">
        <x:v>F109</x:v>
      </x:c>
      <x:c r="C439" s="30" t="str">
        <x:v>platform.motion_state</x:v>
      </x:c>
      <x:c r="D439" s="30" t="str">
        <x:v>直接效果</x:v>
      </x:c>
      <x:c r="E439" s="30" t="str">
        <x:v>经实际执行/回执提交；不是规划时提前修改</x:v>
      </x:c>
    </x:row>
    <x:row r="440" ht="32" customHeight="1">
      <x:c r="A440" s="30" t="str">
        <x:v>A004</x:v>
      </x:c>
      <x:c r="B440" s="30" t="str">
        <x:v>F105</x:v>
      </x:c>
      <x:c r="C440" s="30" t="str">
        <x:v>platform.battery_remaining_Wh</x:v>
      </x:c>
      <x:c r="D440" s="30" t="str">
        <x:v>直接效果</x:v>
      </x:c>
      <x:c r="E440" s="30" t="str">
        <x:v>经实际执行/回执提交；不是规划时提前修改</x:v>
      </x:c>
    </x:row>
    <x:row r="441" ht="32" customHeight="1">
      <x:c r="A441" s="30" t="str">
        <x:v>A005</x:v>
      </x:c>
      <x:c r="B441" s="30" t="str">
        <x:v>F001</x:v>
      </x:c>
      <x:c r="C441" s="30" t="str">
        <x:v>entity.id</x:v>
      </x:c>
      <x:c r="D441" s="30" t="str">
        <x:v>候选输入schema</x:v>
      </x:c>
      <x:c r="E441" s="30" t="str">
        <x:v>按执行角色权限读取；策略只能使用可访问快照</x:v>
      </x:c>
    </x:row>
    <x:row r="442" ht="32" customHeight="1">
      <x:c r="A442" s="30" t="str">
        <x:v>A005</x:v>
      </x:c>
      <x:c r="B442" s="30" t="str">
        <x:v>F002</x:v>
      </x:c>
      <x:c r="C442" s="30" t="str">
        <x:v>entity.kind</x:v>
      </x:c>
      <x:c r="D442" s="30" t="str">
        <x:v>候选输入schema</x:v>
      </x:c>
      <x:c r="E442" s="30" t="str">
        <x:v>按执行角色权限读取；策略只能使用可访问快照</x:v>
      </x:c>
    </x:row>
    <x:row r="443" ht="32" customHeight="1">
      <x:c r="A443" s="30" t="str">
        <x:v>A005</x:v>
      </x:c>
      <x:c r="B443" s="30" t="str">
        <x:v>F003</x:v>
      </x:c>
      <x:c r="C443" s="30" t="str">
        <x:v>entity.parent_id</x:v>
      </x:c>
      <x:c r="D443" s="30" t="str">
        <x:v>候选输入schema</x:v>
      </x:c>
      <x:c r="E443" s="30" t="str">
        <x:v>按执行角色权限读取；策略只能使用可访问快照</x:v>
      </x:c>
    </x:row>
    <x:row r="444" ht="32" customHeight="1">
      <x:c r="A444" s="30" t="str">
        <x:v>A005</x:v>
      </x:c>
      <x:c r="B444" s="30" t="str">
        <x:v>F004</x:v>
      </x:c>
      <x:c r="C444" s="30" t="str">
        <x:v>entity.pose</x:v>
      </x:c>
      <x:c r="D444" s="30" t="str">
        <x:v>候选输入schema</x:v>
      </x:c>
      <x:c r="E444" s="30" t="str">
        <x:v>按执行角色权限读取；策略只能使用可访问快照</x:v>
      </x:c>
    </x:row>
    <x:row r="445" ht="32" customHeight="1">
      <x:c r="A445" s="30" t="str">
        <x:v>A005</x:v>
      </x:c>
      <x:c r="B445" s="30" t="str">
        <x:v>F005</x:v>
      </x:c>
      <x:c r="C445" s="30" t="str">
        <x:v>entity.footprint</x:v>
      </x:c>
      <x:c r="D445" s="30" t="str">
        <x:v>候选输入schema</x:v>
      </x:c>
      <x:c r="E445" s="30" t="str">
        <x:v>按执行角色权限读取；策略只能使用可访问快照</x:v>
      </x:c>
    </x:row>
    <x:row r="446" ht="32" customHeight="1">
      <x:c r="A446" s="30" t="str">
        <x:v>A005</x:v>
      </x:c>
      <x:c r="B446" s="30" t="str">
        <x:v>F006</x:v>
      </x:c>
      <x:c r="C446" s="30" t="str">
        <x:v>entity.height_m</x:v>
      </x:c>
      <x:c r="D446" s="30" t="str">
        <x:v>候选输入schema</x:v>
      </x:c>
      <x:c r="E446" s="30" t="str">
        <x:v>按执行角色权限读取；策略只能使用可访问快照</x:v>
      </x:c>
    </x:row>
    <x:row r="447" ht="32" customHeight="1">
      <x:c r="A447" s="30" t="str">
        <x:v>A005</x:v>
      </x:c>
      <x:c r="B447" s="30" t="str">
        <x:v>F007</x:v>
      </x:c>
      <x:c r="C447" s="30" t="str">
        <x:v>entity.region_id</x:v>
      </x:c>
      <x:c r="D447" s="30" t="str">
        <x:v>候选输入schema</x:v>
      </x:c>
      <x:c r="E447" s="30" t="str">
        <x:v>按执行角色权限读取；策略只能使用可访问快照</x:v>
      </x:c>
    </x:row>
    <x:row r="448" ht="32" customHeight="1">
      <x:c r="A448" s="30" t="str">
        <x:v>A005</x:v>
      </x:c>
      <x:c r="B448" s="30" t="str">
        <x:v>F008</x:v>
      </x:c>
      <x:c r="C448" s="30" t="str">
        <x:v>entity.revision</x:v>
      </x:c>
      <x:c r="D448" s="30" t="str">
        <x:v>候选输入schema</x:v>
      </x:c>
      <x:c r="E448" s="30" t="str">
        <x:v>按执行角色权限读取；策略只能使用可访问快照</x:v>
      </x:c>
    </x:row>
    <x:row r="449" ht="32" customHeight="1">
      <x:c r="A449" s="30" t="str">
        <x:v>A005</x:v>
      </x:c>
      <x:c r="B449" s="30" t="str">
        <x:v>F009</x:v>
      </x:c>
      <x:c r="C449" s="30" t="str">
        <x:v>entity.provenance</x:v>
      </x:c>
      <x:c r="D449" s="30" t="str">
        <x:v>候选输入schema</x:v>
      </x:c>
      <x:c r="E449" s="30" t="str">
        <x:v>按执行角色权限读取；策略只能使用可访问快照</x:v>
      </x:c>
    </x:row>
    <x:row r="450" ht="32" customHeight="1">
      <x:c r="A450" s="30" t="str">
        <x:v>A005</x:v>
      </x:c>
      <x:c r="B450" s="30" t="str">
        <x:v>F010</x:v>
      </x:c>
      <x:c r="C450" s="30" t="str">
        <x:v>hazard.kind</x:v>
      </x:c>
      <x:c r="D450" s="30" t="str">
        <x:v>候选输入schema</x:v>
      </x:c>
      <x:c r="E450" s="30" t="str">
        <x:v>按执行角色权限读取；策略只能使用可访问快照</x:v>
      </x:c>
    </x:row>
    <x:row r="451" ht="32" customHeight="1">
      <x:c r="A451" s="30" t="str">
        <x:v>A005</x:v>
      </x:c>
      <x:c r="B451" s="30" t="str">
        <x:v>F011</x:v>
      </x:c>
      <x:c r="C451" s="30" t="str">
        <x:v>hazard.footprint</x:v>
      </x:c>
      <x:c r="D451" s="30" t="str">
        <x:v>候选输入schema</x:v>
      </x:c>
      <x:c r="E451" s="30" t="str">
        <x:v>按执行角色权限读取；策略只能使用可访问快照</x:v>
      </x:c>
    </x:row>
    <x:row r="452" ht="32" customHeight="1">
      <x:c r="A452" s="30" t="str">
        <x:v>A005</x:v>
      </x:c>
      <x:c r="B452" s="30" t="str">
        <x:v>F012</x:v>
      </x:c>
      <x:c r="C452" s="30" t="str">
        <x:v>hazard.intensity</x:v>
      </x:c>
      <x:c r="D452" s="30" t="str">
        <x:v>候选输入schema</x:v>
      </x:c>
      <x:c r="E452" s="30" t="str">
        <x:v>按执行角色权限读取；策略只能使用可访问快照</x:v>
      </x:c>
    </x:row>
    <x:row r="453" ht="32" customHeight="1">
      <x:c r="A453" s="30" t="str">
        <x:v>A005</x:v>
      </x:c>
      <x:c r="B453" s="30" t="str">
        <x:v>F013</x:v>
      </x:c>
      <x:c r="C453" s="30" t="str">
        <x:v>hazard.active</x:v>
      </x:c>
      <x:c r="D453" s="30" t="str">
        <x:v>候选输入schema</x:v>
      </x:c>
      <x:c r="E453" s="30" t="str">
        <x:v>按执行角色权限读取；策略只能使用可访问快照</x:v>
      </x:c>
    </x:row>
    <x:row r="454" ht="32" customHeight="1">
      <x:c r="A454" s="30" t="str">
        <x:v>A005</x:v>
      </x:c>
      <x:c r="B454" s="30" t="str">
        <x:v>F014</x:v>
      </x:c>
      <x:c r="C454" s="30" t="str">
        <x:v>hazard.water_depth_m</x:v>
      </x:c>
      <x:c r="D454" s="30" t="str">
        <x:v>候选输入schema</x:v>
      </x:c>
      <x:c r="E454" s="30" t="str">
        <x:v>按执行角色权限读取；策略只能使用可访问快照</x:v>
      </x:c>
    </x:row>
    <x:row r="455" ht="32" customHeight="1">
      <x:c r="A455" s="30" t="str">
        <x:v>A005</x:v>
      </x:c>
      <x:c r="B455" s="30" t="str">
        <x:v>F015</x:v>
      </x:c>
      <x:c r="C455" s="30" t="str">
        <x:v>hazard.flow_speed_mps</x:v>
      </x:c>
      <x:c r="D455" s="30" t="str">
        <x:v>候选输入schema</x:v>
      </x:c>
      <x:c r="E455" s="30" t="str">
        <x:v>按执行角色权限读取；策略只能使用可访问快照</x:v>
      </x:c>
    </x:row>
    <x:row r="456" ht="32" customHeight="1">
      <x:c r="A456" s="30" t="str">
        <x:v>A005</x:v>
      </x:c>
      <x:c r="B456" s="30" t="str">
        <x:v>F016</x:v>
      </x:c>
      <x:c r="C456" s="30" t="str">
        <x:v>hazard.smoke_density</x:v>
      </x:c>
      <x:c r="D456" s="30" t="str">
        <x:v>候选输入schema</x:v>
      </x:c>
      <x:c r="E456" s="30" t="str">
        <x:v>按执行角色权限读取；策略只能使用可访问快照</x:v>
      </x:c>
    </x:row>
    <x:row r="457" ht="32" customHeight="1">
      <x:c r="A457" s="30" t="str">
        <x:v>A005</x:v>
      </x:c>
      <x:c r="B457" s="30" t="str">
        <x:v>F017</x:v>
      </x:c>
      <x:c r="C457" s="30" t="str">
        <x:v>hazard.fire_intensity</x:v>
      </x:c>
      <x:c r="D457" s="30" t="str">
        <x:v>候选输入schema</x:v>
      </x:c>
      <x:c r="E457" s="30" t="str">
        <x:v>按执行角色权限读取；策略只能使用可访问快照</x:v>
      </x:c>
    </x:row>
    <x:row r="458" ht="32" customHeight="1">
      <x:c r="A458" s="30" t="str">
        <x:v>A005</x:v>
      </x:c>
      <x:c r="B458" s="30" t="str">
        <x:v>F018</x:v>
      </x:c>
      <x:c r="C458" s="30" t="str">
        <x:v>hazard.gas_level</x:v>
      </x:c>
      <x:c r="D458" s="30" t="str">
        <x:v>候选输入schema</x:v>
      </x:c>
      <x:c r="E458" s="30" t="str">
        <x:v>按执行角色权限读取；策略只能使用可访问快照</x:v>
      </x:c>
    </x:row>
    <x:row r="459" ht="32" customHeight="1">
      <x:c r="A459" s="30" t="str">
        <x:v>A005</x:v>
      </x:c>
      <x:c r="B459" s="30" t="str">
        <x:v>F019</x:v>
      </x:c>
      <x:c r="C459" s="30" t="str">
        <x:v>hazard.wind_mps</x:v>
      </x:c>
      <x:c r="D459" s="30" t="str">
        <x:v>候选输入schema</x:v>
      </x:c>
      <x:c r="E459" s="30" t="str">
        <x:v>按执行角色权限读取；策略只能使用可访问快照</x:v>
      </x:c>
    </x:row>
    <x:row r="460" ht="32" customHeight="1">
      <x:c r="A460" s="30" t="str">
        <x:v>A005</x:v>
      </x:c>
      <x:c r="B460" s="30" t="str">
        <x:v>F020</x:v>
      </x:c>
      <x:c r="C460" s="30" t="str">
        <x:v>hazard.visibility_m</x:v>
      </x:c>
      <x:c r="D460" s="30" t="str">
        <x:v>候选输入schema</x:v>
      </x:c>
      <x:c r="E460" s="30" t="str">
        <x:v>按执行角色权限读取；策略只能使用可访问快照</x:v>
      </x:c>
    </x:row>
    <x:row r="461" ht="32" customHeight="1">
      <x:c r="A461" s="30" t="str">
        <x:v>A005</x:v>
      </x:c>
      <x:c r="B461" s="30" t="str">
        <x:v>F021</x:v>
      </x:c>
      <x:c r="C461" s="30" t="str">
        <x:v>hazard.weather</x:v>
      </x:c>
      <x:c r="D461" s="30" t="str">
        <x:v>候选输入schema</x:v>
      </x:c>
      <x:c r="E461" s="30" t="str">
        <x:v>按执行角色权限读取；策略只能使用可访问快照</x:v>
      </x:c>
    </x:row>
    <x:row r="462" ht="32" customHeight="1">
      <x:c r="A462" s="30" t="str">
        <x:v>A005</x:v>
      </x:c>
      <x:c r="B462" s="30" t="str">
        <x:v>F022</x:v>
      </x:c>
      <x:c r="C462" s="30" t="str">
        <x:v>hazard.illumination</x:v>
      </x:c>
      <x:c r="D462" s="30" t="str">
        <x:v>候选输入schema</x:v>
      </x:c>
      <x:c r="E462" s="30" t="str">
        <x:v>按执行角色权限读取；策略只能使用可访问快照</x:v>
      </x:c>
    </x:row>
    <x:row r="463" ht="32" customHeight="1">
      <x:c r="A463" s="30" t="str">
        <x:v>A005</x:v>
      </x:c>
      <x:c r="B463" s="30" t="str">
        <x:v>F023</x:v>
      </x:c>
      <x:c r="C463" s="30" t="str">
        <x:v>hazard.secondary_event</x:v>
      </x:c>
      <x:c r="D463" s="30" t="str">
        <x:v>候选输入schema</x:v>
      </x:c>
      <x:c r="E463" s="30" t="str">
        <x:v>按执行角色权限读取；策略只能使用可访问快照</x:v>
      </x:c>
    </x:row>
    <x:row r="464" ht="32" customHeight="1">
      <x:c r="A464" s="30" t="str">
        <x:v>A005</x:v>
      </x:c>
      <x:c r="B464" s="30" t="str">
        <x:v>F024</x:v>
      </x:c>
      <x:c r="C464" s="30" t="str">
        <x:v>hazard.exclusion_zone</x:v>
      </x:c>
      <x:c r="D464" s="30" t="str">
        <x:v>候选输入schema</x:v>
      </x:c>
      <x:c r="E464" s="30" t="str">
        <x:v>按执行角色权限读取；策略只能使用可访问快照</x:v>
      </x:c>
    </x:row>
    <x:row r="465" ht="32" customHeight="1">
      <x:c r="A465" s="30" t="str">
        <x:v>A005</x:v>
      </x:c>
      <x:c r="B465" s="30" t="str">
        <x:v>F025</x:v>
      </x:c>
      <x:c r="C465" s="30" t="str">
        <x:v>hazard.expiry_s</x:v>
      </x:c>
      <x:c r="D465" s="30" t="str">
        <x:v>候选输入schema</x:v>
      </x:c>
      <x:c r="E465" s="30" t="str">
        <x:v>按执行角色权限读取；策略只能使用可访问快照</x:v>
      </x:c>
    </x:row>
    <x:row r="466" ht="32" customHeight="1">
      <x:c r="A466" s="30" t="str">
        <x:v>A005</x:v>
      </x:c>
      <x:c r="B466" s="30" t="str">
        <x:v>F026</x:v>
      </x:c>
      <x:c r="C466" s="30" t="str">
        <x:v>building.use</x:v>
      </x:c>
      <x:c r="D466" s="30" t="str">
        <x:v>候选输入schema</x:v>
      </x:c>
      <x:c r="E466" s="30" t="str">
        <x:v>按执行角色权限读取；策略只能使用可访问快照</x:v>
      </x:c>
    </x:row>
    <x:row r="467" ht="32" customHeight="1">
      <x:c r="A467" s="30" t="str">
        <x:v>A005</x:v>
      </x:c>
      <x:c r="B467" s="30" t="str">
        <x:v>F027</x:v>
      </x:c>
      <x:c r="C467" s="30" t="str">
        <x:v>building.structure</x:v>
      </x:c>
      <x:c r="D467" s="30" t="str">
        <x:v>候选输入schema</x:v>
      </x:c>
      <x:c r="E467" s="30" t="str">
        <x:v>按执行角色权限读取；策略只能使用可访问快照</x:v>
      </x:c>
    </x:row>
    <x:row r="468" ht="32" customHeight="1">
      <x:c r="A468" s="30" t="str">
        <x:v>A005</x:v>
      </x:c>
      <x:c r="B468" s="30" t="str">
        <x:v>F028</x:v>
      </x:c>
      <x:c r="C468" s="30" t="str">
        <x:v>building.floors</x:v>
      </x:c>
      <x:c r="D468" s="30" t="str">
        <x:v>候选输入schema</x:v>
      </x:c>
      <x:c r="E468" s="30" t="str">
        <x:v>按执行角色权限读取；策略只能使用可访问快照</x:v>
      </x:c>
    </x:row>
    <x:row r="469" ht="32" customHeight="1">
      <x:c r="A469" s="30" t="str">
        <x:v>A005</x:v>
      </x:c>
      <x:c r="B469" s="30" t="str">
        <x:v>F029</x:v>
      </x:c>
      <x:c r="C469" s="30" t="str">
        <x:v>building.capacity</x:v>
      </x:c>
      <x:c r="D469" s="30" t="str">
        <x:v>候选输入schema</x:v>
      </x:c>
      <x:c r="E469" s="30" t="str">
        <x:v>按执行角色权限读取；策略只能使用可访问快照</x:v>
      </x:c>
    </x:row>
    <x:row r="470" ht="32" customHeight="1">
      <x:c r="A470" s="30" t="str">
        <x:v>A005</x:v>
      </x:c>
      <x:c r="B470" s="30" t="str">
        <x:v>F030</x:v>
      </x:c>
      <x:c r="C470" s="30" t="str">
        <x:v>building.visual_damage</x:v>
      </x:c>
      <x:c r="D470" s="30" t="str">
        <x:v>候选输入schema</x:v>
      </x:c>
      <x:c r="E470" s="30" t="str">
        <x:v>按执行角色权限读取；策略只能使用可访问快照</x:v>
      </x:c>
    </x:row>
    <x:row r="471" ht="32" customHeight="1">
      <x:c r="A471" s="30" t="str">
        <x:v>A005</x:v>
      </x:c>
      <x:c r="B471" s="30" t="str">
        <x:v>F031</x:v>
      </x:c>
      <x:c r="C471" s="30" t="str">
        <x:v>building.structural_condition</x:v>
      </x:c>
      <x:c r="D471" s="30" t="str">
        <x:v>候选输入schema</x:v>
      </x:c>
      <x:c r="E471" s="30" t="str">
        <x:v>按执行角色权限读取；策略只能使用可访问快照</x:v>
      </x:c>
    </x:row>
    <x:row r="472" ht="32" customHeight="1">
      <x:c r="A472" s="30" t="str">
        <x:v>A005</x:v>
      </x:c>
      <x:c r="B472" s="30" t="str">
        <x:v>F032</x:v>
      </x:c>
      <x:c r="C472" s="30" t="str">
        <x:v>building.roof_loss_ratio</x:v>
      </x:c>
      <x:c r="D472" s="30" t="str">
        <x:v>候选输入schema</x:v>
      </x:c>
      <x:c r="E472" s="30" t="str">
        <x:v>按执行角色权限读取；策略只能使用可访问快照</x:v>
      </x:c>
    </x:row>
    <x:row r="473" ht="32" customHeight="1">
      <x:c r="A473" s="30" t="str">
        <x:v>A005</x:v>
      </x:c>
      <x:c r="B473" s="30" t="str">
        <x:v>F033</x:v>
      </x:c>
      <x:c r="C473" s="30" t="str">
        <x:v>building.wall_damage</x:v>
      </x:c>
      <x:c r="D473" s="30" t="str">
        <x:v>候选输入schema</x:v>
      </x:c>
      <x:c r="E473" s="30" t="str">
        <x:v>按执行角色权限读取；策略只能使用可访问快照</x:v>
      </x:c>
    </x:row>
    <x:row r="474" ht="32" customHeight="1">
      <x:c r="A474" s="30" t="str">
        <x:v>A005</x:v>
      </x:c>
      <x:c r="B474" s="30" t="str">
        <x:v>F034</x:v>
      </x:c>
      <x:c r="C474" s="30" t="str">
        <x:v>building.flood_exposure</x:v>
      </x:c>
      <x:c r="D474" s="30" t="str">
        <x:v>候选输入schema</x:v>
      </x:c>
      <x:c r="E474" s="30" t="str">
        <x:v>按执行角色权限读取；策略只能使用可访问快照</x:v>
      </x:c>
    </x:row>
    <x:row r="475" ht="32" customHeight="1">
      <x:c r="A475" s="30" t="str">
        <x:v>A005</x:v>
      </x:c>
      <x:c r="B475" s="30" t="str">
        <x:v>F035</x:v>
      </x:c>
      <x:c r="C475" s="30" t="str">
        <x:v>building.entrance_ids</x:v>
      </x:c>
      <x:c r="D475" s="30" t="str">
        <x:v>候选输入schema</x:v>
      </x:c>
      <x:c r="E475" s="30" t="str">
        <x:v>按执行角色权限读取；策略只能使用可访问快照</x:v>
      </x:c>
    </x:row>
    <x:row r="476" ht="32" customHeight="1">
      <x:c r="A476" s="30" t="str">
        <x:v>A005</x:v>
      </x:c>
      <x:c r="B476" s="30" t="str">
        <x:v>F036</x:v>
      </x:c>
      <x:c r="C476" s="30" t="str">
        <x:v>building.interior_area_m2</x:v>
      </x:c>
      <x:c r="D476" s="30" t="str">
        <x:v>候选输入schema</x:v>
      </x:c>
      <x:c r="E476" s="30" t="str">
        <x:v>按执行角色权限读取；策略只能使用可访问快照</x:v>
      </x:c>
    </x:row>
    <x:row r="477" ht="32" customHeight="1">
      <x:c r="A477" s="30" t="str">
        <x:v>A005</x:v>
      </x:c>
      <x:c r="B477" s="30" t="str">
        <x:v>F037</x:v>
      </x:c>
      <x:c r="C477" s="30" t="str">
        <x:v>building.interior_mode</x:v>
      </x:c>
      <x:c r="D477" s="30" t="str">
        <x:v>候选输入schema</x:v>
      </x:c>
      <x:c r="E477" s="30" t="str">
        <x:v>按执行角色权限读取；策略只能使用可访问快照</x:v>
      </x:c>
    </x:row>
    <x:row r="478" ht="32" customHeight="1">
      <x:c r="A478" s="30" t="str">
        <x:v>A005</x:v>
      </x:c>
      <x:c r="B478" s="30" t="str">
        <x:v>F038</x:v>
      </x:c>
      <x:c r="C478" s="30" t="str">
        <x:v>building.search_difficulty</x:v>
      </x:c>
      <x:c r="D478" s="30" t="str">
        <x:v>候选输入schema</x:v>
      </x:c>
      <x:c r="E478" s="30" t="str">
        <x:v>按执行角色权限读取；策略只能使用可访问快照</x:v>
      </x:c>
    </x:row>
    <x:row r="479" ht="32" customHeight="1">
      <x:c r="A479" s="30" t="str">
        <x:v>A005</x:v>
      </x:c>
      <x:c r="B479" s="30" t="str">
        <x:v>F039</x:v>
      </x:c>
      <x:c r="C479" s="30" t="str">
        <x:v>building.occupant_ids</x:v>
      </x:c>
      <x:c r="D479" s="30" t="str">
        <x:v>候选输入schema</x:v>
      </x:c>
      <x:c r="E479" s="30" t="str">
        <x:v>按执行角色权限读取；策略只能使用可访问快照</x:v>
      </x:c>
    </x:row>
    <x:row r="480" ht="32" customHeight="1">
      <x:c r="A480" s="30" t="str">
        <x:v>A005</x:v>
      </x:c>
      <x:c r="B480" s="30" t="str">
        <x:v>F040</x:v>
      </x:c>
      <x:c r="C480" s="30" t="str">
        <x:v>building.search_coverage_truth</x:v>
      </x:c>
      <x:c r="D480" s="30" t="str">
        <x:v>候选输入schema</x:v>
      </x:c>
      <x:c r="E480" s="30" t="str">
        <x:v>按执行角色权限读取；策略只能使用可访问快照</x:v>
      </x:c>
    </x:row>
    <x:row r="481" ht="32" customHeight="1">
      <x:c r="A481" s="30" t="str">
        <x:v>A005</x:v>
      </x:c>
      <x:c r="B481" s="30" t="str">
        <x:v>F041</x:v>
      </x:c>
      <x:c r="C481" s="30" t="str">
        <x:v>building.worksite_record</x:v>
      </x:c>
      <x:c r="D481" s="30" t="str">
        <x:v>候选输入schema</x:v>
      </x:c>
      <x:c r="E481" s="30" t="str">
        <x:v>按执行角色权限读取；策略只能使用可访问快照</x:v>
      </x:c>
    </x:row>
    <x:row r="482" ht="32" customHeight="1">
      <x:c r="A482" s="30" t="str">
        <x:v>A005</x:v>
      </x:c>
      <x:c r="B482" s="30" t="str">
        <x:v>F042</x:v>
      </x:c>
      <x:c r="C482" s="30" t="str">
        <x:v>building.remaining_hazard</x:v>
      </x:c>
      <x:c r="D482" s="30" t="str">
        <x:v>候选输入schema</x:v>
      </x:c>
      <x:c r="E482" s="30" t="str">
        <x:v>按执行角色权限读取；策略只能使用可访问快照</x:v>
      </x:c>
    </x:row>
    <x:row r="483" ht="32" customHeight="1">
      <x:c r="A483" s="30" t="str">
        <x:v>A005</x:v>
      </x:c>
      <x:c r="B483" s="30" t="str">
        <x:v>F043</x:v>
      </x:c>
      <x:c r="C483" s="30" t="str">
        <x:v>building.render_variant</x:v>
      </x:c>
      <x:c r="D483" s="30" t="str">
        <x:v>候选输入schema</x:v>
      </x:c>
      <x:c r="E483" s="30" t="str">
        <x:v>按执行角色权限读取；策略只能使用可访问快照</x:v>
      </x:c>
    </x:row>
    <x:row r="484" ht="32" customHeight="1">
      <x:c r="A484" s="30" t="str">
        <x:v>A005</x:v>
      </x:c>
      <x:c r="B484" s="30" t="str">
        <x:v>F059</x:v>
      </x:c>
      <x:c r="C484" s="30" t="str">
        <x:v>obstacle.kind</x:v>
      </x:c>
      <x:c r="D484" s="30" t="str">
        <x:v>候选输入schema</x:v>
      </x:c>
      <x:c r="E484" s="30" t="str">
        <x:v>按执行角色权限读取；策略只能使用可访问快照</x:v>
      </x:c>
    </x:row>
    <x:row r="485" ht="32" customHeight="1">
      <x:c r="A485" s="30" t="str">
        <x:v>A005</x:v>
      </x:c>
      <x:c r="B485" s="30" t="str">
        <x:v>F060</x:v>
      </x:c>
      <x:c r="C485" s="30" t="str">
        <x:v>obstacle.material</x:v>
      </x:c>
      <x:c r="D485" s="30" t="str">
        <x:v>候选输入schema</x:v>
      </x:c>
      <x:c r="E485" s="30" t="str">
        <x:v>按执行角色权限读取；策略只能使用可访问快照</x:v>
      </x:c>
    </x:row>
    <x:row r="486" ht="32" customHeight="1">
      <x:c r="A486" s="30" t="str">
        <x:v>A005</x:v>
      </x:c>
      <x:c r="B486" s="30" t="str">
        <x:v>F061</x:v>
      </x:c>
      <x:c r="C486" s="30" t="str">
        <x:v>obstacle.source_id</x:v>
      </x:c>
      <x:c r="D486" s="30" t="str">
        <x:v>候选输入schema</x:v>
      </x:c>
      <x:c r="E486" s="30" t="str">
        <x:v>按执行角色权限读取；策略只能使用可访问快照</x:v>
      </x:c>
    </x:row>
    <x:row r="487" ht="32" customHeight="1">
      <x:c r="A487" s="30" t="str">
        <x:v>A005</x:v>
      </x:c>
      <x:c r="B487" s="30" t="str">
        <x:v>F062</x:v>
      </x:c>
      <x:c r="C487" s="30" t="str">
        <x:v>obstacle.height_m</x:v>
      </x:c>
      <x:c r="D487" s="30" t="str">
        <x:v>候选输入schema</x:v>
      </x:c>
      <x:c r="E487" s="30" t="str">
        <x:v>按执行角色权限读取；策略只能使用可访问快照</x:v>
      </x:c>
    </x:row>
    <x:row r="488" ht="32" customHeight="1">
      <x:c r="A488" s="30" t="str">
        <x:v>A005</x:v>
      </x:c>
      <x:c r="B488" s="30" t="str">
        <x:v>F063</x:v>
      </x:c>
      <x:c r="C488" s="30" t="str">
        <x:v>obstacle.mass_kg</x:v>
      </x:c>
      <x:c r="D488" s="30" t="str">
        <x:v>候选输入schema</x:v>
      </x:c>
      <x:c r="E488" s="30" t="str">
        <x:v>按执行角色权限读取；策略只能使用可访问快照</x:v>
      </x:c>
    </x:row>
    <x:row r="489" ht="32" customHeight="1">
      <x:c r="A489" s="30" t="str">
        <x:v>A005</x:v>
      </x:c>
      <x:c r="B489" s="30" t="str">
        <x:v>F064</x:v>
      </x:c>
      <x:c r="C489" s="30" t="str">
        <x:v>obstacle.volume_m3</x:v>
      </x:c>
      <x:c r="D489" s="30" t="str">
        <x:v>候选输入schema</x:v>
      </x:c>
      <x:c r="E489" s="30" t="str">
        <x:v>按执行角色权限读取；策略只能使用可访问快照</x:v>
      </x:c>
    </x:row>
    <x:row r="490" ht="32" customHeight="1">
      <x:c r="A490" s="30" t="str">
        <x:v>A005</x:v>
      </x:c>
      <x:c r="B490" s="30" t="str">
        <x:v>F065</x:v>
      </x:c>
      <x:c r="C490" s="30" t="str">
        <x:v>obstacle.state</x:v>
      </x:c>
      <x:c r="D490" s="30" t="str">
        <x:v>候选输入schema</x:v>
      </x:c>
      <x:c r="E490" s="30" t="str">
        <x:v>按执行角色权限读取；策略只能使用可访问快照</x:v>
      </x:c>
    </x:row>
    <x:row r="491" ht="32" customHeight="1">
      <x:c r="A491" s="30" t="str">
        <x:v>A005</x:v>
      </x:c>
      <x:c r="B491" s="30" t="str">
        <x:v>F066</x:v>
      </x:c>
      <x:c r="C491" s="30" t="str">
        <x:v>obstacle.stability</x:v>
      </x:c>
      <x:c r="D491" s="30" t="str">
        <x:v>候选输入schema</x:v>
      </x:c>
      <x:c r="E491" s="30" t="str">
        <x:v>按执行角色权限读取；策略只能使用可访问快照</x:v>
      </x:c>
    </x:row>
    <x:row r="492" ht="32" customHeight="1">
      <x:c r="A492" s="30" t="str">
        <x:v>A005</x:v>
      </x:c>
      <x:c r="B492" s="30" t="str">
        <x:v>F067</x:v>
      </x:c>
      <x:c r="C492" s="30" t="str">
        <x:v>obstacle.clear_method</x:v>
      </x:c>
      <x:c r="D492" s="30" t="str">
        <x:v>候选输入schema</x:v>
      </x:c>
      <x:c r="E492" s="30" t="str">
        <x:v>按执行角色权限读取；策略只能使用可访问快照</x:v>
      </x:c>
    </x:row>
    <x:row r="493" ht="32" customHeight="1">
      <x:c r="A493" s="30" t="str">
        <x:v>A005</x:v>
      </x:c>
      <x:c r="B493" s="30" t="str">
        <x:v>F068</x:v>
      </x:c>
      <x:c r="C493" s="30" t="str">
        <x:v>obstacle.work_remaining</x:v>
      </x:c>
      <x:c r="D493" s="30" t="str">
        <x:v>候选输入schema</x:v>
      </x:c>
      <x:c r="E493" s="30" t="str">
        <x:v>按执行角色权限读取；策略只能使用可访问快照</x:v>
      </x:c>
    </x:row>
    <x:row r="494" ht="32" customHeight="1">
      <x:c r="A494" s="30" t="str">
        <x:v>A005</x:v>
      </x:c>
      <x:c r="B494" s="30" t="str">
        <x:v>F069</x:v>
      </x:c>
      <x:c r="C494" s="30" t="str">
        <x:v>obstacle.blocks_ids</x:v>
      </x:c>
      <x:c r="D494" s="30" t="str">
        <x:v>候选输入schema</x:v>
      </x:c>
      <x:c r="E494" s="30" t="str">
        <x:v>按执行角色权限读取；策略只能使用可访问快照</x:v>
      </x:c>
    </x:row>
    <x:row r="495" ht="32" customHeight="1">
      <x:c r="A495" s="30" t="str">
        <x:v>A005</x:v>
      </x:c>
      <x:c r="B495" s="30" t="str">
        <x:v>F070</x:v>
      </x:c>
      <x:c r="C495" s="30" t="str">
        <x:v>obstacle.disposal_location</x:v>
      </x:c>
      <x:c r="D495" s="30" t="str">
        <x:v>候选输入schema</x:v>
      </x:c>
      <x:c r="E495" s="30" t="str">
        <x:v>按执行角色权限读取；策略只能使用可访问快照</x:v>
      </x:c>
    </x:row>
    <x:row r="496" ht="32" customHeight="1">
      <x:c r="A496" s="30" t="str">
        <x:v>A005</x:v>
      </x:c>
      <x:c r="B496" s="30" t="str">
        <x:v>F088</x:v>
      </x:c>
      <x:c r="C496" s="30" t="str">
        <x:v>cue.kind</x:v>
      </x:c>
      <x:c r="D496" s="30" t="str">
        <x:v>候选输入schema</x:v>
      </x:c>
      <x:c r="E496" s="30" t="str">
        <x:v>按执行角色权限读取；策略只能使用可访问快照</x:v>
      </x:c>
    </x:row>
    <x:row r="497" ht="32" customHeight="1">
      <x:c r="A497" s="30" t="str">
        <x:v>A005</x:v>
      </x:c>
      <x:c r="B497" s="30" t="str">
        <x:v>F089</x:v>
      </x:c>
      <x:c r="C497" s="30" t="str">
        <x:v>cue.related_human_id</x:v>
      </x:c>
      <x:c r="D497" s="30" t="str">
        <x:v>候选输入schema</x:v>
      </x:c>
      <x:c r="E497" s="30" t="str">
        <x:v>按执行角色权限读取；策略只能使用可访问快照</x:v>
      </x:c>
    </x:row>
    <x:row r="498" ht="32" customHeight="1">
      <x:c r="A498" s="30" t="str">
        <x:v>A005</x:v>
      </x:c>
      <x:c r="B498" s="30" t="str">
        <x:v>F090</x:v>
      </x:c>
      <x:c r="C498" s="30" t="str">
        <x:v>cue.location</x:v>
      </x:c>
      <x:c r="D498" s="30" t="str">
        <x:v>候选输入schema</x:v>
      </x:c>
      <x:c r="E498" s="30" t="str">
        <x:v>按执行角色权限读取；策略只能使用可访问快照</x:v>
      </x:c>
    </x:row>
    <x:row r="499" ht="32" customHeight="1">
      <x:c r="A499" s="30" t="str">
        <x:v>A005</x:v>
      </x:c>
      <x:c r="B499" s="30" t="str">
        <x:v>F091</x:v>
      </x:c>
      <x:c r="C499" s="30" t="str">
        <x:v>cue.age_s</x:v>
      </x:c>
      <x:c r="D499" s="30" t="str">
        <x:v>候选输入schema</x:v>
      </x:c>
      <x:c r="E499" s="30" t="str">
        <x:v>按执行角色权限读取；策略只能使用可访问快照</x:v>
      </x:c>
    </x:row>
    <x:row r="500" ht="32" customHeight="1">
      <x:c r="A500" s="30" t="str">
        <x:v>A005</x:v>
      </x:c>
      <x:c r="B500" s="30" t="str">
        <x:v>F092</x:v>
      </x:c>
      <x:c r="C500" s="30" t="str">
        <x:v>cue.signal_state</x:v>
      </x:c>
      <x:c r="D500" s="30" t="str">
        <x:v>候选输入schema</x:v>
      </x:c>
      <x:c r="E500" s="30" t="str">
        <x:v>按执行角色权限读取；策略只能使用可访问快照</x:v>
      </x:c>
    </x:row>
    <x:row r="501" ht="32" customHeight="1">
      <x:c r="A501" s="30" t="str">
        <x:v>A005</x:v>
      </x:c>
      <x:c r="B501" s="30" t="str">
        <x:v>F093</x:v>
      </x:c>
      <x:c r="C501" s="30" t="str">
        <x:v>cue.detectability</x:v>
      </x:c>
      <x:c r="D501" s="30" t="str">
        <x:v>候选输入schema</x:v>
      </x:c>
      <x:c r="E501" s="30" t="str">
        <x:v>按执行角色权限读取；策略只能使用可访问快照</x:v>
      </x:c>
    </x:row>
    <x:row r="502" ht="32" customHeight="1">
      <x:c r="A502" s="30" t="str">
        <x:v>A005</x:v>
      </x:c>
      <x:c r="B502" s="30" t="str">
        <x:v>F094</x:v>
      </x:c>
      <x:c r="C502" s="30" t="str">
        <x:v>cue.source_local_id</x:v>
      </x:c>
      <x:c r="D502" s="30" t="str">
        <x:v>候选输入schema</x:v>
      </x:c>
      <x:c r="E502" s="30" t="str">
        <x:v>按执行角色权限读取；策略只能使用可访问快照</x:v>
      </x:c>
    </x:row>
    <x:row r="503" ht="32" customHeight="1">
      <x:c r="A503" s="30" t="str">
        <x:v>A005</x:v>
      </x:c>
      <x:c r="B503" s="30" t="str">
        <x:v>F095</x:v>
      </x:c>
      <x:c r="C503" s="30" t="str">
        <x:v>platform.kind</x:v>
      </x:c>
      <x:c r="D503" s="30" t="str">
        <x:v>候选输入schema</x:v>
      </x:c>
      <x:c r="E503" s="30" t="str">
        <x:v>按执行角色权限读取；策略只能使用可访问快照</x:v>
      </x:c>
    </x:row>
    <x:row r="504" ht="32" customHeight="1">
      <x:c r="A504" s="30" t="str">
        <x:v>A005</x:v>
      </x:c>
      <x:c r="B504" s="30" t="str">
        <x:v>F096</x:v>
      </x:c>
      <x:c r="C504" s="30" t="str">
        <x:v>platform.capability_ids</x:v>
      </x:c>
      <x:c r="D504" s="30" t="str">
        <x:v>候选输入schema</x:v>
      </x:c>
      <x:c r="E504" s="30" t="str">
        <x:v>按执行角色权限读取；策略只能使用可访问快照</x:v>
      </x:c>
    </x:row>
    <x:row r="505" ht="32" customHeight="1">
      <x:c r="A505" s="30" t="str">
        <x:v>A005</x:v>
      </x:c>
      <x:c r="B505" s="30" t="str">
        <x:v>F097</x:v>
      </x:c>
      <x:c r="C505" s="30" t="str">
        <x:v>platform.equipment_ids</x:v>
      </x:c>
      <x:c r="D505" s="30" t="str">
        <x:v>候选输入schema</x:v>
      </x:c>
      <x:c r="E505" s="30" t="str">
        <x:v>按执行角色权限读取；策略只能使用可访问快照</x:v>
      </x:c>
    </x:row>
    <x:row r="506" ht="32" customHeight="1">
      <x:c r="A506" s="30" t="str">
        <x:v>A005</x:v>
      </x:c>
      <x:c r="B506" s="30" t="str">
        <x:v>F098</x:v>
      </x:c>
      <x:c r="C506" s="30" t="str">
        <x:v>platform.width_m</x:v>
      </x:c>
      <x:c r="D506" s="30" t="str">
        <x:v>候选输入schema</x:v>
      </x:c>
      <x:c r="E506" s="30" t="str">
        <x:v>按执行角色权限读取；策略只能使用可访问快照</x:v>
      </x:c>
    </x:row>
    <x:row r="507" ht="32" customHeight="1">
      <x:c r="A507" s="30" t="str">
        <x:v>A005</x:v>
      </x:c>
      <x:c r="B507" s="30" t="str">
        <x:v>F099</x:v>
      </x:c>
      <x:c r="C507" s="30" t="str">
        <x:v>platform.height_m</x:v>
      </x:c>
      <x:c r="D507" s="30" t="str">
        <x:v>候选输入schema</x:v>
      </x:c>
      <x:c r="E507" s="30" t="str">
        <x:v>按执行角色权限读取；策略只能使用可访问快照</x:v>
      </x:c>
    </x:row>
    <x:row r="508" ht="32" customHeight="1">
      <x:c r="A508" s="30" t="str">
        <x:v>A005</x:v>
      </x:c>
      <x:c r="B508" s="30" t="str">
        <x:v>F100</x:v>
      </x:c>
      <x:c r="C508" s="30" t="str">
        <x:v>platform.swept_radius_m</x:v>
      </x:c>
      <x:c r="D508" s="30" t="str">
        <x:v>候选输入schema</x:v>
      </x:c>
      <x:c r="E508" s="30" t="str">
        <x:v>按执行角色权限读取；策略只能使用可访问快照</x:v>
      </x:c>
    </x:row>
    <x:row r="509" ht="32" customHeight="1">
      <x:c r="A509" s="30" t="str">
        <x:v>A005</x:v>
      </x:c>
      <x:c r="B509" s="30" t="str">
        <x:v>F101</x:v>
      </x:c>
      <x:c r="C509" s="30" t="str">
        <x:v>platform.payload_capacity_kg</x:v>
      </x:c>
      <x:c r="D509" s="30" t="str">
        <x:v>候选输入schema</x:v>
      </x:c>
      <x:c r="E509" s="30" t="str">
        <x:v>按执行角色权限读取；策略只能使用可访问快照</x:v>
      </x:c>
    </x:row>
    <x:row r="510" ht="32" customHeight="1">
      <x:c r="A510" s="30" t="str">
        <x:v>A005</x:v>
      </x:c>
      <x:c r="B510" s="30" t="str">
        <x:v>F102</x:v>
      </x:c>
      <x:c r="C510" s="30" t="str">
        <x:v>platform.payload_used_kg</x:v>
      </x:c>
      <x:c r="D510" s="30" t="str">
        <x:v>候选输入schema</x:v>
      </x:c>
      <x:c r="E510" s="30" t="str">
        <x:v>按执行角色权限读取；策略只能使用可访问快照</x:v>
      </x:c>
    </x:row>
    <x:row r="511" ht="32" customHeight="1">
      <x:c r="A511" s="30" t="str">
        <x:v>A005</x:v>
      </x:c>
      <x:c r="B511" s="30" t="str">
        <x:v>F103</x:v>
      </x:c>
      <x:c r="C511" s="30" t="str">
        <x:v>platform.payload_item_ids</x:v>
      </x:c>
      <x:c r="D511" s="30" t="str">
        <x:v>候选输入schema</x:v>
      </x:c>
      <x:c r="E511" s="30" t="str">
        <x:v>按执行角色权限读取；策略只能使用可访问快照</x:v>
      </x:c>
    </x:row>
    <x:row r="512" ht="32" customHeight="1">
      <x:c r="A512" s="30" t="str">
        <x:v>A005</x:v>
      </x:c>
      <x:c r="B512" s="30" t="str">
        <x:v>F104</x:v>
      </x:c>
      <x:c r="C512" s="30" t="str">
        <x:v>platform.battery_capacity_Wh</x:v>
      </x:c>
      <x:c r="D512" s="30" t="str">
        <x:v>候选输入schema</x:v>
      </x:c>
      <x:c r="E512" s="30" t="str">
        <x:v>按执行角色权限读取；策略只能使用可访问快照</x:v>
      </x:c>
    </x:row>
    <x:row r="513" ht="32" customHeight="1">
      <x:c r="A513" s="30" t="str">
        <x:v>A005</x:v>
      </x:c>
      <x:c r="B513" s="30" t="str">
        <x:v>F105</x:v>
      </x:c>
      <x:c r="C513" s="30" t="str">
        <x:v>platform.battery_remaining_Wh</x:v>
      </x:c>
      <x:c r="D513" s="30" t="str">
        <x:v>候选输入schema</x:v>
      </x:c>
      <x:c r="E513" s="30" t="str">
        <x:v>按执行角色权限读取；策略只能使用可访问快照</x:v>
      </x:c>
    </x:row>
    <x:row r="514" ht="32" customHeight="1">
      <x:c r="A514" s="30" t="str">
        <x:v>A005</x:v>
      </x:c>
      <x:c r="B514" s="30" t="str">
        <x:v>F106</x:v>
      </x:c>
      <x:c r="C514" s="30" t="str">
        <x:v>platform.reserve_Wh</x:v>
      </x:c>
      <x:c r="D514" s="30" t="str">
        <x:v>候选输入schema</x:v>
      </x:c>
      <x:c r="E514" s="30" t="str">
        <x:v>按执行角色权限读取；策略只能使用可访问快照</x:v>
      </x:c>
    </x:row>
    <x:row r="515" ht="32" customHeight="1">
      <x:c r="A515" s="30" t="str">
        <x:v>A005</x:v>
      </x:c>
      <x:c r="B515" s="30" t="str">
        <x:v>F107</x:v>
      </x:c>
      <x:c r="C515" s="30" t="str">
        <x:v>platform.speed_limit_mps</x:v>
      </x:c>
      <x:c r="D515" s="30" t="str">
        <x:v>候选输入schema</x:v>
      </x:c>
      <x:c r="E515" s="30" t="str">
        <x:v>按执行角色权限读取；策略只能使用可访问快照</x:v>
      </x:c>
    </x:row>
    <x:row r="516" ht="32" customHeight="1">
      <x:c r="A516" s="30" t="str">
        <x:v>A005</x:v>
      </x:c>
      <x:c r="B516" s="30" t="str">
        <x:v>F108</x:v>
      </x:c>
      <x:c r="C516" s="30" t="str">
        <x:v>platform.energy_model</x:v>
      </x:c>
      <x:c r="D516" s="30" t="str">
        <x:v>候选输入schema</x:v>
      </x:c>
      <x:c r="E516" s="30" t="str">
        <x:v>按执行角色权限读取；策略只能使用可访问快照</x:v>
      </x:c>
    </x:row>
    <x:row r="517" ht="32" customHeight="1">
      <x:c r="A517" s="30" t="str">
        <x:v>A005</x:v>
      </x:c>
      <x:c r="B517" s="30" t="str">
        <x:v>F109</x:v>
      </x:c>
      <x:c r="C517" s="30" t="str">
        <x:v>platform.motion_state</x:v>
      </x:c>
      <x:c r="D517" s="30" t="str">
        <x:v>候选输入schema</x:v>
      </x:c>
      <x:c r="E517" s="30" t="str">
        <x:v>按执行角色权限读取；策略只能使用可访问快照</x:v>
      </x:c>
    </x:row>
    <x:row r="518" ht="32" customHeight="1">
      <x:c r="A518" s="30" t="str">
        <x:v>A005</x:v>
      </x:c>
      <x:c r="B518" s="30" t="str">
        <x:v>F110</x:v>
      </x:c>
      <x:c r="C518" s="30" t="str">
        <x:v>platform.health_state</x:v>
      </x:c>
      <x:c r="D518" s="30" t="str">
        <x:v>候选输入schema</x:v>
      </x:c>
      <x:c r="E518" s="30" t="str">
        <x:v>按执行角色权限读取；策略只能使用可访问快照</x:v>
      </x:c>
    </x:row>
    <x:row r="519" ht="32" customHeight="1">
      <x:c r="A519" s="30" t="str">
        <x:v>A005</x:v>
      </x:c>
      <x:c r="B519" s="30" t="str">
        <x:v>F111</x:v>
      </x:c>
      <x:c r="C519" s="30" t="str">
        <x:v>platform.current_action_id</x:v>
      </x:c>
      <x:c r="D519" s="30" t="str">
        <x:v>候选输入schema</x:v>
      </x:c>
      <x:c r="E519" s="30" t="str">
        <x:v>按执行角色权限读取；策略只能使用可访问快照</x:v>
      </x:c>
    </x:row>
    <x:row r="520" ht="32" customHeight="1">
      <x:c r="A520" s="30" t="str">
        <x:v>A005</x:v>
      </x:c>
      <x:c r="B520" s="30" t="str">
        <x:v>F112</x:v>
      </x:c>
      <x:c r="C520" s="30" t="str">
        <x:v>platform.busy_until_est_s</x:v>
      </x:c>
      <x:c r="D520" s="30" t="str">
        <x:v>候选输入schema</x:v>
      </x:c>
      <x:c r="E520" s="30" t="str">
        <x:v>按执行角色权限读取；策略只能使用可访问快照</x:v>
      </x:c>
    </x:row>
    <x:row r="521" ht="32" customHeight="1">
      <x:c r="A521" s="30" t="str">
        <x:v>A005</x:v>
      </x:c>
      <x:c r="B521" s="30" t="str">
        <x:v>F113</x:v>
      </x:c>
      <x:c r="C521" s="30" t="str">
        <x:v>platform.return_site_id</x:v>
      </x:c>
      <x:c r="D521" s="30" t="str">
        <x:v>候选输入schema</x:v>
      </x:c>
      <x:c r="E521" s="30" t="str">
        <x:v>按执行角色权限读取；策略只能使用可访问快照</x:v>
      </x:c>
    </x:row>
    <x:row r="522" ht="32" customHeight="1">
      <x:c r="A522" s="30" t="str">
        <x:v>A005</x:v>
      </x:c>
      <x:c r="B522" s="30" t="str">
        <x:v>F114</x:v>
      </x:c>
      <x:c r="C522" s="30" t="str">
        <x:v>platform.water_tolerance_m</x:v>
      </x:c>
      <x:c r="D522" s="30" t="str">
        <x:v>候选输入schema</x:v>
      </x:c>
      <x:c r="E522" s="30" t="str">
        <x:v>按执行角色权限读取；策略只能使用可访问快照</x:v>
      </x:c>
    </x:row>
    <x:row r="523" ht="32" customHeight="1">
      <x:c r="A523" s="30" t="str">
        <x:v>A005</x:v>
      </x:c>
      <x:c r="B523" s="30" t="str">
        <x:v>F115</x:v>
      </x:c>
      <x:c r="C523" s="30" t="str">
        <x:v>platform.concurrency_policy</x:v>
      </x:c>
      <x:c r="D523" s="30" t="str">
        <x:v>候选输入schema</x:v>
      </x:c>
      <x:c r="E523" s="30" t="str">
        <x:v>按执行角色权限读取；策略只能使用可访问快照</x:v>
      </x:c>
    </x:row>
    <x:row r="524" ht="32" customHeight="1">
      <x:c r="A524" s="30" t="str">
        <x:v>A005</x:v>
      </x:c>
      <x:c r="B524" s="30" t="str">
        <x:v>F151</x:v>
      </x:c>
      <x:c r="C524" s="30" t="str">
        <x:v>sensor.modality</x:v>
      </x:c>
      <x:c r="D524" s="30" t="str">
        <x:v>候选输入schema</x:v>
      </x:c>
      <x:c r="E524" s="30" t="str">
        <x:v>按执行角色权限读取；策略只能使用可访问快照</x:v>
      </x:c>
    </x:row>
    <x:row r="525" ht="32" customHeight="1">
      <x:c r="A525" s="30" t="str">
        <x:v>A005</x:v>
      </x:c>
      <x:c r="B525" s="30" t="str">
        <x:v>F152</x:v>
      </x:c>
      <x:c r="C525" s="30" t="str">
        <x:v>sensor.mount_pose</x:v>
      </x:c>
      <x:c r="D525" s="30" t="str">
        <x:v>候选输入schema</x:v>
      </x:c>
      <x:c r="E525" s="30" t="str">
        <x:v>按执行角色权限读取；策略只能使用可访问快照</x:v>
      </x:c>
    </x:row>
    <x:row r="526" ht="32" customHeight="1">
      <x:c r="A526" s="30" t="str">
        <x:v>A005</x:v>
      </x:c>
      <x:c r="B526" s="30" t="str">
        <x:v>F153</x:v>
      </x:c>
      <x:c r="C526" s="30" t="str">
        <x:v>sensor.fov_deg</x:v>
      </x:c>
      <x:c r="D526" s="30" t="str">
        <x:v>候选输入schema</x:v>
      </x:c>
      <x:c r="E526" s="30" t="str">
        <x:v>按执行角色权限读取；策略只能使用可访问快照</x:v>
      </x:c>
    </x:row>
    <x:row r="527" ht="32" customHeight="1">
      <x:c r="A527" s="30" t="str">
        <x:v>A005</x:v>
      </x:c>
      <x:c r="B527" s="30" t="str">
        <x:v>F154</x:v>
      </x:c>
      <x:c r="C527" s="30" t="str">
        <x:v>sensor.resolution</x:v>
      </x:c>
      <x:c r="D527" s="30" t="str">
        <x:v>候选输入schema</x:v>
      </x:c>
      <x:c r="E527" s="30" t="str">
        <x:v>按执行角色权限读取；策略只能使用可访问快照</x:v>
      </x:c>
    </x:row>
    <x:row r="528" ht="32" customHeight="1">
      <x:c r="A528" s="30" t="str">
        <x:v>A005</x:v>
      </x:c>
      <x:c r="B528" s="30" t="str">
        <x:v>F155</x:v>
      </x:c>
      <x:c r="C528" s="30" t="str">
        <x:v>sensor.range_m</x:v>
      </x:c>
      <x:c r="D528" s="30" t="str">
        <x:v>候选输入schema</x:v>
      </x:c>
      <x:c r="E528" s="30" t="str">
        <x:v>按执行角色权限读取；策略只能使用可访问快照</x:v>
      </x:c>
    </x:row>
    <x:row r="529" ht="32" customHeight="1">
      <x:c r="A529" s="30" t="str">
        <x:v>A005</x:v>
      </x:c>
      <x:c r="B529" s="30" t="str">
        <x:v>F156</x:v>
      </x:c>
      <x:c r="C529" s="30" t="str">
        <x:v>sensor.sampling_period_s</x:v>
      </x:c>
      <x:c r="D529" s="30" t="str">
        <x:v>候选输入schema</x:v>
      </x:c>
      <x:c r="E529" s="30" t="str">
        <x:v>按执行角色权限读取；策略只能使用可访问快照</x:v>
      </x:c>
    </x:row>
    <x:row r="530" ht="32" customHeight="1">
      <x:c r="A530" s="30" t="str">
        <x:v>A005</x:v>
      </x:c>
      <x:c r="B530" s="30" t="str">
        <x:v>F157</x:v>
      </x:c>
      <x:c r="C530" s="30" t="str">
        <x:v>sensor.enabled</x:v>
      </x:c>
      <x:c r="D530" s="30" t="str">
        <x:v>候选输入schema</x:v>
      </x:c>
      <x:c r="E530" s="30" t="str">
        <x:v>按执行角色权限读取；策略只能使用可访问快照</x:v>
      </x:c>
    </x:row>
    <x:row r="531" ht="32" customHeight="1">
      <x:c r="A531" s="30" t="str">
        <x:v>A005</x:v>
      </x:c>
      <x:c r="B531" s="30" t="str">
        <x:v>F158</x:v>
      </x:c>
      <x:c r="C531" s="30" t="str">
        <x:v>sensor.health</x:v>
      </x:c>
      <x:c r="D531" s="30" t="str">
        <x:v>候选输入schema</x:v>
      </x:c>
      <x:c r="E531" s="30" t="str">
        <x:v>按执行角色权限读取；策略只能使用可访问快照</x:v>
      </x:c>
    </x:row>
    <x:row r="532" ht="32" customHeight="1">
      <x:c r="A532" s="30" t="str">
        <x:v>A005</x:v>
      </x:c>
      <x:c r="B532" s="30" t="str">
        <x:v>F159</x:v>
      </x:c>
      <x:c r="C532" s="30" t="str">
        <x:v>sensor.exposure</x:v>
      </x:c>
      <x:c r="D532" s="30" t="str">
        <x:v>候选输入schema</x:v>
      </x:c>
      <x:c r="E532" s="30" t="str">
        <x:v>按执行角色权限读取；策略只能使用可访问快照</x:v>
      </x:c>
    </x:row>
    <x:row r="533" ht="32" customHeight="1">
      <x:c r="A533" s="30" t="str">
        <x:v>A005</x:v>
      </x:c>
      <x:c r="B533" s="30" t="str">
        <x:v>F160</x:v>
      </x:c>
      <x:c r="C533" s="30" t="str">
        <x:v>sensor.calibration_id</x:v>
      </x:c>
      <x:c r="D533" s="30" t="str">
        <x:v>候选输入schema</x:v>
      </x:c>
      <x:c r="E533" s="30" t="str">
        <x:v>按执行角色权限读取；策略只能使用可访问快照</x:v>
      </x:c>
    </x:row>
    <x:row r="534" ht="32" customHeight="1">
      <x:c r="A534" s="30" t="str">
        <x:v>A005</x:v>
      </x:c>
      <x:c r="B534" s="30" t="str">
        <x:v>F161</x:v>
      </x:c>
      <x:c r="C534" s="30" t="str">
        <x:v>sensor.gimbal_pose</x:v>
      </x:c>
      <x:c r="D534" s="30" t="str">
        <x:v>候选输入schema</x:v>
      </x:c>
      <x:c r="E534" s="30" t="str">
        <x:v>按执行角色权限读取；策略只能使用可访问快照</x:v>
      </x:c>
    </x:row>
    <x:row r="535" ht="32" customHeight="1">
      <x:c r="A535" s="30" t="str">
        <x:v>A005</x:v>
      </x:c>
      <x:c r="B535" s="30" t="str">
        <x:v>F162</x:v>
      </x:c>
      <x:c r="C535" s="30" t="str">
        <x:v>sensor.capture_state</x:v>
      </x:c>
      <x:c r="D535" s="30" t="str">
        <x:v>候选输入schema</x:v>
      </x:c>
      <x:c r="E535" s="30" t="str">
        <x:v>按执行角色权限读取；策略只能使用可访问快照</x:v>
      </x:c>
    </x:row>
    <x:row r="536" ht="32" customHeight="1">
      <x:c r="A536" s="30" t="str">
        <x:v>A005</x:v>
      </x:c>
      <x:c r="B536" s="30" t="str">
        <x:v>F163</x:v>
      </x:c>
      <x:c r="C536" s="30" t="str">
        <x:v>sensor.noise_model</x:v>
      </x:c>
      <x:c r="D536" s="30" t="str">
        <x:v>候选输入schema</x:v>
      </x:c>
      <x:c r="E536" s="30" t="str">
        <x:v>按执行角色权限读取；策略只能使用可访问快照</x:v>
      </x:c>
    </x:row>
    <x:row r="537" ht="32" customHeight="1">
      <x:c r="A537" s="30" t="str">
        <x:v>A005</x:v>
      </x:c>
      <x:c r="B537" s="30" t="str">
        <x:v>F164</x:v>
      </x:c>
      <x:c r="C537" s="30" t="str">
        <x:v>sensor.blind_zone</x:v>
      </x:c>
      <x:c r="D537" s="30" t="str">
        <x:v>候选输入schema</x:v>
      </x:c>
      <x:c r="E537" s="30" t="str">
        <x:v>按执行角色权限读取；策略只能使用可访问快照</x:v>
      </x:c>
    </x:row>
    <x:row r="538" ht="32" customHeight="1">
      <x:c r="A538" s="30" t="str">
        <x:v>A005</x:v>
      </x:c>
      <x:c r="B538" s="30" t="str">
        <x:v>F165</x:v>
      </x:c>
      <x:c r="C538" s="30" t="str">
        <x:v>sensor.last_capture_s</x:v>
      </x:c>
      <x:c r="D538" s="30" t="str">
        <x:v>候选输入schema</x:v>
      </x:c>
      <x:c r="E538" s="30" t="str">
        <x:v>按执行角色权限读取；策略只能使用可访问快照</x:v>
      </x:c>
    </x:row>
    <x:row r="539" ht="32" customHeight="1">
      <x:c r="A539" s="30" t="str">
        <x:v>A005</x:v>
      </x:c>
      <x:c r="B539" s="30" t="str">
        <x:v>F230</x:v>
      </x:c>
      <x:c r="C539" s="30" t="str">
        <x:v>action.type</x:v>
      </x:c>
      <x:c r="D539" s="30" t="str">
        <x:v>候选输入schema</x:v>
      </x:c>
      <x:c r="E539" s="30" t="str">
        <x:v>按执行角色权限读取；策略只能使用可访问快照</x:v>
      </x:c>
    </x:row>
    <x:row r="540" ht="32" customHeight="1">
      <x:c r="A540" s="30" t="str">
        <x:v>A005</x:v>
      </x:c>
      <x:c r="B540" s="30" t="str">
        <x:v>F231</x:v>
      </x:c>
      <x:c r="C540" s="30" t="str">
        <x:v>action.executor_id</x:v>
      </x:c>
      <x:c r="D540" s="30" t="str">
        <x:v>候选输入schema</x:v>
      </x:c>
      <x:c r="E540" s="30" t="str">
        <x:v>按执行角色权限读取；策略只能使用可访问快照</x:v>
      </x:c>
    </x:row>
    <x:row r="541" ht="32" customHeight="1">
      <x:c r="A541" s="30" t="str">
        <x:v>A005</x:v>
      </x:c>
      <x:c r="B541" s="30" t="str">
        <x:v>F232</x:v>
      </x:c>
      <x:c r="C541" s="30" t="str">
        <x:v>action.task_ref</x:v>
      </x:c>
      <x:c r="D541" s="30" t="str">
        <x:v>候选输入schema</x:v>
      </x:c>
      <x:c r="E541" s="30" t="str">
        <x:v>按执行角色权限读取；策略只能使用可访问快照</x:v>
      </x:c>
    </x:row>
    <x:row r="542" ht="32" customHeight="1">
      <x:c r="A542" s="30" t="str">
        <x:v>A005</x:v>
      </x:c>
      <x:c r="B542" s="30" t="str">
        <x:v>F233</x:v>
      </x:c>
      <x:c r="C542" s="30" t="str">
        <x:v>action.target_ref</x:v>
      </x:c>
      <x:c r="D542" s="30" t="str">
        <x:v>候选输入schema</x:v>
      </x:c>
      <x:c r="E542" s="30" t="str">
        <x:v>按执行角色权限读取；策略只能使用可访问快照</x:v>
      </x:c>
    </x:row>
    <x:row r="543" ht="32" customHeight="1">
      <x:c r="A543" s="30" t="str">
        <x:v>A005</x:v>
      </x:c>
      <x:c r="B543" s="30" t="str">
        <x:v>F234</x:v>
      </x:c>
      <x:c r="C543" s="30" t="str">
        <x:v>action.parameters</x:v>
      </x:c>
      <x:c r="D543" s="30" t="str">
        <x:v>候选输入schema</x:v>
      </x:c>
      <x:c r="E543" s="30" t="str">
        <x:v>按执行角色权限读取；策略只能使用可访问快照</x:v>
      </x:c>
    </x:row>
    <x:row r="544" ht="32" customHeight="1">
      <x:c r="A544" s="30" t="str">
        <x:v>A005</x:v>
      </x:c>
      <x:c r="B544" s="30" t="str">
        <x:v>F235</x:v>
      </x:c>
      <x:c r="C544" s="30" t="str">
        <x:v>action.status</x:v>
      </x:c>
      <x:c r="D544" s="30" t="str">
        <x:v>候选输入schema</x:v>
      </x:c>
      <x:c r="E544" s="30" t="str">
        <x:v>按执行角色权限读取；策略只能使用可访问快照</x:v>
      </x:c>
    </x:row>
    <x:row r="545" ht="32" customHeight="1">
      <x:c r="A545" s="30" t="str">
        <x:v>A005</x:v>
      </x:c>
      <x:c r="B545" s="30" t="str">
        <x:v>F236</x:v>
      </x:c>
      <x:c r="C545" s="30" t="str">
        <x:v>action.start_s</x:v>
      </x:c>
      <x:c r="D545" s="30" t="str">
        <x:v>候选输入schema</x:v>
      </x:c>
      <x:c r="E545" s="30" t="str">
        <x:v>按执行角色权限读取；策略只能使用可访问快照</x:v>
      </x:c>
    </x:row>
    <x:row r="546" ht="32" customHeight="1">
      <x:c r="A546" s="30" t="str">
        <x:v>A005</x:v>
      </x:c>
      <x:c r="B546" s="30" t="str">
        <x:v>F237</x:v>
      </x:c>
      <x:c r="C546" s="30" t="str">
        <x:v>action.finish_s</x:v>
      </x:c>
      <x:c r="D546" s="30" t="str">
        <x:v>候选输入schema</x:v>
      </x:c>
      <x:c r="E546" s="30" t="str">
        <x:v>按执行角色权限读取；策略只能使用可访问快照</x:v>
      </x:c>
    </x:row>
    <x:row r="547" ht="32" customHeight="1">
      <x:c r="A547" s="30" t="str">
        <x:v>A005</x:v>
      </x:c>
      <x:c r="B547" s="30" t="str">
        <x:v>F238</x:v>
      </x:c>
      <x:c r="C547" s="30" t="str">
        <x:v>action.reserved_resources</x:v>
      </x:c>
      <x:c r="D547" s="30" t="str">
        <x:v>候选输入schema</x:v>
      </x:c>
      <x:c r="E547" s="30" t="str">
        <x:v>按执行角色权限读取；策略只能使用可访问快照</x:v>
      </x:c>
    </x:row>
    <x:row r="548" ht="32" customHeight="1">
      <x:c r="A548" s="30" t="str">
        <x:v>A005</x:v>
      </x:c>
      <x:c r="B548" s="30" t="str">
        <x:v>F239</x:v>
      </x:c>
      <x:c r="C548" s="30" t="str">
        <x:v>action.consumed_resources</x:v>
      </x:c>
      <x:c r="D548" s="30" t="str">
        <x:v>候选输入schema</x:v>
      </x:c>
      <x:c r="E548" s="30" t="str">
        <x:v>按执行角色权限读取；策略只能使用可访问快照</x:v>
      </x:c>
    </x:row>
    <x:row r="549" ht="32" customHeight="1">
      <x:c r="A549" s="30" t="str">
        <x:v>A005</x:v>
      </x:c>
      <x:c r="B549" s="30" t="str">
        <x:v>F240</x:v>
      </x:c>
      <x:c r="C549" s="30" t="str">
        <x:v>action.feedback</x:v>
      </x:c>
      <x:c r="D549" s="30" t="str">
        <x:v>候选输入schema</x:v>
      </x:c>
      <x:c r="E549" s="30" t="str">
        <x:v>按执行角色权限读取；策略只能使用可访问快照</x:v>
      </x:c>
    </x:row>
    <x:row r="550" ht="32" customHeight="1">
      <x:c r="A550" s="30" t="str">
        <x:v>A005</x:v>
      </x:c>
      <x:c r="B550" s="30" t="str">
        <x:v>F241</x:v>
      </x:c>
      <x:c r="C550" s="30" t="str">
        <x:v>action.result</x:v>
      </x:c>
      <x:c r="D550" s="30" t="str">
        <x:v>候选输入schema</x:v>
      </x:c>
      <x:c r="E550" s="30" t="str">
        <x:v>按执行角色权限读取；策略只能使用可访问快照</x:v>
      </x:c>
    </x:row>
    <x:row r="551" ht="32" customHeight="1">
      <x:c r="A551" s="30" t="str">
        <x:v>A005</x:v>
      </x:c>
      <x:c r="B551" s="30" t="str">
        <x:v>F242</x:v>
      </x:c>
      <x:c r="C551" s="30" t="str">
        <x:v>action.rejection_code</x:v>
      </x:c>
      <x:c r="D551" s="30" t="str">
        <x:v>候选输入schema</x:v>
      </x:c>
      <x:c r="E551" s="30" t="str">
        <x:v>按执行角色权限读取；策略只能使用可访问快照</x:v>
      </x:c>
    </x:row>
    <x:row r="552" ht="32" customHeight="1">
      <x:c r="A552" s="30" t="str">
        <x:v>A005</x:v>
      </x:c>
      <x:c r="B552" s="30" t="str">
        <x:v>F243</x:v>
      </x:c>
      <x:c r="C552" s="30" t="str">
        <x:v>action.failure_code</x:v>
      </x:c>
      <x:c r="D552" s="30" t="str">
        <x:v>候选输入schema</x:v>
      </x:c>
      <x:c r="E552" s="30" t="str">
        <x:v>按执行角色权限读取；策略只能使用可访问快照</x:v>
      </x:c>
    </x:row>
    <x:row r="553" ht="32" customHeight="1">
      <x:c r="A553" s="30" t="str">
        <x:v>A005</x:v>
      </x:c>
      <x:c r="B553" s="30" t="str">
        <x:v>F244</x:v>
      </x:c>
      <x:c r="C553" s="30" t="str">
        <x:v>action.cancel_requested</x:v>
      </x:c>
      <x:c r="D553" s="30" t="str">
        <x:v>候选输入schema</x:v>
      </x:c>
      <x:c r="E553" s="30" t="str">
        <x:v>按执行角色权限读取；策略只能使用可访问快照</x:v>
      </x:c>
    </x:row>
    <x:row r="554" ht="32" customHeight="1">
      <x:c r="A554" s="30" t="str">
        <x:v>A005</x:v>
      </x:c>
      <x:c r="B554" s="30" t="str">
        <x:v>F245</x:v>
      </x:c>
      <x:c r="C554" s="30" t="str">
        <x:v>action.backend_mode</x:v>
      </x:c>
      <x:c r="D554" s="30" t="str">
        <x:v>候选输入schema</x:v>
      </x:c>
      <x:c r="E554" s="30" t="str">
        <x:v>按执行角色权限读取；策略只能使用可访问快照</x:v>
      </x:c>
    </x:row>
    <x:row r="555" ht="32" customHeight="1">
      <x:c r="A555" s="30" t="str">
        <x:v>A005</x:v>
      </x:c>
      <x:c r="B555" s="30" t="str">
        <x:v>F162</x:v>
      </x:c>
      <x:c r="C555" s="30" t="str">
        <x:v>sensor.capture_state</x:v>
      </x:c>
      <x:c r="D555" s="30" t="str">
        <x:v>直接效果</x:v>
      </x:c>
      <x:c r="E555" s="30" t="str">
        <x:v>经实际执行/回执提交；不是规划时提前修改</x:v>
      </x:c>
    </x:row>
    <x:row r="556" ht="32" customHeight="1">
      <x:c r="A556" s="30" t="str">
        <x:v>A005</x:v>
      </x:c>
      <x:c r="B556" s="30" t="str">
        <x:v>F165</x:v>
      </x:c>
      <x:c r="C556" s="30" t="str">
        <x:v>sensor.last_capture_s</x:v>
      </x:c>
      <x:c r="D556" s="30" t="str">
        <x:v>直接效果</x:v>
      </x:c>
      <x:c r="E556" s="30" t="str">
        <x:v>经实际执行/回执提交；不是规划时提前修改</x:v>
      </x:c>
    </x:row>
    <x:row r="557" ht="32" customHeight="1">
      <x:c r="A557" s="30" t="str">
        <x:v>A005</x:v>
      </x:c>
      <x:c r="B557" s="30" t="str">
        <x:v>F170</x:v>
      </x:c>
      <x:c r="C557" s="30" t="str">
        <x:v>observation.payload_ref</x:v>
      </x:c>
      <x:c r="D557" s="30" t="str">
        <x:v>直接效果</x:v>
      </x:c>
      <x:c r="E557" s="30" t="str">
        <x:v>经实际执行/回执提交；不是规划时提前修改</x:v>
      </x:c>
    </x:row>
    <x:row r="558" ht="32" customHeight="1">
      <x:c r="A558" s="30" t="str">
        <x:v>A005</x:v>
      </x:c>
      <x:c r="B558" s="30" t="str">
        <x:v>F168</x:v>
      </x:c>
      <x:c r="C558" s="30" t="str">
        <x:v>observation.captured_at_s</x:v>
      </x:c>
      <x:c r="D558" s="30" t="str">
        <x:v>直接效果</x:v>
      </x:c>
      <x:c r="E558" s="30" t="str">
        <x:v>经实际执行/回执提交；不是规划时提前修改</x:v>
      </x:c>
    </x:row>
    <x:row r="559" ht="32" customHeight="1">
      <x:c r="A559" s="30" t="str">
        <x:v>A005</x:v>
      </x:c>
      <x:c r="B559" s="30" t="str">
        <x:v>F169</x:v>
      </x:c>
      <x:c r="C559" s="30" t="str">
        <x:v>observation.pose_estimate</x:v>
      </x:c>
      <x:c r="D559" s="30" t="str">
        <x:v>直接效果</x:v>
      </x:c>
      <x:c r="E559" s="30" t="str">
        <x:v>经实际执行/回执提交；不是规划时提前修改</x:v>
      </x:c>
    </x:row>
    <x:row r="560" ht="32" customHeight="1">
      <x:c r="A560" s="30" t="str">
        <x:v>A006</x:v>
      </x:c>
      <x:c r="B560" s="30" t="str">
        <x:v>F166</x:v>
      </x:c>
      <x:c r="C560" s="30" t="str">
        <x:v>observation.observer_id</x:v>
      </x:c>
      <x:c r="D560" s="30" t="str">
        <x:v>候选输入schema</x:v>
      </x:c>
      <x:c r="E560" s="30" t="str">
        <x:v>按执行角色权限读取；策略只能使用可访问快照</x:v>
      </x:c>
    </x:row>
    <x:row r="561" ht="32" customHeight="1">
      <x:c r="A561" s="30" t="str">
        <x:v>A006</x:v>
      </x:c>
      <x:c r="B561" s="30" t="str">
        <x:v>F167</x:v>
      </x:c>
      <x:c r="C561" s="30" t="str">
        <x:v>observation.sensor_id</x:v>
      </x:c>
      <x:c r="D561" s="30" t="str">
        <x:v>候选输入schema</x:v>
      </x:c>
      <x:c r="E561" s="30" t="str">
        <x:v>按执行角色权限读取；策略只能使用可访问快照</x:v>
      </x:c>
    </x:row>
    <x:row r="562" ht="32" customHeight="1">
      <x:c r="A562" s="30" t="str">
        <x:v>A006</x:v>
      </x:c>
      <x:c r="B562" s="30" t="str">
        <x:v>F168</x:v>
      </x:c>
      <x:c r="C562" s="30" t="str">
        <x:v>observation.captured_at_s</x:v>
      </x:c>
      <x:c r="D562" s="30" t="str">
        <x:v>候选输入schema</x:v>
      </x:c>
      <x:c r="E562" s="30" t="str">
        <x:v>按执行角色权限读取；策略只能使用可访问快照</x:v>
      </x:c>
    </x:row>
    <x:row r="563" ht="32" customHeight="1">
      <x:c r="A563" s="30" t="str">
        <x:v>A006</x:v>
      </x:c>
      <x:c r="B563" s="30" t="str">
        <x:v>F169</x:v>
      </x:c>
      <x:c r="C563" s="30" t="str">
        <x:v>observation.pose_estimate</x:v>
      </x:c>
      <x:c r="D563" s="30" t="str">
        <x:v>候选输入schema</x:v>
      </x:c>
      <x:c r="E563" s="30" t="str">
        <x:v>按执行角色权限读取；策略只能使用可访问快照</x:v>
      </x:c>
    </x:row>
    <x:row r="564" ht="32" customHeight="1">
      <x:c r="A564" s="30" t="str">
        <x:v>A006</x:v>
      </x:c>
      <x:c r="B564" s="30" t="str">
        <x:v>F170</x:v>
      </x:c>
      <x:c r="C564" s="30" t="str">
        <x:v>observation.payload_ref</x:v>
      </x:c>
      <x:c r="D564" s="30" t="str">
        <x:v>候选输入schema</x:v>
      </x:c>
      <x:c r="E564" s="30" t="str">
        <x:v>按执行角色权限读取；策略只能使用可访问快照</x:v>
      </x:c>
    </x:row>
    <x:row r="565" ht="32" customHeight="1">
      <x:c r="A565" s="30" t="str">
        <x:v>A006</x:v>
      </x:c>
      <x:c r="B565" s="30" t="str">
        <x:v>F171</x:v>
      </x:c>
      <x:c r="C565" s="30" t="str">
        <x:v>observation.payload_bytes</x:v>
      </x:c>
      <x:c r="D565" s="30" t="str">
        <x:v>候选输入schema</x:v>
      </x:c>
      <x:c r="E565" s="30" t="str">
        <x:v>按执行角色权限读取；策略只能使用可访问快照</x:v>
      </x:c>
    </x:row>
    <x:row r="566" ht="32" customHeight="1">
      <x:c r="A566" s="30" t="str">
        <x:v>A006</x:v>
      </x:c>
      <x:c r="B566" s="30" t="str">
        <x:v>F172</x:v>
      </x:c>
      <x:c r="C566" s="30" t="str">
        <x:v>observation.content_hash</x:v>
      </x:c>
      <x:c r="D566" s="30" t="str">
        <x:v>候选输入schema</x:v>
      </x:c>
      <x:c r="E566" s="30" t="str">
        <x:v>按执行角色权限读取；策略只能使用可访问快照</x:v>
      </x:c>
    </x:row>
    <x:row r="567" ht="32" customHeight="1">
      <x:c r="A567" s="30" t="str">
        <x:v>A006</x:v>
      </x:c>
      <x:c r="B567" s="30" t="str">
        <x:v>F173</x:v>
      </x:c>
      <x:c r="C567" s="30" t="str">
        <x:v>observation.modality</x:v>
      </x:c>
      <x:c r="D567" s="30" t="str">
        <x:v>候选输入schema</x:v>
      </x:c>
      <x:c r="E567" s="30" t="str">
        <x:v>按执行角色权限读取；策略只能使用可访问快照</x:v>
      </x:c>
    </x:row>
    <x:row r="568" ht="32" customHeight="1">
      <x:c r="A568" s="30" t="str">
        <x:v>A006</x:v>
      </x:c>
      <x:c r="B568" s="30" t="str">
        <x:v>F174</x:v>
      </x:c>
      <x:c r="C568" s="30" t="str">
        <x:v>observation.detections</x:v>
      </x:c>
      <x:c r="D568" s="30" t="str">
        <x:v>候选输入schema</x:v>
      </x:c>
      <x:c r="E568" s="30" t="str">
        <x:v>按执行角色权限读取；策略只能使用可访问快照</x:v>
      </x:c>
    </x:row>
    <x:row r="569" ht="32" customHeight="1">
      <x:c r="A569" s="30" t="str">
        <x:v>A006</x:v>
      </x:c>
      <x:c r="B569" s="30" t="str">
        <x:v>F175</x:v>
      </x:c>
      <x:c r="C569" s="30" t="str">
        <x:v>observation.confidence</x:v>
      </x:c>
      <x:c r="D569" s="30" t="str">
        <x:v>候选输入schema</x:v>
      </x:c>
      <x:c r="E569" s="30" t="str">
        <x:v>按执行角色权限读取；策略只能使用可访问快照</x:v>
      </x:c>
    </x:row>
    <x:row r="570" ht="32" customHeight="1">
      <x:c r="A570" s="30" t="str">
        <x:v>A006</x:v>
      </x:c>
      <x:c r="B570" s="30" t="str">
        <x:v>F176</x:v>
      </x:c>
      <x:c r="C570" s="30" t="str">
        <x:v>observation.coverage_estimate</x:v>
      </x:c>
      <x:c r="D570" s="30" t="str">
        <x:v>候选输入schema</x:v>
      </x:c>
      <x:c r="E570" s="30" t="str">
        <x:v>按执行角色权限读取；策略只能使用可访问快照</x:v>
      </x:c>
    </x:row>
    <x:row r="571" ht="32" customHeight="1">
      <x:c r="A571" s="30" t="str">
        <x:v>A006</x:v>
      </x:c>
      <x:c r="B571" s="30" t="str">
        <x:v>F177</x:v>
      </x:c>
      <x:c r="C571" s="30" t="str">
        <x:v>observation.processing_job_id</x:v>
      </x:c>
      <x:c r="D571" s="30" t="str">
        <x:v>候选输入schema</x:v>
      </x:c>
      <x:c r="E571" s="30" t="str">
        <x:v>按执行角色权限读取；策略只能使用可访问快照</x:v>
      </x:c>
    </x:row>
    <x:row r="572" ht="32" customHeight="1">
      <x:c r="A572" s="30" t="str">
        <x:v>A006</x:v>
      </x:c>
      <x:c r="B572" s="30" t="str">
        <x:v>F178</x:v>
      </x:c>
      <x:c r="C572" s="30" t="str">
        <x:v>observation.parent_evidence_ids</x:v>
      </x:c>
      <x:c r="D572" s="30" t="str">
        <x:v>候选输入schema</x:v>
      </x:c>
      <x:c r="E572" s="30" t="str">
        <x:v>按执行角色权限读取；策略只能使用可访问快照</x:v>
      </x:c>
    </x:row>
    <x:row r="573" ht="32" customHeight="1">
      <x:c r="A573" s="30" t="str">
        <x:v>A006</x:v>
      </x:c>
      <x:c r="B573" s="30" t="str">
        <x:v>F179</x:v>
      </x:c>
      <x:c r="C573" s="30" t="str">
        <x:v>observation.valid_until_s</x:v>
      </x:c>
      <x:c r="D573" s="30" t="str">
        <x:v>候选输入schema</x:v>
      </x:c>
      <x:c r="E573" s="30" t="str">
        <x:v>按执行角色权限读取；策略只能使用可访问快照</x:v>
      </x:c>
    </x:row>
    <x:row r="574" ht="32" customHeight="1">
      <x:c r="A574" s="30" t="str">
        <x:v>A006</x:v>
      </x:c>
      <x:c r="B574" s="30" t="str">
        <x:v>F180</x:v>
      </x:c>
      <x:c r="C574" s="30" t="str">
        <x:v>observation.mode</x:v>
      </x:c>
      <x:c r="D574" s="30" t="str">
        <x:v>候选输入schema</x:v>
      </x:c>
      <x:c r="E574" s="30" t="str">
        <x:v>按执行角色权限读取；策略只能使用可访问快照</x:v>
      </x:c>
    </x:row>
    <x:row r="575" ht="32" customHeight="1">
      <x:c r="A575" s="30" t="str">
        <x:v>A006</x:v>
      </x:c>
      <x:c r="B575" s="30" t="str">
        <x:v>F196</x:v>
      </x:c>
      <x:c r="C575" s="30" t="str">
        <x:v>task.type</x:v>
      </x:c>
      <x:c r="D575" s="30" t="str">
        <x:v>候选输入schema</x:v>
      </x:c>
      <x:c r="E575" s="30" t="str">
        <x:v>按执行角色权限读取；策略只能使用可访问快照</x:v>
      </x:c>
    </x:row>
    <x:row r="576" ht="32" customHeight="1">
      <x:c r="A576" s="30" t="str">
        <x:v>A006</x:v>
      </x:c>
      <x:c r="B576" s="30" t="str">
        <x:v>F197</x:v>
      </x:c>
      <x:c r="C576" s="30" t="str">
        <x:v>task.creator_id</x:v>
      </x:c>
      <x:c r="D576" s="30" t="str">
        <x:v>候选输入schema</x:v>
      </x:c>
      <x:c r="E576" s="30" t="str">
        <x:v>按执行角色权限读取；策略只能使用可访问快照</x:v>
      </x:c>
    </x:row>
    <x:row r="577" ht="32" customHeight="1">
      <x:c r="A577" s="30" t="str">
        <x:v>A006</x:v>
      </x:c>
      <x:c r="B577" s="30" t="str">
        <x:v>F198</x:v>
      </x:c>
      <x:c r="C577" s="30" t="str">
        <x:v>task.target_ref</x:v>
      </x:c>
      <x:c r="D577" s="30" t="str">
        <x:v>候选输入schema</x:v>
      </x:c>
      <x:c r="E577" s="30" t="str">
        <x:v>按执行角色权限读取；策略只能使用可访问快照</x:v>
      </x:c>
    </x:row>
    <x:row r="578" ht="32" customHeight="1">
      <x:c r="A578" s="30" t="str">
        <x:v>A006</x:v>
      </x:c>
      <x:c r="B578" s="30" t="str">
        <x:v>F199</x:v>
      </x:c>
      <x:c r="C578" s="30" t="str">
        <x:v>task.goal_predicate</x:v>
      </x:c>
      <x:c r="D578" s="30" t="str">
        <x:v>候选输入schema</x:v>
      </x:c>
      <x:c r="E578" s="30" t="str">
        <x:v>按执行角色权限读取；策略只能使用可访问快照</x:v>
      </x:c>
    </x:row>
    <x:row r="579" ht="32" customHeight="1">
      <x:c r="A579" s="30" t="str">
        <x:v>A006</x:v>
      </x:c>
      <x:c r="B579" s="30" t="str">
        <x:v>F200</x:v>
      </x:c>
      <x:c r="C579" s="30" t="str">
        <x:v>task.revision</x:v>
      </x:c>
      <x:c r="D579" s="30" t="str">
        <x:v>候选输入schema</x:v>
      </x:c>
      <x:c r="E579" s="30" t="str">
        <x:v>按执行角色权限读取；策略只能使用可访问快照</x:v>
      </x:c>
    </x:row>
    <x:row r="580" ht="32" customHeight="1">
      <x:c r="A580" s="30" t="str">
        <x:v>A006</x:v>
      </x:c>
      <x:c r="B580" s="30" t="str">
        <x:v>F201</x:v>
      </x:c>
      <x:c r="C580" s="30" t="str">
        <x:v>task.status</x:v>
      </x:c>
      <x:c r="D580" s="30" t="str">
        <x:v>候选输入schema</x:v>
      </x:c>
      <x:c r="E580" s="30" t="str">
        <x:v>按执行角色权限读取；策略只能使用可访问快照</x:v>
      </x:c>
    </x:row>
    <x:row r="581" ht="32" customHeight="1">
      <x:c r="A581" s="30" t="str">
        <x:v>A006</x:v>
      </x:c>
      <x:c r="B581" s="30" t="str">
        <x:v>F202</x:v>
      </x:c>
      <x:c r="C581" s="30" t="str">
        <x:v>task.priority</x:v>
      </x:c>
      <x:c r="D581" s="30" t="str">
        <x:v>候选输入schema</x:v>
      </x:c>
      <x:c r="E581" s="30" t="str">
        <x:v>按执行角色权限读取；策略只能使用可访问快照</x:v>
      </x:c>
    </x:row>
    <x:row r="582" ht="32" customHeight="1">
      <x:c r="A582" s="30" t="str">
        <x:v>A006</x:v>
      </x:c>
      <x:c r="B582" s="30" t="str">
        <x:v>F203</x:v>
      </x:c>
      <x:c r="C582" s="30" t="str">
        <x:v>task.deadline_s</x:v>
      </x:c>
      <x:c r="D582" s="30" t="str">
        <x:v>候选输入schema</x:v>
      </x:c>
      <x:c r="E582" s="30" t="str">
        <x:v>按执行角色权限读取；策略只能使用可访问快照</x:v>
      </x:c>
    </x:row>
    <x:row r="583" ht="32" customHeight="1">
      <x:c r="A583" s="30" t="str">
        <x:v>A006</x:v>
      </x:c>
      <x:c r="B583" s="30" t="str">
        <x:v>F204</x:v>
      </x:c>
      <x:c r="C583" s="30" t="str">
        <x:v>task.dependency_ids</x:v>
      </x:c>
      <x:c r="D583" s="30" t="str">
        <x:v>候选输入schema</x:v>
      </x:c>
      <x:c r="E583" s="30" t="str">
        <x:v>按执行角色权限读取；策略只能使用可访问快照</x:v>
      </x:c>
    </x:row>
    <x:row r="584" ht="32" customHeight="1">
      <x:c r="A584" s="30" t="str">
        <x:v>A006</x:v>
      </x:c>
      <x:c r="B584" s="30" t="str">
        <x:v>F205</x:v>
      </x:c>
      <x:c r="C584" s="30" t="str">
        <x:v>task.required_capability_ids</x:v>
      </x:c>
      <x:c r="D584" s="30" t="str">
        <x:v>候选输入schema</x:v>
      </x:c>
      <x:c r="E584" s="30" t="str">
        <x:v>按执行角色权限读取；策略只能使用可访问快照</x:v>
      </x:c>
    </x:row>
    <x:row r="585" ht="32" customHeight="1">
      <x:c r="A585" s="30" t="str">
        <x:v>A006</x:v>
      </x:c>
      <x:c r="B585" s="30" t="str">
        <x:v>F206</x:v>
      </x:c>
      <x:c r="C585" s="30" t="str">
        <x:v>task.resource_budget</x:v>
      </x:c>
      <x:c r="D585" s="30" t="str">
        <x:v>候选输入schema</x:v>
      </x:c>
      <x:c r="E585" s="30" t="str">
        <x:v>按执行角色权限读取；策略只能使用可访问快照</x:v>
      </x:c>
    </x:row>
    <x:row r="586" ht="32" customHeight="1">
      <x:c r="A586" s="30" t="str">
        <x:v>A006</x:v>
      </x:c>
      <x:c r="B586" s="30" t="str">
        <x:v>F207</x:v>
      </x:c>
      <x:c r="C586" s="30" t="str">
        <x:v>task.assigned_to</x:v>
      </x:c>
      <x:c r="D586" s="30" t="str">
        <x:v>候选输入schema</x:v>
      </x:c>
      <x:c r="E586" s="30" t="str">
        <x:v>按执行角色权限读取；策略只能使用可访问快照</x:v>
      </x:c>
    </x:row>
    <x:row r="587" ht="32" customHeight="1">
      <x:c r="A587" s="30" t="str">
        <x:v>A006</x:v>
      </x:c>
      <x:c r="B587" s="30" t="str">
        <x:v>F208</x:v>
      </x:c>
      <x:c r="C587" s="30" t="str">
        <x:v>task.accepted_by</x:v>
      </x:c>
      <x:c r="D587" s="30" t="str">
        <x:v>候选输入schema</x:v>
      </x:c>
      <x:c r="E587" s="30" t="str">
        <x:v>按执行角色权限读取；策略只能使用可访问快照</x:v>
      </x:c>
    </x:row>
    <x:row r="588" ht="32" customHeight="1">
      <x:c r="A588" s="30" t="str">
        <x:v>A006</x:v>
      </x:c>
      <x:c r="B588" s="30" t="str">
        <x:v>F209</x:v>
      </x:c>
      <x:c r="C588" s="30" t="str">
        <x:v>task.commitment_window</x:v>
      </x:c>
      <x:c r="D588" s="30" t="str">
        <x:v>候选输入schema</x:v>
      </x:c>
      <x:c r="E588" s="30" t="str">
        <x:v>按执行角色权限读取；策略只能使用可访问快照</x:v>
      </x:c>
    </x:row>
    <x:row r="589" ht="32" customHeight="1">
      <x:c r="A589" s="30" t="str">
        <x:v>A006</x:v>
      </x:c>
      <x:c r="B589" s="30" t="str">
        <x:v>F210</x:v>
      </x:c>
      <x:c r="C589" s="30" t="str">
        <x:v>task.progress</x:v>
      </x:c>
      <x:c r="D589" s="30" t="str">
        <x:v>候选输入schema</x:v>
      </x:c>
      <x:c r="E589" s="30" t="str">
        <x:v>按执行角色权限读取；策略只能使用可访问快照</x:v>
      </x:c>
    </x:row>
    <x:row r="590" ht="32" customHeight="1">
      <x:c r="A590" s="30" t="str">
        <x:v>A006</x:v>
      </x:c>
      <x:c r="B590" s="30" t="str">
        <x:v>F211</x:v>
      </x:c>
      <x:c r="C590" s="30" t="str">
        <x:v>task.active_action_ids</x:v>
      </x:c>
      <x:c r="D590" s="30" t="str">
        <x:v>候选输入schema</x:v>
      </x:c>
      <x:c r="E590" s="30" t="str">
        <x:v>按执行角色权限读取；策略只能使用可访问快照</x:v>
      </x:c>
    </x:row>
    <x:row r="591" ht="32" customHeight="1">
      <x:c r="A591" s="30" t="str">
        <x:v>A006</x:v>
      </x:c>
      <x:c r="B591" s="30" t="str">
        <x:v>F212</x:v>
      </x:c>
      <x:c r="C591" s="30" t="str">
        <x:v>task.interruptibility</x:v>
      </x:c>
      <x:c r="D591" s="30" t="str">
        <x:v>候选输入schema</x:v>
      </x:c>
      <x:c r="E591" s="30" t="str">
        <x:v>按执行角色权限读取；策略只能使用可访问快照</x:v>
      </x:c>
    </x:row>
    <x:row r="592" ht="32" customHeight="1">
      <x:c r="A592" s="30" t="str">
        <x:v>A006</x:v>
      </x:c>
      <x:c r="B592" s="30" t="str">
        <x:v>F213</x:v>
      </x:c>
      <x:c r="C592" s="30" t="str">
        <x:v>task.original_task_id</x:v>
      </x:c>
      <x:c r="D592" s="30" t="str">
        <x:v>候选输入schema</x:v>
      </x:c>
      <x:c r="E592" s="30" t="str">
        <x:v>按执行角色权限读取；策略只能使用可访问快照</x:v>
      </x:c>
    </x:row>
    <x:row r="593" ht="32" customHeight="1">
      <x:c r="A593" s="30" t="str">
        <x:v>A006</x:v>
      </x:c>
      <x:c r="B593" s="30" t="str">
        <x:v>F214</x:v>
      </x:c>
      <x:c r="C593" s="30" t="str">
        <x:v>task.resume_checkpoint</x:v>
      </x:c>
      <x:c r="D593" s="30" t="str">
        <x:v>候选输入schema</x:v>
      </x:c>
      <x:c r="E593" s="30" t="str">
        <x:v>按执行角色权限读取；策略只能使用可访问快照</x:v>
      </x:c>
    </x:row>
    <x:row r="594" ht="32" customHeight="1">
      <x:c r="A594" s="30" t="str">
        <x:v>A006</x:v>
      </x:c>
      <x:c r="B594" s="30" t="str">
        <x:v>F215</x:v>
      </x:c>
      <x:c r="C594" s="30" t="str">
        <x:v>task.handoff_target_id</x:v>
      </x:c>
      <x:c r="D594" s="30" t="str">
        <x:v>候选输入schema</x:v>
      </x:c>
      <x:c r="E594" s="30" t="str">
        <x:v>按执行角色权限读取；策略只能使用可访问快照</x:v>
      </x:c>
    </x:row>
    <x:row r="595" ht="32" customHeight="1">
      <x:c r="A595" s="30" t="str">
        <x:v>A006</x:v>
      </x:c>
      <x:c r="B595" s="30" t="str">
        <x:v>F216</x:v>
      </x:c>
      <x:c r="C595" s="30" t="str">
        <x:v>task.result_evidence_ids</x:v>
      </x:c>
      <x:c r="D595" s="30" t="str">
        <x:v>候选输入schema</x:v>
      </x:c>
      <x:c r="E595" s="30" t="str">
        <x:v>按执行角色权限读取；策略只能使用可访问快照</x:v>
      </x:c>
    </x:row>
    <x:row r="596" ht="32" customHeight="1">
      <x:c r="A596" s="30" t="str">
        <x:v>A006</x:v>
      </x:c>
      <x:c r="B596" s="30" t="str">
        <x:v>F217</x:v>
      </x:c>
      <x:c r="C596" s="30" t="str">
        <x:v>task.failure_reason</x:v>
      </x:c>
      <x:c r="D596" s="30" t="str">
        <x:v>候选输入schema</x:v>
      </x:c>
      <x:c r="E596" s="30" t="str">
        <x:v>按执行角色权限读取；策略只能使用可访问快照</x:v>
      </x:c>
    </x:row>
    <x:row r="597" ht="32" customHeight="1">
      <x:c r="A597" s="30" t="str">
        <x:v>A006</x:v>
      </x:c>
      <x:c r="B597" s="30" t="str">
        <x:v>F218</x:v>
      </x:c>
      <x:c r="C597" s="30" t="str">
        <x:v>task.last_event_s</x:v>
      </x:c>
      <x:c r="D597" s="30" t="str">
        <x:v>候选输入schema</x:v>
      </x:c>
      <x:c r="E597" s="30" t="str">
        <x:v>按执行角色权限读取；策略只能使用可访问快照</x:v>
      </x:c>
    </x:row>
    <x:row r="598" ht="32" customHeight="1">
      <x:c r="A598" s="30" t="str">
        <x:v>A006</x:v>
      </x:c>
      <x:c r="B598" s="30" t="str">
        <x:v>F219</x:v>
      </x:c>
      <x:c r="C598" s="30" t="str">
        <x:v>task.opportunity_cost</x:v>
      </x:c>
      <x:c r="D598" s="30" t="str">
        <x:v>候选输入schema</x:v>
      </x:c>
      <x:c r="E598" s="30" t="str">
        <x:v>按执行角色权限读取；策略只能使用可访问快照</x:v>
      </x:c>
    </x:row>
    <x:row r="599" ht="32" customHeight="1">
      <x:c r="A599" s="30" t="str">
        <x:v>A006</x:v>
      </x:c>
      <x:c r="B599" s="30" t="str">
        <x:v>F230</x:v>
      </x:c>
      <x:c r="C599" s="30" t="str">
        <x:v>action.type</x:v>
      </x:c>
      <x:c r="D599" s="30" t="str">
        <x:v>候选输入schema</x:v>
      </x:c>
      <x:c r="E599" s="30" t="str">
        <x:v>按执行角色权限读取；策略只能使用可访问快照</x:v>
      </x:c>
    </x:row>
    <x:row r="600" ht="32" customHeight="1">
      <x:c r="A600" s="30" t="str">
        <x:v>A006</x:v>
      </x:c>
      <x:c r="B600" s="30" t="str">
        <x:v>F231</x:v>
      </x:c>
      <x:c r="C600" s="30" t="str">
        <x:v>action.executor_id</x:v>
      </x:c>
      <x:c r="D600" s="30" t="str">
        <x:v>候选输入schema</x:v>
      </x:c>
      <x:c r="E600" s="30" t="str">
        <x:v>按执行角色权限读取；策略只能使用可访问快照</x:v>
      </x:c>
    </x:row>
    <x:row r="601" ht="32" customHeight="1">
      <x:c r="A601" s="30" t="str">
        <x:v>A006</x:v>
      </x:c>
      <x:c r="B601" s="30" t="str">
        <x:v>F232</x:v>
      </x:c>
      <x:c r="C601" s="30" t="str">
        <x:v>action.task_ref</x:v>
      </x:c>
      <x:c r="D601" s="30" t="str">
        <x:v>候选输入schema</x:v>
      </x:c>
      <x:c r="E601" s="30" t="str">
        <x:v>按执行角色权限读取；策略只能使用可访问快照</x:v>
      </x:c>
    </x:row>
    <x:row r="602" ht="32" customHeight="1">
      <x:c r="A602" s="30" t="str">
        <x:v>A006</x:v>
      </x:c>
      <x:c r="B602" s="30" t="str">
        <x:v>F233</x:v>
      </x:c>
      <x:c r="C602" s="30" t="str">
        <x:v>action.target_ref</x:v>
      </x:c>
      <x:c r="D602" s="30" t="str">
        <x:v>候选输入schema</x:v>
      </x:c>
      <x:c r="E602" s="30" t="str">
        <x:v>按执行角色权限读取；策略只能使用可访问快照</x:v>
      </x:c>
    </x:row>
    <x:row r="603" ht="32" customHeight="1">
      <x:c r="A603" s="30" t="str">
        <x:v>A006</x:v>
      </x:c>
      <x:c r="B603" s="30" t="str">
        <x:v>F234</x:v>
      </x:c>
      <x:c r="C603" s="30" t="str">
        <x:v>action.parameters</x:v>
      </x:c>
      <x:c r="D603" s="30" t="str">
        <x:v>候选输入schema</x:v>
      </x:c>
      <x:c r="E603" s="30" t="str">
        <x:v>按执行角色权限读取；策略只能使用可访问快照</x:v>
      </x:c>
    </x:row>
    <x:row r="604" ht="32" customHeight="1">
      <x:c r="A604" s="30" t="str">
        <x:v>A006</x:v>
      </x:c>
      <x:c r="B604" s="30" t="str">
        <x:v>F235</x:v>
      </x:c>
      <x:c r="C604" s="30" t="str">
        <x:v>action.status</x:v>
      </x:c>
      <x:c r="D604" s="30" t="str">
        <x:v>候选输入schema</x:v>
      </x:c>
      <x:c r="E604" s="30" t="str">
        <x:v>按执行角色权限读取；策略只能使用可访问快照</x:v>
      </x:c>
    </x:row>
    <x:row r="605" ht="32" customHeight="1">
      <x:c r="A605" s="30" t="str">
        <x:v>A006</x:v>
      </x:c>
      <x:c r="B605" s="30" t="str">
        <x:v>F236</x:v>
      </x:c>
      <x:c r="C605" s="30" t="str">
        <x:v>action.start_s</x:v>
      </x:c>
      <x:c r="D605" s="30" t="str">
        <x:v>候选输入schema</x:v>
      </x:c>
      <x:c r="E605" s="30" t="str">
        <x:v>按执行角色权限读取；策略只能使用可访问快照</x:v>
      </x:c>
    </x:row>
    <x:row r="606" ht="32" customHeight="1">
      <x:c r="A606" s="30" t="str">
        <x:v>A006</x:v>
      </x:c>
      <x:c r="B606" s="30" t="str">
        <x:v>F237</x:v>
      </x:c>
      <x:c r="C606" s="30" t="str">
        <x:v>action.finish_s</x:v>
      </x:c>
      <x:c r="D606" s="30" t="str">
        <x:v>候选输入schema</x:v>
      </x:c>
      <x:c r="E606" s="30" t="str">
        <x:v>按执行角色权限读取；策略只能使用可访问快照</x:v>
      </x:c>
    </x:row>
    <x:row r="607" ht="32" customHeight="1">
      <x:c r="A607" s="30" t="str">
        <x:v>A006</x:v>
      </x:c>
      <x:c r="B607" s="30" t="str">
        <x:v>F238</x:v>
      </x:c>
      <x:c r="C607" s="30" t="str">
        <x:v>action.reserved_resources</x:v>
      </x:c>
      <x:c r="D607" s="30" t="str">
        <x:v>候选输入schema</x:v>
      </x:c>
      <x:c r="E607" s="30" t="str">
        <x:v>按执行角色权限读取；策略只能使用可访问快照</x:v>
      </x:c>
    </x:row>
    <x:row r="608" ht="32" customHeight="1">
      <x:c r="A608" s="30" t="str">
        <x:v>A006</x:v>
      </x:c>
      <x:c r="B608" s="30" t="str">
        <x:v>F239</x:v>
      </x:c>
      <x:c r="C608" s="30" t="str">
        <x:v>action.consumed_resources</x:v>
      </x:c>
      <x:c r="D608" s="30" t="str">
        <x:v>候选输入schema</x:v>
      </x:c>
      <x:c r="E608" s="30" t="str">
        <x:v>按执行角色权限读取；策略只能使用可访问快照</x:v>
      </x:c>
    </x:row>
    <x:row r="609" ht="32" customHeight="1">
      <x:c r="A609" s="30" t="str">
        <x:v>A006</x:v>
      </x:c>
      <x:c r="B609" s="30" t="str">
        <x:v>F240</x:v>
      </x:c>
      <x:c r="C609" s="30" t="str">
        <x:v>action.feedback</x:v>
      </x:c>
      <x:c r="D609" s="30" t="str">
        <x:v>候选输入schema</x:v>
      </x:c>
      <x:c r="E609" s="30" t="str">
        <x:v>按执行角色权限读取；策略只能使用可访问快照</x:v>
      </x:c>
    </x:row>
    <x:row r="610" ht="32" customHeight="1">
      <x:c r="A610" s="30" t="str">
        <x:v>A006</x:v>
      </x:c>
      <x:c r="B610" s="30" t="str">
        <x:v>F241</x:v>
      </x:c>
      <x:c r="C610" s="30" t="str">
        <x:v>action.result</x:v>
      </x:c>
      <x:c r="D610" s="30" t="str">
        <x:v>候选输入schema</x:v>
      </x:c>
      <x:c r="E610" s="30" t="str">
        <x:v>按执行角色权限读取；策略只能使用可访问快照</x:v>
      </x:c>
    </x:row>
    <x:row r="611" ht="32" customHeight="1">
      <x:c r="A611" s="30" t="str">
        <x:v>A006</x:v>
      </x:c>
      <x:c r="B611" s="30" t="str">
        <x:v>F242</x:v>
      </x:c>
      <x:c r="C611" s="30" t="str">
        <x:v>action.rejection_code</x:v>
      </x:c>
      <x:c r="D611" s="30" t="str">
        <x:v>候选输入schema</x:v>
      </x:c>
      <x:c r="E611" s="30" t="str">
        <x:v>按执行角色权限读取；策略只能使用可访问快照</x:v>
      </x:c>
    </x:row>
    <x:row r="612" ht="32" customHeight="1">
      <x:c r="A612" s="30" t="str">
        <x:v>A006</x:v>
      </x:c>
      <x:c r="B612" s="30" t="str">
        <x:v>F243</x:v>
      </x:c>
      <x:c r="C612" s="30" t="str">
        <x:v>action.failure_code</x:v>
      </x:c>
      <x:c r="D612" s="30" t="str">
        <x:v>候选输入schema</x:v>
      </x:c>
      <x:c r="E612" s="30" t="str">
        <x:v>按执行角色权限读取；策略只能使用可访问快照</x:v>
      </x:c>
    </x:row>
    <x:row r="613" ht="32" customHeight="1">
      <x:c r="A613" s="30" t="str">
        <x:v>A006</x:v>
      </x:c>
      <x:c r="B613" s="30" t="str">
        <x:v>F244</x:v>
      </x:c>
      <x:c r="C613" s="30" t="str">
        <x:v>action.cancel_requested</x:v>
      </x:c>
      <x:c r="D613" s="30" t="str">
        <x:v>候选输入schema</x:v>
      </x:c>
      <x:c r="E613" s="30" t="str">
        <x:v>按执行角色权限读取；策略只能使用可访问快照</x:v>
      </x:c>
    </x:row>
    <x:row r="614" ht="32" customHeight="1">
      <x:c r="A614" s="30" t="str">
        <x:v>A006</x:v>
      </x:c>
      <x:c r="B614" s="30" t="str">
        <x:v>F245</x:v>
      </x:c>
      <x:c r="C614" s="30" t="str">
        <x:v>action.backend_mode</x:v>
      </x:c>
      <x:c r="D614" s="30" t="str">
        <x:v>候选输入schema</x:v>
      </x:c>
      <x:c r="E614" s="30" t="str">
        <x:v>按执行角色权限读取；策略只能使用可访问快照</x:v>
      </x:c>
    </x:row>
    <x:row r="615" ht="32" customHeight="1">
      <x:c r="A615" s="30" t="str">
        <x:v>A006</x:v>
      </x:c>
      <x:c r="B615" s="30" t="str">
        <x:v>F293</x:v>
      </x:c>
      <x:c r="C615" s="30" t="str">
        <x:v>compute.node_id</x:v>
      </x:c>
      <x:c r="D615" s="30" t="str">
        <x:v>候选输入schema</x:v>
      </x:c>
      <x:c r="E615" s="30" t="str">
        <x:v>按执行角色权限读取；策略只能使用可访问快照</x:v>
      </x:c>
    </x:row>
    <x:row r="616" ht="32" customHeight="1">
      <x:c r="A616" s="30" t="str">
        <x:v>A006</x:v>
      </x:c>
      <x:c r="B616" s="30" t="str">
        <x:v>F294</x:v>
      </x:c>
      <x:c r="C616" s="30" t="str">
        <x:v>compute.device_kind</x:v>
      </x:c>
      <x:c r="D616" s="30" t="str">
        <x:v>候选输入schema</x:v>
      </x:c>
      <x:c r="E616" s="30" t="str">
        <x:v>按执行角色权限读取；策略只能使用可访问快照</x:v>
      </x:c>
    </x:row>
    <x:row r="617" ht="32" customHeight="1">
      <x:c r="A617" s="30" t="str">
        <x:v>A006</x:v>
      </x:c>
      <x:c r="B617" s="30" t="str">
        <x:v>F295</x:v>
      </x:c>
      <x:c r="C617" s="30" t="str">
        <x:v>compute.cpu_capacity</x:v>
      </x:c>
      <x:c r="D617" s="30" t="str">
        <x:v>候选输入schema</x:v>
      </x:c>
      <x:c r="E617" s="30" t="str">
        <x:v>按执行角色权限读取；策略只能使用可访问快照</x:v>
      </x:c>
    </x:row>
    <x:row r="618" ht="32" customHeight="1">
      <x:c r="A618" s="30" t="str">
        <x:v>A006</x:v>
      </x:c>
      <x:c r="B618" s="30" t="str">
        <x:v>F296</x:v>
      </x:c>
      <x:c r="C618" s="30" t="str">
        <x:v>compute.accelerator_capacity</x:v>
      </x:c>
      <x:c r="D618" s="30" t="str">
        <x:v>候选输入schema</x:v>
      </x:c>
      <x:c r="E618" s="30" t="str">
        <x:v>按执行角色权限读取；策略只能使用可访问快照</x:v>
      </x:c>
    </x:row>
    <x:row r="619" ht="32" customHeight="1">
      <x:c r="A619" s="30" t="str">
        <x:v>A006</x:v>
      </x:c>
      <x:c r="B619" s="30" t="str">
        <x:v>F297</x:v>
      </x:c>
      <x:c r="C619" s="30" t="str">
        <x:v>compute.memory_capacity_bytes</x:v>
      </x:c>
      <x:c r="D619" s="30" t="str">
        <x:v>候选输入schema</x:v>
      </x:c>
      <x:c r="E619" s="30" t="str">
        <x:v>按执行角色权限读取；策略只能使用可访问快照</x:v>
      </x:c>
    </x:row>
    <x:row r="620" ht="32" customHeight="1">
      <x:c r="A620" s="30" t="str">
        <x:v>A006</x:v>
      </x:c>
      <x:c r="B620" s="30" t="str">
        <x:v>F298</x:v>
      </x:c>
      <x:c r="C620" s="30" t="str">
        <x:v>compute.memory_used_bytes</x:v>
      </x:c>
      <x:c r="D620" s="30" t="str">
        <x:v>候选输入schema</x:v>
      </x:c>
      <x:c r="E620" s="30" t="str">
        <x:v>按执行角色权限读取；策略只能使用可访问快照</x:v>
      </x:c>
    </x:row>
    <x:row r="621" ht="32" customHeight="1">
      <x:c r="A621" s="30" t="str">
        <x:v>A006</x:v>
      </x:c>
      <x:c r="B621" s="30" t="str">
        <x:v>F299</x:v>
      </x:c>
      <x:c r="C621" s="30" t="str">
        <x:v>compute.cpu_allocated</x:v>
      </x:c>
      <x:c r="D621" s="30" t="str">
        <x:v>候选输入schema</x:v>
      </x:c>
      <x:c r="E621" s="30" t="str">
        <x:v>按执行角色权限读取；策略只能使用可访问快照</x:v>
      </x:c>
    </x:row>
    <x:row r="622" ht="32" customHeight="1">
      <x:c r="A622" s="30" t="str">
        <x:v>A006</x:v>
      </x:c>
      <x:c r="B622" s="30" t="str">
        <x:v>F300</x:v>
      </x:c>
      <x:c r="C622" s="30" t="str">
        <x:v>compute.accelerator_allocated</x:v>
      </x:c>
      <x:c r="D622" s="30" t="str">
        <x:v>候选输入schema</x:v>
      </x:c>
      <x:c r="E622" s="30" t="str">
        <x:v>按执行角色权限读取；策略只能使用可访问快照</x:v>
      </x:c>
    </x:row>
    <x:row r="623" ht="32" customHeight="1">
      <x:c r="A623" s="30" t="str">
        <x:v>A006</x:v>
      </x:c>
      <x:c r="B623" s="30" t="str">
        <x:v>F301</x:v>
      </x:c>
      <x:c r="C623" s="30" t="str">
        <x:v>compute.max_concurrency</x:v>
      </x:c>
      <x:c r="D623" s="30" t="str">
        <x:v>候选输入schema</x:v>
      </x:c>
      <x:c r="E623" s="30" t="str">
        <x:v>按执行角色权限读取；策略只能使用可访问快照</x:v>
      </x:c>
    </x:row>
    <x:row r="624" ht="32" customHeight="1">
      <x:c r="A624" s="30" t="str">
        <x:v>A006</x:v>
      </x:c>
      <x:c r="B624" s="30" t="str">
        <x:v>F302</x:v>
      </x:c>
      <x:c r="C624" s="30" t="str">
        <x:v>compute.queue_ids</x:v>
      </x:c>
      <x:c r="D624" s="30" t="str">
        <x:v>候选输入schema</x:v>
      </x:c>
      <x:c r="E624" s="30" t="str">
        <x:v>按执行角色权限读取；策略只能使用可访问快照</x:v>
      </x:c>
    </x:row>
    <x:row r="625" ht="32" customHeight="1">
      <x:c r="A625" s="30" t="str">
        <x:v>A006</x:v>
      </x:c>
      <x:c r="B625" s="30" t="str">
        <x:v>F303</x:v>
      </x:c>
      <x:c r="C625" s="30" t="str">
        <x:v>compute.running_job_ids</x:v>
      </x:c>
      <x:c r="D625" s="30" t="str">
        <x:v>候选输入schema</x:v>
      </x:c>
      <x:c r="E625" s="30" t="str">
        <x:v>按执行角色权限读取；策略只能使用可访问快照</x:v>
      </x:c>
    </x:row>
    <x:row r="626" ht="32" customHeight="1">
      <x:c r="A626" s="30" t="str">
        <x:v>A006</x:v>
      </x:c>
      <x:c r="B626" s="30" t="str">
        <x:v>F304</x:v>
      </x:c>
      <x:c r="C626" s="30" t="str">
        <x:v>compute.availability</x:v>
      </x:c>
      <x:c r="D626" s="30" t="str">
        <x:v>候选输入schema</x:v>
      </x:c>
      <x:c r="E626" s="30" t="str">
        <x:v>按执行角色权限读取；策略只能使用可访问快照</x:v>
      </x:c>
    </x:row>
    <x:row r="627" ht="32" customHeight="1">
      <x:c r="A627" s="30" t="str">
        <x:v>A006</x:v>
      </x:c>
      <x:c r="B627" s="30" t="str">
        <x:v>F305</x:v>
      </x:c>
      <x:c r="C627" s="30" t="str">
        <x:v>compute.power_model</x:v>
      </x:c>
      <x:c r="D627" s="30" t="str">
        <x:v>候选输入schema</x:v>
      </x:c>
      <x:c r="E627" s="30" t="str">
        <x:v>按执行角色权限读取；策略只能使用可访问快照</x:v>
      </x:c>
    </x:row>
    <x:row r="628" ht="32" customHeight="1">
      <x:c r="A628" s="30" t="str">
        <x:v>A006</x:v>
      </x:c>
      <x:c r="B628" s="30" t="str">
        <x:v>F306</x:v>
      </x:c>
      <x:c r="C628" s="30" t="str">
        <x:v>compute.energy_Wh</x:v>
      </x:c>
      <x:c r="D628" s="30" t="str">
        <x:v>候选输入schema</x:v>
      </x:c>
      <x:c r="E628" s="30" t="str">
        <x:v>按执行角色权限读取；策略只能使用可访问快照</x:v>
      </x:c>
    </x:row>
    <x:row r="629" ht="32" customHeight="1">
      <x:c r="A629" s="30" t="str">
        <x:v>A006</x:v>
      </x:c>
      <x:c r="B629" s="30" t="str">
        <x:v>F307</x:v>
      </x:c>
      <x:c r="C629" s="30" t="str">
        <x:v>compute.service_ids</x:v>
      </x:c>
      <x:c r="D629" s="30" t="str">
        <x:v>候选输入schema</x:v>
      </x:c>
      <x:c r="E629" s="30" t="str">
        <x:v>按执行角色权限读取；策略只能使用可访问快照</x:v>
      </x:c>
    </x:row>
    <x:row r="630" ht="32" customHeight="1">
      <x:c r="A630" s="30" t="str">
        <x:v>A006</x:v>
      </x:c>
      <x:c r="B630" s="30" t="str">
        <x:v>F308</x:v>
      </x:c>
      <x:c r="C630" s="30" t="str">
        <x:v>compute.storage_free_bytes</x:v>
      </x:c>
      <x:c r="D630" s="30" t="str">
        <x:v>候选输入schema</x:v>
      </x:c>
      <x:c r="E630" s="30" t="str">
        <x:v>按执行角色权限读取；策略只能使用可访问快照</x:v>
      </x:c>
    </x:row>
    <x:row r="631" ht="32" customHeight="1">
      <x:c r="A631" s="30" t="str">
        <x:v>A006</x:v>
      </x:c>
      <x:c r="B631" s="30" t="str">
        <x:v>F309</x:v>
      </x:c>
      <x:c r="C631" s="30" t="str">
        <x:v>compute.clock_policy</x:v>
      </x:c>
      <x:c r="D631" s="30" t="str">
        <x:v>候选输入schema</x:v>
      </x:c>
      <x:c r="E631" s="30" t="str">
        <x:v>按执行角色权限读取；策略只能使用可访问快照</x:v>
      </x:c>
    </x:row>
    <x:row r="632" ht="32" customHeight="1">
      <x:c r="A632" s="30" t="str">
        <x:v>A006</x:v>
      </x:c>
      <x:c r="B632" s="30" t="str">
        <x:v>F310</x:v>
      </x:c>
      <x:c r="C632" s="30" t="str">
        <x:v>compute.timing_profile_id</x:v>
      </x:c>
      <x:c r="D632" s="30" t="str">
        <x:v>候选输入schema</x:v>
      </x:c>
      <x:c r="E632" s="30" t="str">
        <x:v>按执行角色权限读取；策略只能使用可访问快照</x:v>
      </x:c>
    </x:row>
    <x:row r="633" ht="32" customHeight="1">
      <x:c r="A633" s="30" t="str">
        <x:v>A006</x:v>
      </x:c>
      <x:c r="B633" s="30" t="str">
        <x:v>F311</x:v>
      </x:c>
      <x:c r="C633" s="30" t="str">
        <x:v>compute.temperature_state</x:v>
      </x:c>
      <x:c r="D633" s="30" t="str">
        <x:v>候选输入schema</x:v>
      </x:c>
      <x:c r="E633" s="30" t="str">
        <x:v>按执行角色权限读取；策略只能使用可访问快照</x:v>
      </x:c>
    </x:row>
    <x:row r="634" ht="32" customHeight="1">
      <x:c r="A634" s="30" t="str">
        <x:v>A006</x:v>
      </x:c>
      <x:c r="B634" s="30" t="str">
        <x:v>F312</x:v>
      </x:c>
      <x:c r="C634" s="30" t="str">
        <x:v>compute.network_endpoint</x:v>
      </x:c>
      <x:c r="D634" s="30" t="str">
        <x:v>候选输入schema</x:v>
      </x:c>
      <x:c r="E634" s="30" t="str">
        <x:v>按执行角色权限读取；策略只能使用可访问快照</x:v>
      </x:c>
    </x:row>
    <x:row r="635" ht="32" customHeight="1">
      <x:c r="A635" s="30" t="str">
        <x:v>A006</x:v>
      </x:c>
      <x:c r="B635" s="30" t="str">
        <x:v>F313</x:v>
      </x:c>
      <x:c r="C635" s="30" t="str">
        <x:v>service.kind</x:v>
      </x:c>
      <x:c r="D635" s="30" t="str">
        <x:v>候选输入schema</x:v>
      </x:c>
      <x:c r="E635" s="30" t="str">
        <x:v>按执行角色权限读取；策略只能使用可访问快照</x:v>
      </x:c>
    </x:row>
    <x:row r="636" ht="32" customHeight="1">
      <x:c r="A636" s="30" t="str">
        <x:v>A006</x:v>
      </x:c>
      <x:c r="B636" s="30" t="str">
        <x:v>F314</x:v>
      </x:c>
      <x:c r="C636" s="30" t="str">
        <x:v>service.model_id</x:v>
      </x:c>
      <x:c r="D636" s="30" t="str">
        <x:v>候选输入schema</x:v>
      </x:c>
      <x:c r="E636" s="30" t="str">
        <x:v>按执行角色权限读取；策略只能使用可访问快照</x:v>
      </x:c>
    </x:row>
    <x:row r="637" ht="32" customHeight="1">
      <x:c r="A637" s="30" t="str">
        <x:v>A006</x:v>
      </x:c>
      <x:c r="B637" s="30" t="str">
        <x:v>F315</x:v>
      </x:c>
      <x:c r="C637" s="30" t="str">
        <x:v>service.version</x:v>
      </x:c>
      <x:c r="D637" s="30" t="str">
        <x:v>候选输入schema</x:v>
      </x:c>
      <x:c r="E637" s="30" t="str">
        <x:v>按执行角色权限读取；策略只能使用可访问快照</x:v>
      </x:c>
    </x:row>
    <x:row r="638" ht="32" customHeight="1">
      <x:c r="A638" s="30" t="str">
        <x:v>A006</x:v>
      </x:c>
      <x:c r="B638" s="30" t="str">
        <x:v>F316</x:v>
      </x:c>
      <x:c r="C638" s="30" t="str">
        <x:v>service.host_id</x:v>
      </x:c>
      <x:c r="D638" s="30" t="str">
        <x:v>候选输入schema</x:v>
      </x:c>
      <x:c r="E638" s="30" t="str">
        <x:v>按执行角色权限读取；策略只能使用可访问快照</x:v>
      </x:c>
    </x:row>
    <x:row r="639" ht="32" customHeight="1">
      <x:c r="A639" s="30" t="str">
        <x:v>A006</x:v>
      </x:c>
      <x:c r="B639" s="30" t="str">
        <x:v>F317</x:v>
      </x:c>
      <x:c r="C639" s="30" t="str">
        <x:v>service.status</x:v>
      </x:c>
      <x:c r="D639" s="30" t="str">
        <x:v>候选输入schema</x:v>
      </x:c>
      <x:c r="E639" s="30" t="str">
        <x:v>按执行角色权限读取；策略只能使用可访问快照</x:v>
      </x:c>
    </x:row>
    <x:row r="640" ht="32" customHeight="1">
      <x:c r="A640" s="30" t="str">
        <x:v>A006</x:v>
      </x:c>
      <x:c r="B640" s="30" t="str">
        <x:v>F318</x:v>
      </x:c>
      <x:c r="C640" s="30" t="str">
        <x:v>service.input_schema</x:v>
      </x:c>
      <x:c r="D640" s="30" t="str">
        <x:v>候选输入schema</x:v>
      </x:c>
      <x:c r="E640" s="30" t="str">
        <x:v>按执行角色权限读取；策略只能使用可访问快照</x:v>
      </x:c>
    </x:row>
    <x:row r="641" ht="32" customHeight="1">
      <x:c r="A641" s="30" t="str">
        <x:v>A006</x:v>
      </x:c>
      <x:c r="B641" s="30" t="str">
        <x:v>F319</x:v>
      </x:c>
      <x:c r="C641" s="30" t="str">
        <x:v>service.output_schema</x:v>
      </x:c>
      <x:c r="D641" s="30" t="str">
        <x:v>候选输入schema</x:v>
      </x:c>
      <x:c r="E641" s="30" t="str">
        <x:v>按执行角色权限读取；策略只能使用可访问快照</x:v>
      </x:c>
    </x:row>
    <x:row r="642" ht="32" customHeight="1">
      <x:c r="A642" s="30" t="str">
        <x:v>A006</x:v>
      </x:c>
      <x:c r="B642" s="30" t="str">
        <x:v>F320</x:v>
      </x:c>
      <x:c r="C642" s="30" t="str">
        <x:v>service.precision</x:v>
      </x:c>
      <x:c r="D642" s="30" t="str">
        <x:v>候选输入schema</x:v>
      </x:c>
      <x:c r="E642" s="30" t="str">
        <x:v>按执行角色权限读取；策略只能使用可访问快照</x:v>
      </x:c>
    </x:row>
    <x:row r="643" ht="32" customHeight="1">
      <x:c r="A643" s="30" t="str">
        <x:v>A006</x:v>
      </x:c>
      <x:c r="B643" s="30" t="str">
        <x:v>F321</x:v>
      </x:c>
      <x:c r="C643" s="30" t="str">
        <x:v>service.weights_bytes</x:v>
      </x:c>
      <x:c r="D643" s="30" t="str">
        <x:v>候选输入schema</x:v>
      </x:c>
      <x:c r="E643" s="30" t="str">
        <x:v>按执行角色权限读取；策略只能使用可访问快照</x:v>
      </x:c>
    </x:row>
    <x:row r="644" ht="32" customHeight="1">
      <x:c r="A644" s="30" t="str">
        <x:v>A006</x:v>
      </x:c>
      <x:c r="B644" s="30" t="str">
        <x:v>F322</x:v>
      </x:c>
      <x:c r="C644" s="30" t="str">
        <x:v>service.working_memory_bytes</x:v>
      </x:c>
      <x:c r="D644" s="30" t="str">
        <x:v>候选输入schema</x:v>
      </x:c>
      <x:c r="E644" s="30" t="str">
        <x:v>按执行角色权限读取；策略只能使用可访问快照</x:v>
      </x:c>
    </x:row>
    <x:row r="645" ht="32" customHeight="1">
      <x:c r="A645" s="30" t="str">
        <x:v>A006</x:v>
      </x:c>
      <x:c r="B645" s="30" t="str">
        <x:v>F323</x:v>
      </x:c>
      <x:c r="C645" s="30" t="str">
        <x:v>service.load_latency_profile</x:v>
      </x:c>
      <x:c r="D645" s="30" t="str">
        <x:v>候选输入schema</x:v>
      </x:c>
      <x:c r="E645" s="30" t="str">
        <x:v>按执行角色权限读取；策略只能使用可访问快照</x:v>
      </x:c>
    </x:row>
    <x:row r="646" ht="32" customHeight="1">
      <x:c r="A646" s="30" t="str">
        <x:v>A006</x:v>
      </x:c>
      <x:c r="B646" s="30" t="str">
        <x:v>F324</x:v>
      </x:c>
      <x:c r="C646" s="30" t="str">
        <x:v>service.batch_policy</x:v>
      </x:c>
      <x:c r="D646" s="30" t="str">
        <x:v>候选输入schema</x:v>
      </x:c>
      <x:c r="E646" s="30" t="str">
        <x:v>按执行角色权限读取；策略只能使用可访问快照</x:v>
      </x:c>
    </x:row>
    <x:row r="647" ht="32" customHeight="1">
      <x:c r="A647" s="30" t="str">
        <x:v>A006</x:v>
      </x:c>
      <x:c r="B647" s="30" t="str">
        <x:v>F325</x:v>
      </x:c>
      <x:c r="C647" s="30" t="str">
        <x:v>service.context_limit</x:v>
      </x:c>
      <x:c r="D647" s="30" t="str">
        <x:v>候选输入schema</x:v>
      </x:c>
      <x:c r="E647" s="30" t="str">
        <x:v>按执行角色权限读取；策略只能使用可访问快照</x:v>
      </x:c>
    </x:row>
    <x:row r="648" ht="32" customHeight="1">
      <x:c r="A648" s="30" t="str">
        <x:v>A006</x:v>
      </x:c>
      <x:c r="B648" s="30" t="str">
        <x:v>F326</x:v>
      </x:c>
      <x:c r="C648" s="30" t="str">
        <x:v>service.quality_profile</x:v>
      </x:c>
      <x:c r="D648" s="30" t="str">
        <x:v>候选输入schema</x:v>
      </x:c>
      <x:c r="E648" s="30" t="str">
        <x:v>按执行角色权限读取；策略只能使用可访问快照</x:v>
      </x:c>
    </x:row>
    <x:row r="649" ht="32" customHeight="1">
      <x:c r="A649" s="30" t="str">
        <x:v>A006</x:v>
      </x:c>
      <x:c r="B649" s="30" t="str">
        <x:v>F327</x:v>
      </x:c>
      <x:c r="C649" s="30" t="str">
        <x:v>service.compatible_representations</x:v>
      </x:c>
      <x:c r="D649" s="30" t="str">
        <x:v>候选输入schema</x:v>
      </x:c>
      <x:c r="E649" s="30" t="str">
        <x:v>按执行角色权限读取；策略只能使用可访问快照</x:v>
      </x:c>
    </x:row>
    <x:row r="650" ht="32" customHeight="1">
      <x:c r="A650" s="30" t="str">
        <x:v>A006</x:v>
      </x:c>
      <x:c r="B650" s="30" t="str">
        <x:v>F328</x:v>
      </x:c>
      <x:c r="C650" s="30" t="str">
        <x:v>service.licence_scope</x:v>
      </x:c>
      <x:c r="D650" s="30" t="str">
        <x:v>候选输入schema</x:v>
      </x:c>
      <x:c r="E650" s="30" t="str">
        <x:v>按执行角色权限读取；策略只能使用可访问快照</x:v>
      </x:c>
    </x:row>
    <x:row r="651" ht="32" customHeight="1">
      <x:c r="A651" s="30" t="str">
        <x:v>A006</x:v>
      </x:c>
      <x:c r="B651" s="30" t="str">
        <x:v>F329</x:v>
      </x:c>
      <x:c r="C651" s="30" t="str">
        <x:v>job.requester_id</x:v>
      </x:c>
      <x:c r="D651" s="30" t="str">
        <x:v>候选输入schema</x:v>
      </x:c>
      <x:c r="E651" s="30" t="str">
        <x:v>按执行角色权限读取；策略只能使用可访问快照</x:v>
      </x:c>
    </x:row>
    <x:row r="652" ht="32" customHeight="1">
      <x:c r="A652" s="30" t="str">
        <x:v>A006</x:v>
      </x:c>
      <x:c r="B652" s="30" t="str">
        <x:v>F330</x:v>
      </x:c>
      <x:c r="C652" s="30" t="str">
        <x:v>job.task_ref</x:v>
      </x:c>
      <x:c r="D652" s="30" t="str">
        <x:v>候选输入schema</x:v>
      </x:c>
      <x:c r="E652" s="30" t="str">
        <x:v>按执行角色权限读取；策略只能使用可访问快照</x:v>
      </x:c>
    </x:row>
    <x:row r="653" ht="32" customHeight="1">
      <x:c r="A653" s="30" t="str">
        <x:v>A006</x:v>
      </x:c>
      <x:c r="B653" s="30" t="str">
        <x:v>F331</x:v>
      </x:c>
      <x:c r="C653" s="30" t="str">
        <x:v>job.service_id</x:v>
      </x:c>
      <x:c r="D653" s="30" t="str">
        <x:v>候选输入schema</x:v>
      </x:c>
      <x:c r="E653" s="30" t="str">
        <x:v>按执行角色权限读取；策略只能使用可访问快照</x:v>
      </x:c>
    </x:row>
    <x:row r="654" ht="32" customHeight="1">
      <x:c r="A654" s="30" t="str">
        <x:v>A006</x:v>
      </x:c>
      <x:c r="B654" s="30" t="str">
        <x:v>F332</x:v>
      </x:c>
      <x:c r="C654" s="30" t="str">
        <x:v>job.input_evidence_ids</x:v>
      </x:c>
      <x:c r="D654" s="30" t="str">
        <x:v>候选输入schema</x:v>
      </x:c>
      <x:c r="E654" s="30" t="str">
        <x:v>按执行角色权限读取；策略只能使用可访问快照</x:v>
      </x:c>
    </x:row>
    <x:row r="655" ht="32" customHeight="1">
      <x:c r="A655" s="30" t="str">
        <x:v>A006</x:v>
      </x:c>
      <x:c r="B655" s="30" t="str">
        <x:v>F333</x:v>
      </x:c>
      <x:c r="C655" s="30" t="str">
        <x:v>job.input_bytes</x:v>
      </x:c>
      <x:c r="D655" s="30" t="str">
        <x:v>候选输入schema</x:v>
      </x:c>
      <x:c r="E655" s="30" t="str">
        <x:v>按执行角色权限读取；策略只能使用可访问快照</x:v>
      </x:c>
    </x:row>
    <x:row r="656" ht="32" customHeight="1">
      <x:c r="A656" s="30" t="str">
        <x:v>A006</x:v>
      </x:c>
      <x:c r="B656" s="30" t="str">
        <x:v>F334</x:v>
      </x:c>
      <x:c r="C656" s="30" t="str">
        <x:v>job.input_tokens</x:v>
      </x:c>
      <x:c r="D656" s="30" t="str">
        <x:v>候选输入schema</x:v>
      </x:c>
      <x:c r="E656" s="30" t="str">
        <x:v>按执行角色权限读取；策略只能使用可访问快照</x:v>
      </x:c>
    </x:row>
    <x:row r="657" ht="32" customHeight="1">
      <x:c r="A657" s="30" t="str">
        <x:v>A006</x:v>
      </x:c>
      <x:c r="B657" s="30" t="str">
        <x:v>F335</x:v>
      </x:c>
      <x:c r="C657" s="30" t="str">
        <x:v>job.output_tokens</x:v>
      </x:c>
      <x:c r="D657" s="30" t="str">
        <x:v>候选输入schema</x:v>
      </x:c>
      <x:c r="E657" s="30" t="str">
        <x:v>按执行角色权限读取；策略只能使用可访问快照</x:v>
      </x:c>
    </x:row>
    <x:row r="658" ht="32" customHeight="1">
      <x:c r="A658" s="30" t="str">
        <x:v>A006</x:v>
      </x:c>
      <x:c r="B658" s="30" t="str">
        <x:v>F336</x:v>
      </x:c>
      <x:c r="C658" s="30" t="str">
        <x:v>job.status</x:v>
      </x:c>
      <x:c r="D658" s="30" t="str">
        <x:v>候选输入schema</x:v>
      </x:c>
      <x:c r="E658" s="30" t="str">
        <x:v>按执行角色权限读取；策略只能使用可访问快照</x:v>
      </x:c>
    </x:row>
    <x:row r="659" ht="32" customHeight="1">
      <x:c r="A659" s="30" t="str">
        <x:v>A006</x:v>
      </x:c>
      <x:c r="B659" s="30" t="str">
        <x:v>F337</x:v>
      </x:c>
      <x:c r="C659" s="30" t="str">
        <x:v>job.queue_enter_s</x:v>
      </x:c>
      <x:c r="D659" s="30" t="str">
        <x:v>候选输入schema</x:v>
      </x:c>
      <x:c r="E659" s="30" t="str">
        <x:v>按执行角色权限读取；策略只能使用可访问快照</x:v>
      </x:c>
    </x:row>
    <x:row r="660" ht="32" customHeight="1">
      <x:c r="A660" s="30" t="str">
        <x:v>A006</x:v>
      </x:c>
      <x:c r="B660" s="30" t="str">
        <x:v>F338</x:v>
      </x:c>
      <x:c r="C660" s="30" t="str">
        <x:v>job.start_s</x:v>
      </x:c>
      <x:c r="D660" s="30" t="str">
        <x:v>候选输入schema</x:v>
      </x:c>
      <x:c r="E660" s="30" t="str">
        <x:v>按执行角色权限读取；策略只能使用可访问快照</x:v>
      </x:c>
    </x:row>
    <x:row r="661" ht="32" customHeight="1">
      <x:c r="A661" s="30" t="str">
        <x:v>A006</x:v>
      </x:c>
      <x:c r="B661" s="30" t="str">
        <x:v>F339</x:v>
      </x:c>
      <x:c r="C661" s="30" t="str">
        <x:v>job.finish_s</x:v>
      </x:c>
      <x:c r="D661" s="30" t="str">
        <x:v>候选输入schema</x:v>
      </x:c>
      <x:c r="E661" s="30" t="str">
        <x:v>按执行角色权限读取；策略只能使用可访问快照</x:v>
      </x:c>
    </x:row>
    <x:row r="662" ht="32" customHeight="1">
      <x:c r="A662" s="30" t="str">
        <x:v>A006</x:v>
      </x:c>
      <x:c r="B662" s="30" t="str">
        <x:v>F340</x:v>
      </x:c>
      <x:c r="C662" s="30" t="str">
        <x:v>job.deadline_s</x:v>
      </x:c>
      <x:c r="D662" s="30" t="str">
        <x:v>候选输入schema</x:v>
      </x:c>
      <x:c r="E662" s="30" t="str">
        <x:v>按执行角色权限读取；策略只能使用可访问快照</x:v>
      </x:c>
    </x:row>
    <x:row r="663" ht="32" customHeight="1">
      <x:c r="A663" s="30" t="str">
        <x:v>A006</x:v>
      </x:c>
      <x:c r="B663" s="30" t="str">
        <x:v>F341</x:v>
      </x:c>
      <x:c r="C663" s="30" t="str">
        <x:v>job.cpu_request</x:v>
      </x:c>
      <x:c r="D663" s="30" t="str">
        <x:v>候选输入schema</x:v>
      </x:c>
      <x:c r="E663" s="30" t="str">
        <x:v>按执行角色权限读取；策略只能使用可访问快照</x:v>
      </x:c>
    </x:row>
    <x:row r="664" ht="32" customHeight="1">
      <x:c r="A664" s="30" t="str">
        <x:v>A006</x:v>
      </x:c>
      <x:c r="B664" s="30" t="str">
        <x:v>F342</x:v>
      </x:c>
      <x:c r="C664" s="30" t="str">
        <x:v>job.memory_request_bytes</x:v>
      </x:c>
      <x:c r="D664" s="30" t="str">
        <x:v>候选输入schema</x:v>
      </x:c>
      <x:c r="E664" s="30" t="str">
        <x:v>按执行角色权限读取；策略只能使用可访问快照</x:v>
      </x:c>
    </x:row>
    <x:row r="665" ht="32" customHeight="1">
      <x:c r="A665" s="30" t="str">
        <x:v>A006</x:v>
      </x:c>
      <x:c r="B665" s="30" t="str">
        <x:v>F343</x:v>
      </x:c>
      <x:c r="C665" s="30" t="str">
        <x:v>job.prefill_s</x:v>
      </x:c>
      <x:c r="D665" s="30" t="str">
        <x:v>候选输入schema</x:v>
      </x:c>
      <x:c r="E665" s="30" t="str">
        <x:v>按执行角色权限读取；策略只能使用可访问快照</x:v>
      </x:c>
    </x:row>
    <x:row r="666" ht="32" customHeight="1">
      <x:c r="A666" s="30" t="str">
        <x:v>A006</x:v>
      </x:c>
      <x:c r="B666" s="30" t="str">
        <x:v>F344</x:v>
      </x:c>
      <x:c r="C666" s="30" t="str">
        <x:v>job.decode_s</x:v>
      </x:c>
      <x:c r="D666" s="30" t="str">
        <x:v>候选输入schema</x:v>
      </x:c>
      <x:c r="E666" s="30" t="str">
        <x:v>按执行角色权限读取；策略只能使用可访问快照</x:v>
      </x:c>
    </x:row>
    <x:row r="667" ht="32" customHeight="1">
      <x:c r="A667" s="30" t="str">
        <x:v>A006</x:v>
      </x:c>
      <x:c r="B667" s="30" t="str">
        <x:v>F345</x:v>
      </x:c>
      <x:c r="C667" s="30" t="str">
        <x:v>job.wall_time_s</x:v>
      </x:c>
      <x:c r="D667" s="30" t="str">
        <x:v>候选输入schema</x:v>
      </x:c>
      <x:c r="E667" s="30" t="str">
        <x:v>按执行角色权限读取；策略只能使用可访问快照</x:v>
      </x:c>
    </x:row>
    <x:row r="668" ht="32" customHeight="1">
      <x:c r="A668" s="30" t="str">
        <x:v>A006</x:v>
      </x:c>
      <x:c r="B668" s="30" t="str">
        <x:v>F346</x:v>
      </x:c>
      <x:c r="C668" s="30" t="str">
        <x:v>job.result_ref</x:v>
      </x:c>
      <x:c r="D668" s="30" t="str">
        <x:v>候选输入schema</x:v>
      </x:c>
      <x:c r="E668" s="30" t="str">
        <x:v>按执行角色权限读取；策略只能使用可访问快照</x:v>
      </x:c>
    </x:row>
    <x:row r="669" ht="32" customHeight="1">
      <x:c r="A669" s="30" t="str">
        <x:v>A006</x:v>
      </x:c>
      <x:c r="B669" s="30" t="str">
        <x:v>F347</x:v>
      </x:c>
      <x:c r="C669" s="30" t="str">
        <x:v>job.checkpoint_ref</x:v>
      </x:c>
      <x:c r="D669" s="30" t="str">
        <x:v>候选输入schema</x:v>
      </x:c>
      <x:c r="E669" s="30" t="str">
        <x:v>按执行角色权限读取；策略只能使用可访问快照</x:v>
      </x:c>
    </x:row>
    <x:row r="670" ht="32" customHeight="1">
      <x:c r="A670" s="30" t="str">
        <x:v>A006</x:v>
      </x:c>
      <x:c r="B670" s="30" t="str">
        <x:v>F348</x:v>
      </x:c>
      <x:c r="C670" s="30" t="str">
        <x:v>job.failure_reason</x:v>
      </x:c>
      <x:c r="D670" s="30" t="str">
        <x:v>候选输入schema</x:v>
      </x:c>
      <x:c r="E670" s="30" t="str">
        <x:v>按执行角色权限读取；策略只能使用可访问快照</x:v>
      </x:c>
    </x:row>
    <x:row r="671" ht="32" customHeight="1">
      <x:c r="A671" s="30" t="str">
        <x:v>A006</x:v>
      </x:c>
      <x:c r="B671" s="30" t="str">
        <x:v>F349</x:v>
      </x:c>
      <x:c r="C671" s="30" t="str">
        <x:v>cache.owner_id</x:v>
      </x:c>
      <x:c r="D671" s="30" t="str">
        <x:v>候选输入schema</x:v>
      </x:c>
      <x:c r="E671" s="30" t="str">
        <x:v>按执行角色权限读取；策略只能使用可访问快照</x:v>
      </x:c>
    </x:row>
    <x:row r="672" ht="32" customHeight="1">
      <x:c r="A672" s="30" t="str">
        <x:v>A006</x:v>
      </x:c>
      <x:c r="B672" s="30" t="str">
        <x:v>F350</x:v>
      </x:c>
      <x:c r="C672" s="30" t="str">
        <x:v>cache.kind</x:v>
      </x:c>
      <x:c r="D672" s="30" t="str">
        <x:v>候选输入schema</x:v>
      </x:c>
      <x:c r="E672" s="30" t="str">
        <x:v>按执行角色权限读取；策略只能使用可访问快照</x:v>
      </x:c>
    </x:row>
    <x:row r="673" ht="32" customHeight="1">
      <x:c r="A673" s="30" t="str">
        <x:v>A006</x:v>
      </x:c>
      <x:c r="B673" s="30" t="str">
        <x:v>F351</x:v>
      </x:c>
      <x:c r="C673" s="30" t="str">
        <x:v>cache.model_version</x:v>
      </x:c>
      <x:c r="D673" s="30" t="str">
        <x:v>候选输入schema</x:v>
      </x:c>
      <x:c r="E673" s="30" t="str">
        <x:v>按执行角色权限读取；策略只能使用可访问快照</x:v>
      </x:c>
    </x:row>
    <x:row r="674" ht="32" customHeight="1">
      <x:c r="A674" s="30" t="str">
        <x:v>A006</x:v>
      </x:c>
      <x:c r="B674" s="30" t="str">
        <x:v>F352</x:v>
      </x:c>
      <x:c r="C674" s="30" t="str">
        <x:v>cache.content_ids</x:v>
      </x:c>
      <x:c r="D674" s="30" t="str">
        <x:v>候选输入schema</x:v>
      </x:c>
      <x:c r="E674" s="30" t="str">
        <x:v>按执行角色权限读取；策略只能使用可访问快照</x:v>
      </x:c>
    </x:row>
    <x:row r="675" ht="32" customHeight="1">
      <x:c r="A675" s="30" t="str">
        <x:v>A006</x:v>
      </x:c>
      <x:c r="B675" s="30" t="str">
        <x:v>F353</x:v>
      </x:c>
      <x:c r="C675" s="30" t="str">
        <x:v>cache.size_bytes</x:v>
      </x:c>
      <x:c r="D675" s="30" t="str">
        <x:v>候选输入schema</x:v>
      </x:c>
      <x:c r="E675" s="30" t="str">
        <x:v>按执行角色权限读取；策略只能使用可访问快照</x:v>
      </x:c>
    </x:row>
    <x:row r="676" ht="32" customHeight="1">
      <x:c r="A676" s="30" t="str">
        <x:v>A006</x:v>
      </x:c>
      <x:c r="B676" s="30" t="str">
        <x:v>F354</x:v>
      </x:c>
      <x:c r="C676" s="30" t="str">
        <x:v>cache.location</x:v>
      </x:c>
      <x:c r="D676" s="30" t="str">
        <x:v>候选输入schema</x:v>
      </x:c>
      <x:c r="E676" s="30" t="str">
        <x:v>按执行角色权限读取；策略只能使用可访问快照</x:v>
      </x:c>
    </x:row>
    <x:row r="677" ht="32" customHeight="1">
      <x:c r="A677" s="30" t="str">
        <x:v>A006</x:v>
      </x:c>
      <x:c r="B677" s="30" t="str">
        <x:v>F355</x:v>
      </x:c>
      <x:c r="C677" s="30" t="str">
        <x:v>cache.valid_until_s</x:v>
      </x:c>
      <x:c r="D677" s="30" t="str">
        <x:v>候选输入schema</x:v>
      </x:c>
      <x:c r="E677" s="30" t="str">
        <x:v>按执行角色权限读取；策略只能使用可访问快照</x:v>
      </x:c>
    </x:row>
    <x:row r="678" ht="32" customHeight="1">
      <x:c r="A678" s="30" t="str">
        <x:v>A006</x:v>
      </x:c>
      <x:c r="B678" s="30" t="str">
        <x:v>F356</x:v>
      </x:c>
      <x:c r="C678" s="30" t="str">
        <x:v>cache.reuse_compatible</x:v>
      </x:c>
      <x:c r="D678" s="30" t="str">
        <x:v>候选输入schema</x:v>
      </x:c>
      <x:c r="E678" s="30" t="str">
        <x:v>按执行角色权限读取；策略只能使用可访问快照</x:v>
      </x:c>
    </x:row>
    <x:row r="679" ht="32" customHeight="1">
      <x:c r="A679" s="30" t="str">
        <x:v>A006</x:v>
      </x:c>
      <x:c r="B679" s="30" t="str">
        <x:v>F357</x:v>
      </x:c>
      <x:c r="C679" s="30" t="str">
        <x:v>cache.hit_count</x:v>
      </x:c>
      <x:c r="D679" s="30" t="str">
        <x:v>候选输入schema</x:v>
      </x:c>
      <x:c r="E679" s="30" t="str">
        <x:v>按执行角色权限读取；策略只能使用可访问快照</x:v>
      </x:c>
    </x:row>
    <x:row r="680" ht="32" customHeight="1">
      <x:c r="A680" s="30" t="str">
        <x:v>A006</x:v>
      </x:c>
      <x:c r="B680" s="30" t="str">
        <x:v>F358</x:v>
      </x:c>
      <x:c r="C680" s="30" t="str">
        <x:v>cache.eviction_state</x:v>
      </x:c>
      <x:c r="D680" s="30" t="str">
        <x:v>候选输入schema</x:v>
      </x:c>
      <x:c r="E680" s="30" t="str">
        <x:v>按执行角色权限读取；策略只能使用可访问快照</x:v>
      </x:c>
    </x:row>
    <x:row r="681" ht="32" customHeight="1">
      <x:c r="A681" s="30" t="str">
        <x:v>A006</x:v>
      </x:c>
      <x:c r="B681" s="30" t="str">
        <x:v>F336</x:v>
      </x:c>
      <x:c r="C681" s="30" t="str">
        <x:v>job.status</x:v>
      </x:c>
      <x:c r="D681" s="30" t="str">
        <x:v>直接效果</x:v>
      </x:c>
      <x:c r="E681" s="30" t="str">
        <x:v>经实际执行/回执提交；不是规划时提前修改</x:v>
      </x:c>
    </x:row>
    <x:row r="682" ht="32" customHeight="1">
      <x:c r="A682" s="30" t="str">
        <x:v>A006</x:v>
      </x:c>
      <x:c r="B682" s="30" t="str">
        <x:v>F338</x:v>
      </x:c>
      <x:c r="C682" s="30" t="str">
        <x:v>job.start_s</x:v>
      </x:c>
      <x:c r="D682" s="30" t="str">
        <x:v>直接效果</x:v>
      </x:c>
      <x:c r="E682" s="30" t="str">
        <x:v>经实际执行/回执提交；不是规划时提前修改</x:v>
      </x:c>
    </x:row>
    <x:row r="683" ht="32" customHeight="1">
      <x:c r="A683" s="30" t="str">
        <x:v>A006</x:v>
      </x:c>
      <x:c r="B683" s="30" t="str">
        <x:v>F339</x:v>
      </x:c>
      <x:c r="C683" s="30" t="str">
        <x:v>job.finish_s</x:v>
      </x:c>
      <x:c r="D683" s="30" t="str">
        <x:v>直接效果</x:v>
      </x:c>
      <x:c r="E683" s="30" t="str">
        <x:v>经实际执行/回执提交；不是规划时提前修改</x:v>
      </x:c>
    </x:row>
    <x:row r="684" ht="32" customHeight="1">
      <x:c r="A684" s="30" t="str">
        <x:v>A006</x:v>
      </x:c>
      <x:c r="B684" s="30" t="str">
        <x:v>F346</x:v>
      </x:c>
      <x:c r="C684" s="30" t="str">
        <x:v>job.result_ref</x:v>
      </x:c>
      <x:c r="D684" s="30" t="str">
        <x:v>直接效果</x:v>
      </x:c>
      <x:c r="E684" s="30" t="str">
        <x:v>经实际执行/回执提交；不是规划时提前修改</x:v>
      </x:c>
    </x:row>
    <x:row r="685" ht="32" customHeight="1">
      <x:c r="A685" s="30" t="str">
        <x:v>A006</x:v>
      </x:c>
      <x:c r="B685" s="30" t="str">
        <x:v>F345</x:v>
      </x:c>
      <x:c r="C685" s="30" t="str">
        <x:v>job.wall_time_s</x:v>
      </x:c>
      <x:c r="D685" s="30" t="str">
        <x:v>直接效果</x:v>
      </x:c>
      <x:c r="E685" s="30" t="str">
        <x:v>经实际执行/回执提交；不是规划时提前修改</x:v>
      </x:c>
    </x:row>
    <x:row r="686" ht="32" customHeight="1">
      <x:c r="A686" s="30" t="str">
        <x:v>A006</x:v>
      </x:c>
      <x:c r="B686" s="30" t="str">
        <x:v>F174</x:v>
      </x:c>
      <x:c r="C686" s="30" t="str">
        <x:v>observation.detections</x:v>
      </x:c>
      <x:c r="D686" s="30" t="str">
        <x:v>直接效果</x:v>
      </x:c>
      <x:c r="E686" s="30" t="str">
        <x:v>经实际执行/回执提交；不是规划时提前修改</x:v>
      </x:c>
    </x:row>
    <x:row r="687" ht="32" customHeight="1">
      <x:c r="A687" s="30" t="str">
        <x:v>A006</x:v>
      </x:c>
      <x:c r="B687" s="30" t="str">
        <x:v>F175</x:v>
      </x:c>
      <x:c r="C687" s="30" t="str">
        <x:v>observation.confidence</x:v>
      </x:c>
      <x:c r="D687" s="30" t="str">
        <x:v>直接效果</x:v>
      </x:c>
      <x:c r="E687" s="30" t="str">
        <x:v>经实际执行/回执提交；不是规划时提前修改</x:v>
      </x:c>
    </x:row>
    <x:row r="688" ht="32" customHeight="1">
      <x:c r="A688" s="30" t="str">
        <x:v>A007</x:v>
      </x:c>
      <x:c r="B688" s="30" t="str">
        <x:v>F001</x:v>
      </x:c>
      <x:c r="C688" s="30" t="str">
        <x:v>entity.id</x:v>
      </x:c>
      <x:c r="D688" s="30" t="str">
        <x:v>候选输入schema</x:v>
      </x:c>
      <x:c r="E688" s="30" t="str">
        <x:v>按执行角色权限读取；策略只能使用可访问快照</x:v>
      </x:c>
    </x:row>
    <x:row r="689" ht="32" customHeight="1">
      <x:c r="A689" s="30" t="str">
        <x:v>A007</x:v>
      </x:c>
      <x:c r="B689" s="30" t="str">
        <x:v>F002</x:v>
      </x:c>
      <x:c r="C689" s="30" t="str">
        <x:v>entity.kind</x:v>
      </x:c>
      <x:c r="D689" s="30" t="str">
        <x:v>候选输入schema</x:v>
      </x:c>
      <x:c r="E689" s="30" t="str">
        <x:v>按执行角色权限读取；策略只能使用可访问快照</x:v>
      </x:c>
    </x:row>
    <x:row r="690" ht="32" customHeight="1">
      <x:c r="A690" s="30" t="str">
        <x:v>A007</x:v>
      </x:c>
      <x:c r="B690" s="30" t="str">
        <x:v>F003</x:v>
      </x:c>
      <x:c r="C690" s="30" t="str">
        <x:v>entity.parent_id</x:v>
      </x:c>
      <x:c r="D690" s="30" t="str">
        <x:v>候选输入schema</x:v>
      </x:c>
      <x:c r="E690" s="30" t="str">
        <x:v>按执行角色权限读取；策略只能使用可访问快照</x:v>
      </x:c>
    </x:row>
    <x:row r="691" ht="32" customHeight="1">
      <x:c r="A691" s="30" t="str">
        <x:v>A007</x:v>
      </x:c>
      <x:c r="B691" s="30" t="str">
        <x:v>F004</x:v>
      </x:c>
      <x:c r="C691" s="30" t="str">
        <x:v>entity.pose</x:v>
      </x:c>
      <x:c r="D691" s="30" t="str">
        <x:v>候选输入schema</x:v>
      </x:c>
      <x:c r="E691" s="30" t="str">
        <x:v>按执行角色权限读取；策略只能使用可访问快照</x:v>
      </x:c>
    </x:row>
    <x:row r="692" ht="32" customHeight="1">
      <x:c r="A692" s="30" t="str">
        <x:v>A007</x:v>
      </x:c>
      <x:c r="B692" s="30" t="str">
        <x:v>F005</x:v>
      </x:c>
      <x:c r="C692" s="30" t="str">
        <x:v>entity.footprint</x:v>
      </x:c>
      <x:c r="D692" s="30" t="str">
        <x:v>候选输入schema</x:v>
      </x:c>
      <x:c r="E692" s="30" t="str">
        <x:v>按执行角色权限读取；策略只能使用可访问快照</x:v>
      </x:c>
    </x:row>
    <x:row r="693" ht="32" customHeight="1">
      <x:c r="A693" s="30" t="str">
        <x:v>A007</x:v>
      </x:c>
      <x:c r="B693" s="30" t="str">
        <x:v>F006</x:v>
      </x:c>
      <x:c r="C693" s="30" t="str">
        <x:v>entity.height_m</x:v>
      </x:c>
      <x:c r="D693" s="30" t="str">
        <x:v>候选输入schema</x:v>
      </x:c>
      <x:c r="E693" s="30" t="str">
        <x:v>按执行角色权限读取；策略只能使用可访问快照</x:v>
      </x:c>
    </x:row>
    <x:row r="694" ht="32" customHeight="1">
      <x:c r="A694" s="30" t="str">
        <x:v>A007</x:v>
      </x:c>
      <x:c r="B694" s="30" t="str">
        <x:v>F007</x:v>
      </x:c>
      <x:c r="C694" s="30" t="str">
        <x:v>entity.region_id</x:v>
      </x:c>
      <x:c r="D694" s="30" t="str">
        <x:v>候选输入schema</x:v>
      </x:c>
      <x:c r="E694" s="30" t="str">
        <x:v>按执行角色权限读取；策略只能使用可访问快照</x:v>
      </x:c>
    </x:row>
    <x:row r="695" ht="32" customHeight="1">
      <x:c r="A695" s="30" t="str">
        <x:v>A007</x:v>
      </x:c>
      <x:c r="B695" s="30" t="str">
        <x:v>F008</x:v>
      </x:c>
      <x:c r="C695" s="30" t="str">
        <x:v>entity.revision</x:v>
      </x:c>
      <x:c r="D695" s="30" t="str">
        <x:v>候选输入schema</x:v>
      </x:c>
      <x:c r="E695" s="30" t="str">
        <x:v>按执行角色权限读取；策略只能使用可访问快照</x:v>
      </x:c>
    </x:row>
    <x:row r="696" ht="32" customHeight="1">
      <x:c r="A696" s="30" t="str">
        <x:v>A007</x:v>
      </x:c>
      <x:c r="B696" s="30" t="str">
        <x:v>F009</x:v>
      </x:c>
      <x:c r="C696" s="30" t="str">
        <x:v>entity.provenance</x:v>
      </x:c>
      <x:c r="D696" s="30" t="str">
        <x:v>候选输入schema</x:v>
      </x:c>
      <x:c r="E696" s="30" t="str">
        <x:v>按执行角色权限读取；策略只能使用可访问快照</x:v>
      </x:c>
    </x:row>
    <x:row r="697" ht="32" customHeight="1">
      <x:c r="A697" s="30" t="str">
        <x:v>A007</x:v>
      </x:c>
      <x:c r="B697" s="30" t="str">
        <x:v>F151</x:v>
      </x:c>
      <x:c r="C697" s="30" t="str">
        <x:v>sensor.modality</x:v>
      </x:c>
      <x:c r="D697" s="30" t="str">
        <x:v>候选输入schema</x:v>
      </x:c>
      <x:c r="E697" s="30" t="str">
        <x:v>按执行角色权限读取；策略只能使用可访问快照</x:v>
      </x:c>
    </x:row>
    <x:row r="698" ht="32" customHeight="1">
      <x:c r="A698" s="30" t="str">
        <x:v>A007</x:v>
      </x:c>
      <x:c r="B698" s="30" t="str">
        <x:v>F152</x:v>
      </x:c>
      <x:c r="C698" s="30" t="str">
        <x:v>sensor.mount_pose</x:v>
      </x:c>
      <x:c r="D698" s="30" t="str">
        <x:v>候选输入schema</x:v>
      </x:c>
      <x:c r="E698" s="30" t="str">
        <x:v>按执行角色权限读取；策略只能使用可访问快照</x:v>
      </x:c>
    </x:row>
    <x:row r="699" ht="32" customHeight="1">
      <x:c r="A699" s="30" t="str">
        <x:v>A007</x:v>
      </x:c>
      <x:c r="B699" s="30" t="str">
        <x:v>F153</x:v>
      </x:c>
      <x:c r="C699" s="30" t="str">
        <x:v>sensor.fov_deg</x:v>
      </x:c>
      <x:c r="D699" s="30" t="str">
        <x:v>候选输入schema</x:v>
      </x:c>
      <x:c r="E699" s="30" t="str">
        <x:v>按执行角色权限读取；策略只能使用可访问快照</x:v>
      </x:c>
    </x:row>
    <x:row r="700" ht="32" customHeight="1">
      <x:c r="A700" s="30" t="str">
        <x:v>A007</x:v>
      </x:c>
      <x:c r="B700" s="30" t="str">
        <x:v>F154</x:v>
      </x:c>
      <x:c r="C700" s="30" t="str">
        <x:v>sensor.resolution</x:v>
      </x:c>
      <x:c r="D700" s="30" t="str">
        <x:v>候选输入schema</x:v>
      </x:c>
      <x:c r="E700" s="30" t="str">
        <x:v>按执行角色权限读取；策略只能使用可访问快照</x:v>
      </x:c>
    </x:row>
    <x:row r="701" ht="32" customHeight="1">
      <x:c r="A701" s="30" t="str">
        <x:v>A007</x:v>
      </x:c>
      <x:c r="B701" s="30" t="str">
        <x:v>F155</x:v>
      </x:c>
      <x:c r="C701" s="30" t="str">
        <x:v>sensor.range_m</x:v>
      </x:c>
      <x:c r="D701" s="30" t="str">
        <x:v>候选输入schema</x:v>
      </x:c>
      <x:c r="E701" s="30" t="str">
        <x:v>按执行角色权限读取；策略只能使用可访问快照</x:v>
      </x:c>
    </x:row>
    <x:row r="702" ht="32" customHeight="1">
      <x:c r="A702" s="30" t="str">
        <x:v>A007</x:v>
      </x:c>
      <x:c r="B702" s="30" t="str">
        <x:v>F156</x:v>
      </x:c>
      <x:c r="C702" s="30" t="str">
        <x:v>sensor.sampling_period_s</x:v>
      </x:c>
      <x:c r="D702" s="30" t="str">
        <x:v>候选输入schema</x:v>
      </x:c>
      <x:c r="E702" s="30" t="str">
        <x:v>按执行角色权限读取；策略只能使用可访问快照</x:v>
      </x:c>
    </x:row>
    <x:row r="703" ht="32" customHeight="1">
      <x:c r="A703" s="30" t="str">
        <x:v>A007</x:v>
      </x:c>
      <x:c r="B703" s="30" t="str">
        <x:v>F157</x:v>
      </x:c>
      <x:c r="C703" s="30" t="str">
        <x:v>sensor.enabled</x:v>
      </x:c>
      <x:c r="D703" s="30" t="str">
        <x:v>候选输入schema</x:v>
      </x:c>
      <x:c r="E703" s="30" t="str">
        <x:v>按执行角色权限读取；策略只能使用可访问快照</x:v>
      </x:c>
    </x:row>
    <x:row r="704" ht="32" customHeight="1">
      <x:c r="A704" s="30" t="str">
        <x:v>A007</x:v>
      </x:c>
      <x:c r="B704" s="30" t="str">
        <x:v>F158</x:v>
      </x:c>
      <x:c r="C704" s="30" t="str">
        <x:v>sensor.health</x:v>
      </x:c>
      <x:c r="D704" s="30" t="str">
        <x:v>候选输入schema</x:v>
      </x:c>
      <x:c r="E704" s="30" t="str">
        <x:v>按执行角色权限读取；策略只能使用可访问快照</x:v>
      </x:c>
    </x:row>
    <x:row r="705" ht="32" customHeight="1">
      <x:c r="A705" s="30" t="str">
        <x:v>A007</x:v>
      </x:c>
      <x:c r="B705" s="30" t="str">
        <x:v>F159</x:v>
      </x:c>
      <x:c r="C705" s="30" t="str">
        <x:v>sensor.exposure</x:v>
      </x:c>
      <x:c r="D705" s="30" t="str">
        <x:v>候选输入schema</x:v>
      </x:c>
      <x:c r="E705" s="30" t="str">
        <x:v>按执行角色权限读取；策略只能使用可访问快照</x:v>
      </x:c>
    </x:row>
    <x:row r="706" ht="32" customHeight="1">
      <x:c r="A706" s="30" t="str">
        <x:v>A007</x:v>
      </x:c>
      <x:c r="B706" s="30" t="str">
        <x:v>F160</x:v>
      </x:c>
      <x:c r="C706" s="30" t="str">
        <x:v>sensor.calibration_id</x:v>
      </x:c>
      <x:c r="D706" s="30" t="str">
        <x:v>候选输入schema</x:v>
      </x:c>
      <x:c r="E706" s="30" t="str">
        <x:v>按执行角色权限读取；策略只能使用可访问快照</x:v>
      </x:c>
    </x:row>
    <x:row r="707" ht="32" customHeight="1">
      <x:c r="A707" s="30" t="str">
        <x:v>A007</x:v>
      </x:c>
      <x:c r="B707" s="30" t="str">
        <x:v>F161</x:v>
      </x:c>
      <x:c r="C707" s="30" t="str">
        <x:v>sensor.gimbal_pose</x:v>
      </x:c>
      <x:c r="D707" s="30" t="str">
        <x:v>候选输入schema</x:v>
      </x:c>
      <x:c r="E707" s="30" t="str">
        <x:v>按执行角色权限读取；策略只能使用可访问快照</x:v>
      </x:c>
    </x:row>
    <x:row r="708" ht="32" customHeight="1">
      <x:c r="A708" s="30" t="str">
        <x:v>A007</x:v>
      </x:c>
      <x:c r="B708" s="30" t="str">
        <x:v>F162</x:v>
      </x:c>
      <x:c r="C708" s="30" t="str">
        <x:v>sensor.capture_state</x:v>
      </x:c>
      <x:c r="D708" s="30" t="str">
        <x:v>候选输入schema</x:v>
      </x:c>
      <x:c r="E708" s="30" t="str">
        <x:v>按执行角色权限读取；策略只能使用可访问快照</x:v>
      </x:c>
    </x:row>
    <x:row r="709" ht="32" customHeight="1">
      <x:c r="A709" s="30" t="str">
        <x:v>A007</x:v>
      </x:c>
      <x:c r="B709" s="30" t="str">
        <x:v>F163</x:v>
      </x:c>
      <x:c r="C709" s="30" t="str">
        <x:v>sensor.noise_model</x:v>
      </x:c>
      <x:c r="D709" s="30" t="str">
        <x:v>候选输入schema</x:v>
      </x:c>
      <x:c r="E709" s="30" t="str">
        <x:v>按执行角色权限读取；策略只能使用可访问快照</x:v>
      </x:c>
    </x:row>
    <x:row r="710" ht="32" customHeight="1">
      <x:c r="A710" s="30" t="str">
        <x:v>A007</x:v>
      </x:c>
      <x:c r="B710" s="30" t="str">
        <x:v>F164</x:v>
      </x:c>
      <x:c r="C710" s="30" t="str">
        <x:v>sensor.blind_zone</x:v>
      </x:c>
      <x:c r="D710" s="30" t="str">
        <x:v>候选输入schema</x:v>
      </x:c>
      <x:c r="E710" s="30" t="str">
        <x:v>按执行角色权限读取；策略只能使用可访问快照</x:v>
      </x:c>
    </x:row>
    <x:row r="711" ht="32" customHeight="1">
      <x:c r="A711" s="30" t="str">
        <x:v>A007</x:v>
      </x:c>
      <x:c r="B711" s="30" t="str">
        <x:v>F165</x:v>
      </x:c>
      <x:c r="C711" s="30" t="str">
        <x:v>sensor.last_capture_s</x:v>
      </x:c>
      <x:c r="D711" s="30" t="str">
        <x:v>候选输入schema</x:v>
      </x:c>
      <x:c r="E711" s="30" t="str">
        <x:v>按执行角色权限读取；策略只能使用可访问快照</x:v>
      </x:c>
    </x:row>
    <x:row r="712" ht="32" customHeight="1">
      <x:c r="A712" s="30" t="str">
        <x:v>A007</x:v>
      </x:c>
      <x:c r="B712" s="30" t="str">
        <x:v>F166</x:v>
      </x:c>
      <x:c r="C712" s="30" t="str">
        <x:v>observation.observer_id</x:v>
      </x:c>
      <x:c r="D712" s="30" t="str">
        <x:v>候选输入schema</x:v>
      </x:c>
      <x:c r="E712" s="30" t="str">
        <x:v>按执行角色权限读取；策略只能使用可访问快照</x:v>
      </x:c>
    </x:row>
    <x:row r="713" ht="32" customHeight="1">
      <x:c r="A713" s="30" t="str">
        <x:v>A007</x:v>
      </x:c>
      <x:c r="B713" s="30" t="str">
        <x:v>F167</x:v>
      </x:c>
      <x:c r="C713" s="30" t="str">
        <x:v>observation.sensor_id</x:v>
      </x:c>
      <x:c r="D713" s="30" t="str">
        <x:v>候选输入schema</x:v>
      </x:c>
      <x:c r="E713" s="30" t="str">
        <x:v>按执行角色权限读取；策略只能使用可访问快照</x:v>
      </x:c>
    </x:row>
    <x:row r="714" ht="32" customHeight="1">
      <x:c r="A714" s="30" t="str">
        <x:v>A007</x:v>
      </x:c>
      <x:c r="B714" s="30" t="str">
        <x:v>F168</x:v>
      </x:c>
      <x:c r="C714" s="30" t="str">
        <x:v>observation.captured_at_s</x:v>
      </x:c>
      <x:c r="D714" s="30" t="str">
        <x:v>候选输入schema</x:v>
      </x:c>
      <x:c r="E714" s="30" t="str">
        <x:v>按执行角色权限读取；策略只能使用可访问快照</x:v>
      </x:c>
    </x:row>
    <x:row r="715" ht="32" customHeight="1">
      <x:c r="A715" s="30" t="str">
        <x:v>A007</x:v>
      </x:c>
      <x:c r="B715" s="30" t="str">
        <x:v>F169</x:v>
      </x:c>
      <x:c r="C715" s="30" t="str">
        <x:v>observation.pose_estimate</x:v>
      </x:c>
      <x:c r="D715" s="30" t="str">
        <x:v>候选输入schema</x:v>
      </x:c>
      <x:c r="E715" s="30" t="str">
        <x:v>按执行角色权限读取；策略只能使用可访问快照</x:v>
      </x:c>
    </x:row>
    <x:row r="716" ht="32" customHeight="1">
      <x:c r="A716" s="30" t="str">
        <x:v>A007</x:v>
      </x:c>
      <x:c r="B716" s="30" t="str">
        <x:v>F170</x:v>
      </x:c>
      <x:c r="C716" s="30" t="str">
        <x:v>observation.payload_ref</x:v>
      </x:c>
      <x:c r="D716" s="30" t="str">
        <x:v>候选输入schema</x:v>
      </x:c>
      <x:c r="E716" s="30" t="str">
        <x:v>按执行角色权限读取；策略只能使用可访问快照</x:v>
      </x:c>
    </x:row>
    <x:row r="717" ht="32" customHeight="1">
      <x:c r="A717" s="30" t="str">
        <x:v>A007</x:v>
      </x:c>
      <x:c r="B717" s="30" t="str">
        <x:v>F171</x:v>
      </x:c>
      <x:c r="C717" s="30" t="str">
        <x:v>observation.payload_bytes</x:v>
      </x:c>
      <x:c r="D717" s="30" t="str">
        <x:v>候选输入schema</x:v>
      </x:c>
      <x:c r="E717" s="30" t="str">
        <x:v>按执行角色权限读取；策略只能使用可访问快照</x:v>
      </x:c>
    </x:row>
    <x:row r="718" ht="32" customHeight="1">
      <x:c r="A718" s="30" t="str">
        <x:v>A007</x:v>
      </x:c>
      <x:c r="B718" s="30" t="str">
        <x:v>F172</x:v>
      </x:c>
      <x:c r="C718" s="30" t="str">
        <x:v>observation.content_hash</x:v>
      </x:c>
      <x:c r="D718" s="30" t="str">
        <x:v>候选输入schema</x:v>
      </x:c>
      <x:c r="E718" s="30" t="str">
        <x:v>按执行角色权限读取；策略只能使用可访问快照</x:v>
      </x:c>
    </x:row>
    <x:row r="719" ht="32" customHeight="1">
      <x:c r="A719" s="30" t="str">
        <x:v>A007</x:v>
      </x:c>
      <x:c r="B719" s="30" t="str">
        <x:v>F173</x:v>
      </x:c>
      <x:c r="C719" s="30" t="str">
        <x:v>observation.modality</x:v>
      </x:c>
      <x:c r="D719" s="30" t="str">
        <x:v>候选输入schema</x:v>
      </x:c>
      <x:c r="E719" s="30" t="str">
        <x:v>按执行角色权限读取；策略只能使用可访问快照</x:v>
      </x:c>
    </x:row>
    <x:row r="720" ht="32" customHeight="1">
      <x:c r="A720" s="30" t="str">
        <x:v>A007</x:v>
      </x:c>
      <x:c r="B720" s="30" t="str">
        <x:v>F174</x:v>
      </x:c>
      <x:c r="C720" s="30" t="str">
        <x:v>observation.detections</x:v>
      </x:c>
      <x:c r="D720" s="30" t="str">
        <x:v>候选输入schema</x:v>
      </x:c>
      <x:c r="E720" s="30" t="str">
        <x:v>按执行角色权限读取；策略只能使用可访问快照</x:v>
      </x:c>
    </x:row>
    <x:row r="721" ht="32" customHeight="1">
      <x:c r="A721" s="30" t="str">
        <x:v>A007</x:v>
      </x:c>
      <x:c r="B721" s="30" t="str">
        <x:v>F175</x:v>
      </x:c>
      <x:c r="C721" s="30" t="str">
        <x:v>observation.confidence</x:v>
      </x:c>
      <x:c r="D721" s="30" t="str">
        <x:v>候选输入schema</x:v>
      </x:c>
      <x:c r="E721" s="30" t="str">
        <x:v>按执行角色权限读取；策略只能使用可访问快照</x:v>
      </x:c>
    </x:row>
    <x:row r="722" ht="32" customHeight="1">
      <x:c r="A722" s="30" t="str">
        <x:v>A007</x:v>
      </x:c>
      <x:c r="B722" s="30" t="str">
        <x:v>F176</x:v>
      </x:c>
      <x:c r="C722" s="30" t="str">
        <x:v>observation.coverage_estimate</x:v>
      </x:c>
      <x:c r="D722" s="30" t="str">
        <x:v>候选输入schema</x:v>
      </x:c>
      <x:c r="E722" s="30" t="str">
        <x:v>按执行角色权限读取；策略只能使用可访问快照</x:v>
      </x:c>
    </x:row>
    <x:row r="723" ht="32" customHeight="1">
      <x:c r="A723" s="30" t="str">
        <x:v>A007</x:v>
      </x:c>
      <x:c r="B723" s="30" t="str">
        <x:v>F177</x:v>
      </x:c>
      <x:c r="C723" s="30" t="str">
        <x:v>observation.processing_job_id</x:v>
      </x:c>
      <x:c r="D723" s="30" t="str">
        <x:v>候选输入schema</x:v>
      </x:c>
      <x:c r="E723" s="30" t="str">
        <x:v>按执行角色权限读取；策略只能使用可访问快照</x:v>
      </x:c>
    </x:row>
    <x:row r="724" ht="32" customHeight="1">
      <x:c r="A724" s="30" t="str">
        <x:v>A007</x:v>
      </x:c>
      <x:c r="B724" s="30" t="str">
        <x:v>F178</x:v>
      </x:c>
      <x:c r="C724" s="30" t="str">
        <x:v>observation.parent_evidence_ids</x:v>
      </x:c>
      <x:c r="D724" s="30" t="str">
        <x:v>候选输入schema</x:v>
      </x:c>
      <x:c r="E724" s="30" t="str">
        <x:v>按执行角色权限读取；策略只能使用可访问快照</x:v>
      </x:c>
    </x:row>
    <x:row r="725" ht="32" customHeight="1">
      <x:c r="A725" s="30" t="str">
        <x:v>A007</x:v>
      </x:c>
      <x:c r="B725" s="30" t="str">
        <x:v>F179</x:v>
      </x:c>
      <x:c r="C725" s="30" t="str">
        <x:v>observation.valid_until_s</x:v>
      </x:c>
      <x:c r="D725" s="30" t="str">
        <x:v>候选输入schema</x:v>
      </x:c>
      <x:c r="E725" s="30" t="str">
        <x:v>按执行角色权限读取；策略只能使用可访问快照</x:v>
      </x:c>
    </x:row>
    <x:row r="726" ht="32" customHeight="1">
      <x:c r="A726" s="30" t="str">
        <x:v>A007</x:v>
      </x:c>
      <x:c r="B726" s="30" t="str">
        <x:v>F180</x:v>
      </x:c>
      <x:c r="C726" s="30" t="str">
        <x:v>observation.mode</x:v>
      </x:c>
      <x:c r="D726" s="30" t="str">
        <x:v>候选输入schema</x:v>
      </x:c>
      <x:c r="E726" s="30" t="str">
        <x:v>按执行角色权限读取；策略只能使用可访问快照</x:v>
      </x:c>
    </x:row>
    <x:row r="727" ht="32" customHeight="1">
      <x:c r="A727" s="30" t="str">
        <x:v>A007</x:v>
      </x:c>
      <x:c r="B727" s="30" t="str">
        <x:v>F181</x:v>
      </x:c>
      <x:c r="C727" s="30" t="str">
        <x:v>belief.agent_id</x:v>
      </x:c>
      <x:c r="D727" s="30" t="str">
        <x:v>候选输入schema</x:v>
      </x:c>
      <x:c r="E727" s="30" t="str">
        <x:v>按执行角色权限读取；策略只能使用可访问快照</x:v>
      </x:c>
    </x:row>
    <x:row r="728" ht="32" customHeight="1">
      <x:c r="A728" s="30" t="str">
        <x:v>A007</x:v>
      </x:c>
      <x:c r="B728" s="30" t="str">
        <x:v>F182</x:v>
      </x:c>
      <x:c r="C728" s="30" t="str">
        <x:v>belief.entity_ref</x:v>
      </x:c>
      <x:c r="D728" s="30" t="str">
        <x:v>候选输入schema</x:v>
      </x:c>
      <x:c r="E728" s="30" t="str">
        <x:v>按执行角色权限读取；策略只能使用可访问快照</x:v>
      </x:c>
    </x:row>
    <x:row r="729" ht="32" customHeight="1">
      <x:c r="A729" s="30" t="str">
        <x:v>A007</x:v>
      </x:c>
      <x:c r="B729" s="30" t="str">
        <x:v>F183</x:v>
      </x:c>
      <x:c r="C729" s="30" t="str">
        <x:v>belief.estimated_damage</x:v>
      </x:c>
      <x:c r="D729" s="30" t="str">
        <x:v>候选输入schema</x:v>
      </x:c>
      <x:c r="E729" s="30" t="str">
        <x:v>按执行角色权限读取；策略只能使用可访问快照</x:v>
      </x:c>
    </x:row>
    <x:row r="730" ht="32" customHeight="1">
      <x:c r="A730" s="30" t="str">
        <x:v>A007</x:v>
      </x:c>
      <x:c r="B730" s="30" t="str">
        <x:v>F184</x:v>
      </x:c>
      <x:c r="C730" s="30" t="str">
        <x:v>belief.human_presence</x:v>
      </x:c>
      <x:c r="D730" s="30" t="str">
        <x:v>候选输入schema</x:v>
      </x:c>
      <x:c r="E730" s="30" t="str">
        <x:v>按执行角色权限读取；策略只能使用可访问快照</x:v>
      </x:c>
    </x:row>
    <x:row r="731" ht="32" customHeight="1">
      <x:c r="A731" s="30" t="str">
        <x:v>A007</x:v>
      </x:c>
      <x:c r="B731" s="30" t="str">
        <x:v>F185</x:v>
      </x:c>
      <x:c r="C731" s="30" t="str">
        <x:v>belief.estimated_pose</x:v>
      </x:c>
      <x:c r="D731" s="30" t="str">
        <x:v>候选输入schema</x:v>
      </x:c>
      <x:c r="E731" s="30" t="str">
        <x:v>按执行角色权限读取；策略只能使用可访问快照</x:v>
      </x:c>
    </x:row>
    <x:row r="732" ht="32" customHeight="1">
      <x:c r="A732" s="30" t="str">
        <x:v>A007</x:v>
      </x:c>
      <x:c r="B732" s="30" t="str">
        <x:v>F186</x:v>
      </x:c>
      <x:c r="C732" s="30" t="str">
        <x:v>belief.estimated_access</x:v>
      </x:c>
      <x:c r="D732" s="30" t="str">
        <x:v>候选输入schema</x:v>
      </x:c>
      <x:c r="E732" s="30" t="str">
        <x:v>按执行角色权限读取；策略只能使用可访问快照</x:v>
      </x:c>
    </x:row>
    <x:row r="733" ht="32" customHeight="1">
      <x:c r="A733" s="30" t="str">
        <x:v>A007</x:v>
      </x:c>
      <x:c r="B733" s="30" t="str">
        <x:v>F187</x:v>
      </x:c>
      <x:c r="C733" s="30" t="str">
        <x:v>belief.estimated_needs</x:v>
      </x:c>
      <x:c r="D733" s="30" t="str">
        <x:v>候选输入schema</x:v>
      </x:c>
      <x:c r="E733" s="30" t="str">
        <x:v>按执行角色权限读取；策略只能使用可访问快照</x:v>
      </x:c>
    </x:row>
    <x:row r="734" ht="32" customHeight="1">
      <x:c r="A734" s="30" t="str">
        <x:v>A007</x:v>
      </x:c>
      <x:c r="B734" s="30" t="str">
        <x:v>F188</x:v>
      </x:c>
      <x:c r="C734" s="30" t="str">
        <x:v>belief.evidence_ids</x:v>
      </x:c>
      <x:c r="D734" s="30" t="str">
        <x:v>候选输入schema</x:v>
      </x:c>
      <x:c r="E734" s="30" t="str">
        <x:v>按执行角色权限读取；策略只能使用可访问快照</x:v>
      </x:c>
    </x:row>
    <x:row r="735" ht="32" customHeight="1">
      <x:c r="A735" s="30" t="str">
        <x:v>A007</x:v>
      </x:c>
      <x:c r="B735" s="30" t="str">
        <x:v>F189</x:v>
      </x:c>
      <x:c r="C735" s="30" t="str">
        <x:v>belief.source_agent_ids</x:v>
      </x:c>
      <x:c r="D735" s="30" t="str">
        <x:v>候选输入schema</x:v>
      </x:c>
      <x:c r="E735" s="30" t="str">
        <x:v>按执行角色权限读取；策略只能使用可访问快照</x:v>
      </x:c>
    </x:row>
    <x:row r="736" ht="32" customHeight="1">
      <x:c r="A736" s="30" t="str">
        <x:v>A007</x:v>
      </x:c>
      <x:c r="B736" s="30" t="str">
        <x:v>F190</x:v>
      </x:c>
      <x:c r="C736" s="30" t="str">
        <x:v>belief.updated_at_s</x:v>
      </x:c>
      <x:c r="D736" s="30" t="str">
        <x:v>候选输入schema</x:v>
      </x:c>
      <x:c r="E736" s="30" t="str">
        <x:v>按执行角色权限读取；策略只能使用可访问快照</x:v>
      </x:c>
    </x:row>
    <x:row r="737" ht="32" customHeight="1">
      <x:c r="A737" s="30" t="str">
        <x:v>A007</x:v>
      </x:c>
      <x:c r="B737" s="30" t="str">
        <x:v>F191</x:v>
      </x:c>
      <x:c r="C737" s="30" t="str">
        <x:v>belief.staleness_s</x:v>
      </x:c>
      <x:c r="D737" s="30" t="str">
        <x:v>候选输入schema</x:v>
      </x:c>
      <x:c r="E737" s="30" t="str">
        <x:v>按执行角色权限读取；策略只能使用可访问快照</x:v>
      </x:c>
    </x:row>
    <x:row r="738" ht="32" customHeight="1">
      <x:c r="A738" s="30" t="str">
        <x:v>A007</x:v>
      </x:c>
      <x:c r="B738" s="30" t="str">
        <x:v>F192</x:v>
      </x:c>
      <x:c r="C738" s="30" t="str">
        <x:v>belief.conflict_state</x:v>
      </x:c>
      <x:c r="D738" s="30" t="str">
        <x:v>候选输入schema</x:v>
      </x:c>
      <x:c r="E738" s="30" t="str">
        <x:v>按执行角色权限读取；策略只能使用可访问快照</x:v>
      </x:c>
    </x:row>
    <x:row r="739" ht="32" customHeight="1">
      <x:c r="A739" s="30" t="str">
        <x:v>A007</x:v>
      </x:c>
      <x:c r="B739" s="30" t="str">
        <x:v>F193</x:v>
      </x:c>
      <x:c r="C739" s="30" t="str">
        <x:v>belief.team_estimates</x:v>
      </x:c>
      <x:c r="D739" s="30" t="str">
        <x:v>候选输入schema</x:v>
      </x:c>
      <x:c r="E739" s="30" t="str">
        <x:v>按执行角色权限读取；策略只能使用可访问快照</x:v>
      </x:c>
    </x:row>
    <x:row r="740" ht="32" customHeight="1">
      <x:c r="A740" s="30" t="str">
        <x:v>A007</x:v>
      </x:c>
      <x:c r="B740" s="30" t="str">
        <x:v>F194</x:v>
      </x:c>
      <x:c r="C740" s="30" t="str">
        <x:v>belief.search_status</x:v>
      </x:c>
      <x:c r="D740" s="30" t="str">
        <x:v>候选输入schema</x:v>
      </x:c>
      <x:c r="E740" s="30" t="str">
        <x:v>按执行角色权限读取；策略只能使用可访问快照</x:v>
      </x:c>
    </x:row>
    <x:row r="741" ht="32" customHeight="1">
      <x:c r="A741" s="30" t="str">
        <x:v>A007</x:v>
      </x:c>
      <x:c r="B741" s="30" t="str">
        <x:v>F195</x:v>
      </x:c>
      <x:c r="C741" s="30" t="str">
        <x:v>belief.current_goal_context</x:v>
      </x:c>
      <x:c r="D741" s="30" t="str">
        <x:v>候选输入schema</x:v>
      </x:c>
      <x:c r="E741" s="30" t="str">
        <x:v>按执行角色权限读取；策略只能使用可访问快照</x:v>
      </x:c>
    </x:row>
    <x:row r="742" ht="32" customHeight="1">
      <x:c r="A742" s="30" t="str">
        <x:v>A007</x:v>
      </x:c>
      <x:c r="B742" s="30" t="str">
        <x:v>F293</x:v>
      </x:c>
      <x:c r="C742" s="30" t="str">
        <x:v>compute.node_id</x:v>
      </x:c>
      <x:c r="D742" s="30" t="str">
        <x:v>候选输入schema</x:v>
      </x:c>
      <x:c r="E742" s="30" t="str">
        <x:v>按执行角色权限读取；策略只能使用可访问快照</x:v>
      </x:c>
    </x:row>
    <x:row r="743" ht="32" customHeight="1">
      <x:c r="A743" s="30" t="str">
        <x:v>A007</x:v>
      </x:c>
      <x:c r="B743" s="30" t="str">
        <x:v>F294</x:v>
      </x:c>
      <x:c r="C743" s="30" t="str">
        <x:v>compute.device_kind</x:v>
      </x:c>
      <x:c r="D743" s="30" t="str">
        <x:v>候选输入schema</x:v>
      </x:c>
      <x:c r="E743" s="30" t="str">
        <x:v>按执行角色权限读取；策略只能使用可访问快照</x:v>
      </x:c>
    </x:row>
    <x:row r="744" ht="32" customHeight="1">
      <x:c r="A744" s="30" t="str">
        <x:v>A007</x:v>
      </x:c>
      <x:c r="B744" s="30" t="str">
        <x:v>F295</x:v>
      </x:c>
      <x:c r="C744" s="30" t="str">
        <x:v>compute.cpu_capacity</x:v>
      </x:c>
      <x:c r="D744" s="30" t="str">
        <x:v>候选输入schema</x:v>
      </x:c>
      <x:c r="E744" s="30" t="str">
        <x:v>按执行角色权限读取；策略只能使用可访问快照</x:v>
      </x:c>
    </x:row>
    <x:row r="745" ht="32" customHeight="1">
      <x:c r="A745" s="30" t="str">
        <x:v>A007</x:v>
      </x:c>
      <x:c r="B745" s="30" t="str">
        <x:v>F296</x:v>
      </x:c>
      <x:c r="C745" s="30" t="str">
        <x:v>compute.accelerator_capacity</x:v>
      </x:c>
      <x:c r="D745" s="30" t="str">
        <x:v>候选输入schema</x:v>
      </x:c>
      <x:c r="E745" s="30" t="str">
        <x:v>按执行角色权限读取；策略只能使用可访问快照</x:v>
      </x:c>
    </x:row>
    <x:row r="746" ht="32" customHeight="1">
      <x:c r="A746" s="30" t="str">
        <x:v>A007</x:v>
      </x:c>
      <x:c r="B746" s="30" t="str">
        <x:v>F297</x:v>
      </x:c>
      <x:c r="C746" s="30" t="str">
        <x:v>compute.memory_capacity_bytes</x:v>
      </x:c>
      <x:c r="D746" s="30" t="str">
        <x:v>候选输入schema</x:v>
      </x:c>
      <x:c r="E746" s="30" t="str">
        <x:v>按执行角色权限读取；策略只能使用可访问快照</x:v>
      </x:c>
    </x:row>
    <x:row r="747" ht="32" customHeight="1">
      <x:c r="A747" s="30" t="str">
        <x:v>A007</x:v>
      </x:c>
      <x:c r="B747" s="30" t="str">
        <x:v>F298</x:v>
      </x:c>
      <x:c r="C747" s="30" t="str">
        <x:v>compute.memory_used_bytes</x:v>
      </x:c>
      <x:c r="D747" s="30" t="str">
        <x:v>候选输入schema</x:v>
      </x:c>
      <x:c r="E747" s="30" t="str">
        <x:v>按执行角色权限读取；策略只能使用可访问快照</x:v>
      </x:c>
    </x:row>
    <x:row r="748" ht="32" customHeight="1">
      <x:c r="A748" s="30" t="str">
        <x:v>A007</x:v>
      </x:c>
      <x:c r="B748" s="30" t="str">
        <x:v>F299</x:v>
      </x:c>
      <x:c r="C748" s="30" t="str">
        <x:v>compute.cpu_allocated</x:v>
      </x:c>
      <x:c r="D748" s="30" t="str">
        <x:v>候选输入schema</x:v>
      </x:c>
      <x:c r="E748" s="30" t="str">
        <x:v>按执行角色权限读取；策略只能使用可访问快照</x:v>
      </x:c>
    </x:row>
    <x:row r="749" ht="32" customHeight="1">
      <x:c r="A749" s="30" t="str">
        <x:v>A007</x:v>
      </x:c>
      <x:c r="B749" s="30" t="str">
        <x:v>F300</x:v>
      </x:c>
      <x:c r="C749" s="30" t="str">
        <x:v>compute.accelerator_allocated</x:v>
      </x:c>
      <x:c r="D749" s="30" t="str">
        <x:v>候选输入schema</x:v>
      </x:c>
      <x:c r="E749" s="30" t="str">
        <x:v>按执行角色权限读取；策略只能使用可访问快照</x:v>
      </x:c>
    </x:row>
    <x:row r="750" ht="32" customHeight="1">
      <x:c r="A750" s="30" t="str">
        <x:v>A007</x:v>
      </x:c>
      <x:c r="B750" s="30" t="str">
        <x:v>F301</x:v>
      </x:c>
      <x:c r="C750" s="30" t="str">
        <x:v>compute.max_concurrency</x:v>
      </x:c>
      <x:c r="D750" s="30" t="str">
        <x:v>候选输入schema</x:v>
      </x:c>
      <x:c r="E750" s="30" t="str">
        <x:v>按执行角色权限读取；策略只能使用可访问快照</x:v>
      </x:c>
    </x:row>
    <x:row r="751" ht="32" customHeight="1">
      <x:c r="A751" s="30" t="str">
        <x:v>A007</x:v>
      </x:c>
      <x:c r="B751" s="30" t="str">
        <x:v>F302</x:v>
      </x:c>
      <x:c r="C751" s="30" t="str">
        <x:v>compute.queue_ids</x:v>
      </x:c>
      <x:c r="D751" s="30" t="str">
        <x:v>候选输入schema</x:v>
      </x:c>
      <x:c r="E751" s="30" t="str">
        <x:v>按执行角色权限读取；策略只能使用可访问快照</x:v>
      </x:c>
    </x:row>
    <x:row r="752" ht="32" customHeight="1">
      <x:c r="A752" s="30" t="str">
        <x:v>A007</x:v>
      </x:c>
      <x:c r="B752" s="30" t="str">
        <x:v>F303</x:v>
      </x:c>
      <x:c r="C752" s="30" t="str">
        <x:v>compute.running_job_ids</x:v>
      </x:c>
      <x:c r="D752" s="30" t="str">
        <x:v>候选输入schema</x:v>
      </x:c>
      <x:c r="E752" s="30" t="str">
        <x:v>按执行角色权限读取；策略只能使用可访问快照</x:v>
      </x:c>
    </x:row>
    <x:row r="753" ht="32" customHeight="1">
      <x:c r="A753" s="30" t="str">
        <x:v>A007</x:v>
      </x:c>
      <x:c r="B753" s="30" t="str">
        <x:v>F304</x:v>
      </x:c>
      <x:c r="C753" s="30" t="str">
        <x:v>compute.availability</x:v>
      </x:c>
      <x:c r="D753" s="30" t="str">
        <x:v>候选输入schema</x:v>
      </x:c>
      <x:c r="E753" s="30" t="str">
        <x:v>按执行角色权限读取；策略只能使用可访问快照</x:v>
      </x:c>
    </x:row>
    <x:row r="754" ht="32" customHeight="1">
      <x:c r="A754" s="30" t="str">
        <x:v>A007</x:v>
      </x:c>
      <x:c r="B754" s="30" t="str">
        <x:v>F305</x:v>
      </x:c>
      <x:c r="C754" s="30" t="str">
        <x:v>compute.power_model</x:v>
      </x:c>
      <x:c r="D754" s="30" t="str">
        <x:v>候选输入schema</x:v>
      </x:c>
      <x:c r="E754" s="30" t="str">
        <x:v>按执行角色权限读取；策略只能使用可访问快照</x:v>
      </x:c>
    </x:row>
    <x:row r="755" ht="32" customHeight="1">
      <x:c r="A755" s="30" t="str">
        <x:v>A007</x:v>
      </x:c>
      <x:c r="B755" s="30" t="str">
        <x:v>F306</x:v>
      </x:c>
      <x:c r="C755" s="30" t="str">
        <x:v>compute.energy_Wh</x:v>
      </x:c>
      <x:c r="D755" s="30" t="str">
        <x:v>候选输入schema</x:v>
      </x:c>
      <x:c r="E755" s="30" t="str">
        <x:v>按执行角色权限读取；策略只能使用可访问快照</x:v>
      </x:c>
    </x:row>
    <x:row r="756" ht="32" customHeight="1">
      <x:c r="A756" s="30" t="str">
        <x:v>A007</x:v>
      </x:c>
      <x:c r="B756" s="30" t="str">
        <x:v>F307</x:v>
      </x:c>
      <x:c r="C756" s="30" t="str">
        <x:v>compute.service_ids</x:v>
      </x:c>
      <x:c r="D756" s="30" t="str">
        <x:v>候选输入schema</x:v>
      </x:c>
      <x:c r="E756" s="30" t="str">
        <x:v>按执行角色权限读取；策略只能使用可访问快照</x:v>
      </x:c>
    </x:row>
    <x:row r="757" ht="32" customHeight="1">
      <x:c r="A757" s="30" t="str">
        <x:v>A007</x:v>
      </x:c>
      <x:c r="B757" s="30" t="str">
        <x:v>F308</x:v>
      </x:c>
      <x:c r="C757" s="30" t="str">
        <x:v>compute.storage_free_bytes</x:v>
      </x:c>
      <x:c r="D757" s="30" t="str">
        <x:v>候选输入schema</x:v>
      </x:c>
      <x:c r="E757" s="30" t="str">
        <x:v>按执行角色权限读取；策略只能使用可访问快照</x:v>
      </x:c>
    </x:row>
    <x:row r="758" ht="32" customHeight="1">
      <x:c r="A758" s="30" t="str">
        <x:v>A007</x:v>
      </x:c>
      <x:c r="B758" s="30" t="str">
        <x:v>F309</x:v>
      </x:c>
      <x:c r="C758" s="30" t="str">
        <x:v>compute.clock_policy</x:v>
      </x:c>
      <x:c r="D758" s="30" t="str">
        <x:v>候选输入schema</x:v>
      </x:c>
      <x:c r="E758" s="30" t="str">
        <x:v>按执行角色权限读取；策略只能使用可访问快照</x:v>
      </x:c>
    </x:row>
    <x:row r="759" ht="32" customHeight="1">
      <x:c r="A759" s="30" t="str">
        <x:v>A007</x:v>
      </x:c>
      <x:c r="B759" s="30" t="str">
        <x:v>F310</x:v>
      </x:c>
      <x:c r="C759" s="30" t="str">
        <x:v>compute.timing_profile_id</x:v>
      </x:c>
      <x:c r="D759" s="30" t="str">
        <x:v>候选输入schema</x:v>
      </x:c>
      <x:c r="E759" s="30" t="str">
        <x:v>按执行角色权限读取；策略只能使用可访问快照</x:v>
      </x:c>
    </x:row>
    <x:row r="760" ht="32" customHeight="1">
      <x:c r="A760" s="30" t="str">
        <x:v>A007</x:v>
      </x:c>
      <x:c r="B760" s="30" t="str">
        <x:v>F311</x:v>
      </x:c>
      <x:c r="C760" s="30" t="str">
        <x:v>compute.temperature_state</x:v>
      </x:c>
      <x:c r="D760" s="30" t="str">
        <x:v>候选输入schema</x:v>
      </x:c>
      <x:c r="E760" s="30" t="str">
        <x:v>按执行角色权限读取；策略只能使用可访问快照</x:v>
      </x:c>
    </x:row>
    <x:row r="761" ht="32" customHeight="1">
      <x:c r="A761" s="30" t="str">
        <x:v>A007</x:v>
      </x:c>
      <x:c r="B761" s="30" t="str">
        <x:v>F312</x:v>
      </x:c>
      <x:c r="C761" s="30" t="str">
        <x:v>compute.network_endpoint</x:v>
      </x:c>
      <x:c r="D761" s="30" t="str">
        <x:v>候选输入schema</x:v>
      </x:c>
      <x:c r="E761" s="30" t="str">
        <x:v>按执行角色权限读取；策略只能使用可访问快照</x:v>
      </x:c>
    </x:row>
    <x:row r="762" ht="32" customHeight="1">
      <x:c r="A762" s="30" t="str">
        <x:v>A007</x:v>
      </x:c>
      <x:c r="B762" s="30" t="str">
        <x:v>F329</x:v>
      </x:c>
      <x:c r="C762" s="30" t="str">
        <x:v>job.requester_id</x:v>
      </x:c>
      <x:c r="D762" s="30" t="str">
        <x:v>候选输入schema</x:v>
      </x:c>
      <x:c r="E762" s="30" t="str">
        <x:v>按执行角色权限读取；策略只能使用可访问快照</x:v>
      </x:c>
    </x:row>
    <x:row r="763" ht="32" customHeight="1">
      <x:c r="A763" s="30" t="str">
        <x:v>A007</x:v>
      </x:c>
      <x:c r="B763" s="30" t="str">
        <x:v>F330</x:v>
      </x:c>
      <x:c r="C763" s="30" t="str">
        <x:v>job.task_ref</x:v>
      </x:c>
      <x:c r="D763" s="30" t="str">
        <x:v>候选输入schema</x:v>
      </x:c>
      <x:c r="E763" s="30" t="str">
        <x:v>按执行角色权限读取；策略只能使用可访问快照</x:v>
      </x:c>
    </x:row>
    <x:row r="764" ht="32" customHeight="1">
      <x:c r="A764" s="30" t="str">
        <x:v>A007</x:v>
      </x:c>
      <x:c r="B764" s="30" t="str">
        <x:v>F331</x:v>
      </x:c>
      <x:c r="C764" s="30" t="str">
        <x:v>job.service_id</x:v>
      </x:c>
      <x:c r="D764" s="30" t="str">
        <x:v>候选输入schema</x:v>
      </x:c>
      <x:c r="E764" s="30" t="str">
        <x:v>按执行角色权限读取；策略只能使用可访问快照</x:v>
      </x:c>
    </x:row>
    <x:row r="765" ht="32" customHeight="1">
      <x:c r="A765" s="30" t="str">
        <x:v>A007</x:v>
      </x:c>
      <x:c r="B765" s="30" t="str">
        <x:v>F332</x:v>
      </x:c>
      <x:c r="C765" s="30" t="str">
        <x:v>job.input_evidence_ids</x:v>
      </x:c>
      <x:c r="D765" s="30" t="str">
        <x:v>候选输入schema</x:v>
      </x:c>
      <x:c r="E765" s="30" t="str">
        <x:v>按执行角色权限读取；策略只能使用可访问快照</x:v>
      </x:c>
    </x:row>
    <x:row r="766" ht="32" customHeight="1">
      <x:c r="A766" s="30" t="str">
        <x:v>A007</x:v>
      </x:c>
      <x:c r="B766" s="30" t="str">
        <x:v>F333</x:v>
      </x:c>
      <x:c r="C766" s="30" t="str">
        <x:v>job.input_bytes</x:v>
      </x:c>
      <x:c r="D766" s="30" t="str">
        <x:v>候选输入schema</x:v>
      </x:c>
      <x:c r="E766" s="30" t="str">
        <x:v>按执行角色权限读取；策略只能使用可访问快照</x:v>
      </x:c>
    </x:row>
    <x:row r="767" ht="32" customHeight="1">
      <x:c r="A767" s="30" t="str">
        <x:v>A007</x:v>
      </x:c>
      <x:c r="B767" s="30" t="str">
        <x:v>F334</x:v>
      </x:c>
      <x:c r="C767" s="30" t="str">
        <x:v>job.input_tokens</x:v>
      </x:c>
      <x:c r="D767" s="30" t="str">
        <x:v>候选输入schema</x:v>
      </x:c>
      <x:c r="E767" s="30" t="str">
        <x:v>按执行角色权限读取；策略只能使用可访问快照</x:v>
      </x:c>
    </x:row>
    <x:row r="768" ht="32" customHeight="1">
      <x:c r="A768" s="30" t="str">
        <x:v>A007</x:v>
      </x:c>
      <x:c r="B768" s="30" t="str">
        <x:v>F335</x:v>
      </x:c>
      <x:c r="C768" s="30" t="str">
        <x:v>job.output_tokens</x:v>
      </x:c>
      <x:c r="D768" s="30" t="str">
        <x:v>候选输入schema</x:v>
      </x:c>
      <x:c r="E768" s="30" t="str">
        <x:v>按执行角色权限读取；策略只能使用可访问快照</x:v>
      </x:c>
    </x:row>
    <x:row r="769" ht="32" customHeight="1">
      <x:c r="A769" s="30" t="str">
        <x:v>A007</x:v>
      </x:c>
      <x:c r="B769" s="30" t="str">
        <x:v>F336</x:v>
      </x:c>
      <x:c r="C769" s="30" t="str">
        <x:v>job.status</x:v>
      </x:c>
      <x:c r="D769" s="30" t="str">
        <x:v>候选输入schema</x:v>
      </x:c>
      <x:c r="E769" s="30" t="str">
        <x:v>按执行角色权限读取；策略只能使用可访问快照</x:v>
      </x:c>
    </x:row>
    <x:row r="770" ht="32" customHeight="1">
      <x:c r="A770" s="30" t="str">
        <x:v>A007</x:v>
      </x:c>
      <x:c r="B770" s="30" t="str">
        <x:v>F337</x:v>
      </x:c>
      <x:c r="C770" s="30" t="str">
        <x:v>job.queue_enter_s</x:v>
      </x:c>
      <x:c r="D770" s="30" t="str">
        <x:v>候选输入schema</x:v>
      </x:c>
      <x:c r="E770" s="30" t="str">
        <x:v>按执行角色权限读取；策略只能使用可访问快照</x:v>
      </x:c>
    </x:row>
    <x:row r="771" ht="32" customHeight="1">
      <x:c r="A771" s="30" t="str">
        <x:v>A007</x:v>
      </x:c>
      <x:c r="B771" s="30" t="str">
        <x:v>F338</x:v>
      </x:c>
      <x:c r="C771" s="30" t="str">
        <x:v>job.start_s</x:v>
      </x:c>
      <x:c r="D771" s="30" t="str">
        <x:v>候选输入schema</x:v>
      </x:c>
      <x:c r="E771" s="30" t="str">
        <x:v>按执行角色权限读取；策略只能使用可访问快照</x:v>
      </x:c>
    </x:row>
    <x:row r="772" ht="32" customHeight="1">
      <x:c r="A772" s="30" t="str">
        <x:v>A007</x:v>
      </x:c>
      <x:c r="B772" s="30" t="str">
        <x:v>F339</x:v>
      </x:c>
      <x:c r="C772" s="30" t="str">
        <x:v>job.finish_s</x:v>
      </x:c>
      <x:c r="D772" s="30" t="str">
        <x:v>候选输入schema</x:v>
      </x:c>
      <x:c r="E772" s="30" t="str">
        <x:v>按执行角色权限读取；策略只能使用可访问快照</x:v>
      </x:c>
    </x:row>
    <x:row r="773" ht="32" customHeight="1">
      <x:c r="A773" s="30" t="str">
        <x:v>A007</x:v>
      </x:c>
      <x:c r="B773" s="30" t="str">
        <x:v>F340</x:v>
      </x:c>
      <x:c r="C773" s="30" t="str">
        <x:v>job.deadline_s</x:v>
      </x:c>
      <x:c r="D773" s="30" t="str">
        <x:v>候选输入schema</x:v>
      </x:c>
      <x:c r="E773" s="30" t="str">
        <x:v>按执行角色权限读取；策略只能使用可访问快照</x:v>
      </x:c>
    </x:row>
    <x:row r="774" ht="32" customHeight="1">
      <x:c r="A774" s="30" t="str">
        <x:v>A007</x:v>
      </x:c>
      <x:c r="B774" s="30" t="str">
        <x:v>F341</x:v>
      </x:c>
      <x:c r="C774" s="30" t="str">
        <x:v>job.cpu_request</x:v>
      </x:c>
      <x:c r="D774" s="30" t="str">
        <x:v>候选输入schema</x:v>
      </x:c>
      <x:c r="E774" s="30" t="str">
        <x:v>按执行角色权限读取；策略只能使用可访问快照</x:v>
      </x:c>
    </x:row>
    <x:row r="775" ht="32" customHeight="1">
      <x:c r="A775" s="30" t="str">
        <x:v>A007</x:v>
      </x:c>
      <x:c r="B775" s="30" t="str">
        <x:v>F342</x:v>
      </x:c>
      <x:c r="C775" s="30" t="str">
        <x:v>job.memory_request_bytes</x:v>
      </x:c>
      <x:c r="D775" s="30" t="str">
        <x:v>候选输入schema</x:v>
      </x:c>
      <x:c r="E775" s="30" t="str">
        <x:v>按执行角色权限读取；策略只能使用可访问快照</x:v>
      </x:c>
    </x:row>
    <x:row r="776" ht="32" customHeight="1">
      <x:c r="A776" s="30" t="str">
        <x:v>A007</x:v>
      </x:c>
      <x:c r="B776" s="30" t="str">
        <x:v>F343</x:v>
      </x:c>
      <x:c r="C776" s="30" t="str">
        <x:v>job.prefill_s</x:v>
      </x:c>
      <x:c r="D776" s="30" t="str">
        <x:v>候选输入schema</x:v>
      </x:c>
      <x:c r="E776" s="30" t="str">
        <x:v>按执行角色权限读取；策略只能使用可访问快照</x:v>
      </x:c>
    </x:row>
    <x:row r="777" ht="32" customHeight="1">
      <x:c r="A777" s="30" t="str">
        <x:v>A007</x:v>
      </x:c>
      <x:c r="B777" s="30" t="str">
        <x:v>F344</x:v>
      </x:c>
      <x:c r="C777" s="30" t="str">
        <x:v>job.decode_s</x:v>
      </x:c>
      <x:c r="D777" s="30" t="str">
        <x:v>候选输入schema</x:v>
      </x:c>
      <x:c r="E777" s="30" t="str">
        <x:v>按执行角色权限读取；策略只能使用可访问快照</x:v>
      </x:c>
    </x:row>
    <x:row r="778" ht="32" customHeight="1">
      <x:c r="A778" s="30" t="str">
        <x:v>A007</x:v>
      </x:c>
      <x:c r="B778" s="30" t="str">
        <x:v>F345</x:v>
      </x:c>
      <x:c r="C778" s="30" t="str">
        <x:v>job.wall_time_s</x:v>
      </x:c>
      <x:c r="D778" s="30" t="str">
        <x:v>候选输入schema</x:v>
      </x:c>
      <x:c r="E778" s="30" t="str">
        <x:v>按执行角色权限读取；策略只能使用可访问快照</x:v>
      </x:c>
    </x:row>
    <x:row r="779" ht="32" customHeight="1">
      <x:c r="A779" s="30" t="str">
        <x:v>A007</x:v>
      </x:c>
      <x:c r="B779" s="30" t="str">
        <x:v>F346</x:v>
      </x:c>
      <x:c r="C779" s="30" t="str">
        <x:v>job.result_ref</x:v>
      </x:c>
      <x:c r="D779" s="30" t="str">
        <x:v>候选输入schema</x:v>
      </x:c>
      <x:c r="E779" s="30" t="str">
        <x:v>按执行角色权限读取；策略只能使用可访问快照</x:v>
      </x:c>
    </x:row>
    <x:row r="780" ht="32" customHeight="1">
      <x:c r="A780" s="30" t="str">
        <x:v>A007</x:v>
      </x:c>
      <x:c r="B780" s="30" t="str">
        <x:v>F347</x:v>
      </x:c>
      <x:c r="C780" s="30" t="str">
        <x:v>job.checkpoint_ref</x:v>
      </x:c>
      <x:c r="D780" s="30" t="str">
        <x:v>候选输入schema</x:v>
      </x:c>
      <x:c r="E780" s="30" t="str">
        <x:v>按执行角色权限读取；策略只能使用可访问快照</x:v>
      </x:c>
    </x:row>
    <x:row r="781" ht="32" customHeight="1">
      <x:c r="A781" s="30" t="str">
        <x:v>A007</x:v>
      </x:c>
      <x:c r="B781" s="30" t="str">
        <x:v>F348</x:v>
      </x:c>
      <x:c r="C781" s="30" t="str">
        <x:v>job.failure_reason</x:v>
      </x:c>
      <x:c r="D781" s="30" t="str">
        <x:v>候选输入schema</x:v>
      </x:c>
      <x:c r="E781" s="30" t="str">
        <x:v>按执行角色权限读取；策略只能使用可访问快照</x:v>
      </x:c>
    </x:row>
    <x:row r="782" ht="32" customHeight="1">
      <x:c r="A782" s="30" t="str">
        <x:v>A007</x:v>
      </x:c>
      <x:c r="B782" s="30" t="str">
        <x:v>F185</x:v>
      </x:c>
      <x:c r="C782" s="30" t="str">
        <x:v>belief.estimated_pose</x:v>
      </x:c>
      <x:c r="D782" s="30" t="str">
        <x:v>直接效果</x:v>
      </x:c>
      <x:c r="E782" s="30" t="str">
        <x:v>经实际执行/回执提交；不是规划时提前修改</x:v>
      </x:c>
    </x:row>
    <x:row r="783" ht="32" customHeight="1">
      <x:c r="A783" s="30" t="str">
        <x:v>A007</x:v>
      </x:c>
      <x:c r="B783" s="30" t="str">
        <x:v>F177</x:v>
      </x:c>
      <x:c r="C783" s="30" t="str">
        <x:v>observation.processing_job_id</x:v>
      </x:c>
      <x:c r="D783" s="30" t="str">
        <x:v>直接效果</x:v>
      </x:c>
      <x:c r="E783" s="30" t="str">
        <x:v>经实际执行/回执提交；不是规划时提前修改</x:v>
      </x:c>
    </x:row>
    <x:row r="784" ht="32" customHeight="1">
      <x:c r="A784" s="30" t="str">
        <x:v>A008</x:v>
      </x:c>
      <x:c r="B784" s="30" t="str">
        <x:v>F026</x:v>
      </x:c>
      <x:c r="C784" s="30" t="str">
        <x:v>building.use</x:v>
      </x:c>
      <x:c r="D784" s="30" t="str">
        <x:v>候选输入schema</x:v>
      </x:c>
      <x:c r="E784" s="30" t="str">
        <x:v>按执行角色权限读取；策略只能使用可访问快照</x:v>
      </x:c>
    </x:row>
    <x:row r="785" ht="32" customHeight="1">
      <x:c r="A785" s="30" t="str">
        <x:v>A008</x:v>
      </x:c>
      <x:c r="B785" s="30" t="str">
        <x:v>F027</x:v>
      </x:c>
      <x:c r="C785" s="30" t="str">
        <x:v>building.structure</x:v>
      </x:c>
      <x:c r="D785" s="30" t="str">
        <x:v>候选输入schema</x:v>
      </x:c>
      <x:c r="E785" s="30" t="str">
        <x:v>按执行角色权限读取；策略只能使用可访问快照</x:v>
      </x:c>
    </x:row>
    <x:row r="786" ht="32" customHeight="1">
      <x:c r="A786" s="30" t="str">
        <x:v>A008</x:v>
      </x:c>
      <x:c r="B786" s="30" t="str">
        <x:v>F028</x:v>
      </x:c>
      <x:c r="C786" s="30" t="str">
        <x:v>building.floors</x:v>
      </x:c>
      <x:c r="D786" s="30" t="str">
        <x:v>候选输入schema</x:v>
      </x:c>
      <x:c r="E786" s="30" t="str">
        <x:v>按执行角色权限读取；策略只能使用可访问快照</x:v>
      </x:c>
    </x:row>
    <x:row r="787" ht="32" customHeight="1">
      <x:c r="A787" s="30" t="str">
        <x:v>A008</x:v>
      </x:c>
      <x:c r="B787" s="30" t="str">
        <x:v>F029</x:v>
      </x:c>
      <x:c r="C787" s="30" t="str">
        <x:v>building.capacity</x:v>
      </x:c>
      <x:c r="D787" s="30" t="str">
        <x:v>候选输入schema</x:v>
      </x:c>
      <x:c r="E787" s="30" t="str">
        <x:v>按执行角色权限读取；策略只能使用可访问快照</x:v>
      </x:c>
    </x:row>
    <x:row r="788" ht="32" customHeight="1">
      <x:c r="A788" s="30" t="str">
        <x:v>A008</x:v>
      </x:c>
      <x:c r="B788" s="30" t="str">
        <x:v>F030</x:v>
      </x:c>
      <x:c r="C788" s="30" t="str">
        <x:v>building.visual_damage</x:v>
      </x:c>
      <x:c r="D788" s="30" t="str">
        <x:v>候选输入schema</x:v>
      </x:c>
      <x:c r="E788" s="30" t="str">
        <x:v>按执行角色权限读取；策略只能使用可访问快照</x:v>
      </x:c>
    </x:row>
    <x:row r="789" ht="32" customHeight="1">
      <x:c r="A789" s="30" t="str">
        <x:v>A008</x:v>
      </x:c>
      <x:c r="B789" s="30" t="str">
        <x:v>F031</x:v>
      </x:c>
      <x:c r="C789" s="30" t="str">
        <x:v>building.structural_condition</x:v>
      </x:c>
      <x:c r="D789" s="30" t="str">
        <x:v>候选输入schema</x:v>
      </x:c>
      <x:c r="E789" s="30" t="str">
        <x:v>按执行角色权限读取；策略只能使用可访问快照</x:v>
      </x:c>
    </x:row>
    <x:row r="790" ht="32" customHeight="1">
      <x:c r="A790" s="30" t="str">
        <x:v>A008</x:v>
      </x:c>
      <x:c r="B790" s="30" t="str">
        <x:v>F032</x:v>
      </x:c>
      <x:c r="C790" s="30" t="str">
        <x:v>building.roof_loss_ratio</x:v>
      </x:c>
      <x:c r="D790" s="30" t="str">
        <x:v>候选输入schema</x:v>
      </x:c>
      <x:c r="E790" s="30" t="str">
        <x:v>按执行角色权限读取；策略只能使用可访问快照</x:v>
      </x:c>
    </x:row>
    <x:row r="791" ht="32" customHeight="1">
      <x:c r="A791" s="30" t="str">
        <x:v>A008</x:v>
      </x:c>
      <x:c r="B791" s="30" t="str">
        <x:v>F033</x:v>
      </x:c>
      <x:c r="C791" s="30" t="str">
        <x:v>building.wall_damage</x:v>
      </x:c>
      <x:c r="D791" s="30" t="str">
        <x:v>候选输入schema</x:v>
      </x:c>
      <x:c r="E791" s="30" t="str">
        <x:v>按执行角色权限读取；策略只能使用可访问快照</x:v>
      </x:c>
    </x:row>
    <x:row r="792" ht="32" customHeight="1">
      <x:c r="A792" s="30" t="str">
        <x:v>A008</x:v>
      </x:c>
      <x:c r="B792" s="30" t="str">
        <x:v>F034</x:v>
      </x:c>
      <x:c r="C792" s="30" t="str">
        <x:v>building.flood_exposure</x:v>
      </x:c>
      <x:c r="D792" s="30" t="str">
        <x:v>候选输入schema</x:v>
      </x:c>
      <x:c r="E792" s="30" t="str">
        <x:v>按执行角色权限读取；策略只能使用可访问快照</x:v>
      </x:c>
    </x:row>
    <x:row r="793" ht="32" customHeight="1">
      <x:c r="A793" s="30" t="str">
        <x:v>A008</x:v>
      </x:c>
      <x:c r="B793" s="30" t="str">
        <x:v>F035</x:v>
      </x:c>
      <x:c r="C793" s="30" t="str">
        <x:v>building.entrance_ids</x:v>
      </x:c>
      <x:c r="D793" s="30" t="str">
        <x:v>候选输入schema</x:v>
      </x:c>
      <x:c r="E793" s="30" t="str">
        <x:v>按执行角色权限读取；策略只能使用可访问快照</x:v>
      </x:c>
    </x:row>
    <x:row r="794" ht="32" customHeight="1">
      <x:c r="A794" s="30" t="str">
        <x:v>A008</x:v>
      </x:c>
      <x:c r="B794" s="30" t="str">
        <x:v>F036</x:v>
      </x:c>
      <x:c r="C794" s="30" t="str">
        <x:v>building.interior_area_m2</x:v>
      </x:c>
      <x:c r="D794" s="30" t="str">
        <x:v>候选输入schema</x:v>
      </x:c>
      <x:c r="E794" s="30" t="str">
        <x:v>按执行角色权限读取；策略只能使用可访问快照</x:v>
      </x:c>
    </x:row>
    <x:row r="795" ht="32" customHeight="1">
      <x:c r="A795" s="30" t="str">
        <x:v>A008</x:v>
      </x:c>
      <x:c r="B795" s="30" t="str">
        <x:v>F037</x:v>
      </x:c>
      <x:c r="C795" s="30" t="str">
        <x:v>building.interior_mode</x:v>
      </x:c>
      <x:c r="D795" s="30" t="str">
        <x:v>候选输入schema</x:v>
      </x:c>
      <x:c r="E795" s="30" t="str">
        <x:v>按执行角色权限读取；策略只能使用可访问快照</x:v>
      </x:c>
    </x:row>
    <x:row r="796" ht="32" customHeight="1">
      <x:c r="A796" s="30" t="str">
        <x:v>A008</x:v>
      </x:c>
      <x:c r="B796" s="30" t="str">
        <x:v>F038</x:v>
      </x:c>
      <x:c r="C796" s="30" t="str">
        <x:v>building.search_difficulty</x:v>
      </x:c>
      <x:c r="D796" s="30" t="str">
        <x:v>候选输入schema</x:v>
      </x:c>
      <x:c r="E796" s="30" t="str">
        <x:v>按执行角色权限读取；策略只能使用可访问快照</x:v>
      </x:c>
    </x:row>
    <x:row r="797" ht="32" customHeight="1">
      <x:c r="A797" s="30" t="str">
        <x:v>A008</x:v>
      </x:c>
      <x:c r="B797" s="30" t="str">
        <x:v>F039</x:v>
      </x:c>
      <x:c r="C797" s="30" t="str">
        <x:v>building.occupant_ids</x:v>
      </x:c>
      <x:c r="D797" s="30" t="str">
        <x:v>候选输入schema</x:v>
      </x:c>
      <x:c r="E797" s="30" t="str">
        <x:v>按执行角色权限读取；策略只能使用可访问快照</x:v>
      </x:c>
    </x:row>
    <x:row r="798" ht="32" customHeight="1">
      <x:c r="A798" s="30" t="str">
        <x:v>A008</x:v>
      </x:c>
      <x:c r="B798" s="30" t="str">
        <x:v>F040</x:v>
      </x:c>
      <x:c r="C798" s="30" t="str">
        <x:v>building.search_coverage_truth</x:v>
      </x:c>
      <x:c r="D798" s="30" t="str">
        <x:v>候选输入schema</x:v>
      </x:c>
      <x:c r="E798" s="30" t="str">
        <x:v>按执行角色权限读取；策略只能使用可访问快照</x:v>
      </x:c>
    </x:row>
    <x:row r="799" ht="32" customHeight="1">
      <x:c r="A799" s="30" t="str">
        <x:v>A008</x:v>
      </x:c>
      <x:c r="B799" s="30" t="str">
        <x:v>F041</x:v>
      </x:c>
      <x:c r="C799" s="30" t="str">
        <x:v>building.worksite_record</x:v>
      </x:c>
      <x:c r="D799" s="30" t="str">
        <x:v>候选输入schema</x:v>
      </x:c>
      <x:c r="E799" s="30" t="str">
        <x:v>按执行角色权限读取；策略只能使用可访问快照</x:v>
      </x:c>
    </x:row>
    <x:row r="800" ht="32" customHeight="1">
      <x:c r="A800" s="30" t="str">
        <x:v>A008</x:v>
      </x:c>
      <x:c r="B800" s="30" t="str">
        <x:v>F042</x:v>
      </x:c>
      <x:c r="C800" s="30" t="str">
        <x:v>building.remaining_hazard</x:v>
      </x:c>
      <x:c r="D800" s="30" t="str">
        <x:v>候选输入schema</x:v>
      </x:c>
      <x:c r="E800" s="30" t="str">
        <x:v>按执行角色权限读取；策略只能使用可访问快照</x:v>
      </x:c>
    </x:row>
    <x:row r="801" ht="32" customHeight="1">
      <x:c r="A801" s="30" t="str">
        <x:v>A008</x:v>
      </x:c>
      <x:c r="B801" s="30" t="str">
        <x:v>F043</x:v>
      </x:c>
      <x:c r="C801" s="30" t="str">
        <x:v>building.render_variant</x:v>
      </x:c>
      <x:c r="D801" s="30" t="str">
        <x:v>候选输入schema</x:v>
      </x:c>
      <x:c r="E801" s="30" t="str">
        <x:v>按执行角色权限读取；策略只能使用可访问快照</x:v>
      </x:c>
    </x:row>
    <x:row r="802" ht="32" customHeight="1">
      <x:c r="A802" s="30" t="str">
        <x:v>A008</x:v>
      </x:c>
      <x:c r="B802" s="30" t="str">
        <x:v>F044</x:v>
      </x:c>
      <x:c r="C802" s="30" t="str">
        <x:v>road.centerline</x:v>
      </x:c>
      <x:c r="D802" s="30" t="str">
        <x:v>候选输入schema</x:v>
      </x:c>
      <x:c r="E802" s="30" t="str">
        <x:v>按执行角色权限读取；策略只能使用可访问快照</x:v>
      </x:c>
    </x:row>
    <x:row r="803" ht="32" customHeight="1">
      <x:c r="A803" s="30" t="str">
        <x:v>A008</x:v>
      </x:c>
      <x:c r="B803" s="30" t="str">
        <x:v>F045</x:v>
      </x:c>
      <x:c r="C803" s="30" t="str">
        <x:v>road.width_m</x:v>
      </x:c>
      <x:c r="D803" s="30" t="str">
        <x:v>候选输入schema</x:v>
      </x:c>
      <x:c r="E803" s="30" t="str">
        <x:v>按执行角色权限读取；策略只能使用可访问快照</x:v>
      </x:c>
    </x:row>
    <x:row r="804" ht="32" customHeight="1">
      <x:c r="A804" s="30" t="str">
        <x:v>A008</x:v>
      </x:c>
      <x:c r="B804" s="30" t="str">
        <x:v>F046</x:v>
      </x:c>
      <x:c r="C804" s="30" t="str">
        <x:v>road.surface</x:v>
      </x:c>
      <x:c r="D804" s="30" t="str">
        <x:v>候选输入schema</x:v>
      </x:c>
      <x:c r="E804" s="30" t="str">
        <x:v>按执行角色权限读取；策略只能使用可访问快照</x:v>
      </x:c>
    </x:row>
    <x:row r="805" ht="32" customHeight="1">
      <x:c r="A805" s="30" t="str">
        <x:v>A008</x:v>
      </x:c>
      <x:c r="B805" s="30" t="str">
        <x:v>F047</x:v>
      </x:c>
      <x:c r="C805" s="30" t="str">
        <x:v>road.from_node</x:v>
      </x:c>
      <x:c r="D805" s="30" t="str">
        <x:v>候选输入schema</x:v>
      </x:c>
      <x:c r="E805" s="30" t="str">
        <x:v>按执行角色权限读取；策略只能使用可访问快照</x:v>
      </x:c>
    </x:row>
    <x:row r="806" ht="32" customHeight="1">
      <x:c r="A806" s="30" t="str">
        <x:v>A008</x:v>
      </x:c>
      <x:c r="B806" s="30" t="str">
        <x:v>F048</x:v>
      </x:c>
      <x:c r="C806" s="30" t="str">
        <x:v>road.to_node</x:v>
      </x:c>
      <x:c r="D806" s="30" t="str">
        <x:v>候选输入schema</x:v>
      </x:c>
      <x:c r="E806" s="30" t="str">
        <x:v>按执行角色权限读取；策略只能使用可访问快照</x:v>
      </x:c>
    </x:row>
    <x:row r="807" ht="32" customHeight="1">
      <x:c r="A807" s="30" t="str">
        <x:v>A008</x:v>
      </x:c>
      <x:c r="B807" s="30" t="str">
        <x:v>F049</x:v>
      </x:c>
      <x:c r="C807" s="30" t="str">
        <x:v>road.obstacle_ids</x:v>
      </x:c>
      <x:c r="D807" s="30" t="str">
        <x:v>候选输入schema</x:v>
      </x:c>
      <x:c r="E807" s="30" t="str">
        <x:v>按执行角色权限读取；策略只能使用可访问快照</x:v>
      </x:c>
    </x:row>
    <x:row r="808" ht="32" customHeight="1">
      <x:c r="A808" s="30" t="str">
        <x:v>A008</x:v>
      </x:c>
      <x:c r="B808" s="30" t="str">
        <x:v>F050</x:v>
      </x:c>
      <x:c r="C808" s="30" t="str">
        <x:v>road.clear_width_m</x:v>
      </x:c>
      <x:c r="D808" s="30" t="str">
        <x:v>候选输入schema</x:v>
      </x:c>
      <x:c r="E808" s="30" t="str">
        <x:v>按执行角色权限读取；策略只能使用可访问快照</x:v>
      </x:c>
    </x:row>
    <x:row r="809" ht="32" customHeight="1">
      <x:c r="A809" s="30" t="str">
        <x:v>A008</x:v>
      </x:c>
      <x:c r="B809" s="30" t="str">
        <x:v>F051</x:v>
      </x:c>
      <x:c r="C809" s="30" t="str">
        <x:v>road.clear_height_m</x:v>
      </x:c>
      <x:c r="D809" s="30" t="str">
        <x:v>候选输入schema</x:v>
      </x:c>
      <x:c r="E809" s="30" t="str">
        <x:v>按执行角色权限读取；策略只能使用可访问快照</x:v>
      </x:c>
    </x:row>
    <x:row r="810" ht="32" customHeight="1">
      <x:c r="A810" s="30" t="str">
        <x:v>A008</x:v>
      </x:c>
      <x:c r="B810" s="30" t="str">
        <x:v>F052</x:v>
      </x:c>
      <x:c r="C810" s="30" t="str">
        <x:v>road.turn_radius_m</x:v>
      </x:c>
      <x:c r="D810" s="30" t="str">
        <x:v>候选输入schema</x:v>
      </x:c>
      <x:c r="E810" s="30" t="str">
        <x:v>按执行角色权限读取；策略只能使用可访问快照</x:v>
      </x:c>
    </x:row>
    <x:row r="811" ht="32" customHeight="1">
      <x:c r="A811" s="30" t="str">
        <x:v>A008</x:v>
      </x:c>
      <x:c r="B811" s="30" t="str">
        <x:v>F053</x:v>
      </x:c>
      <x:c r="C811" s="30" t="str">
        <x:v>road.step_height_m</x:v>
      </x:c>
      <x:c r="D811" s="30" t="str">
        <x:v>候选输入schema</x:v>
      </x:c>
      <x:c r="E811" s="30" t="str">
        <x:v>按执行角色权限读取；策略只能使用可访问快照</x:v>
      </x:c>
    </x:row>
    <x:row r="812" ht="32" customHeight="1">
      <x:c r="A812" s="30" t="str">
        <x:v>A008</x:v>
      </x:c>
      <x:c r="B812" s="30" t="str">
        <x:v>F054</x:v>
      </x:c>
      <x:c r="C812" s="30" t="str">
        <x:v>road.entry_state</x:v>
      </x:c>
      <x:c r="D812" s="30" t="str">
        <x:v>候选输入schema</x:v>
      </x:c>
      <x:c r="E812" s="30" t="str">
        <x:v>按执行角色权限读取；策略只能使用可访问快照</x:v>
      </x:c>
    </x:row>
    <x:row r="813" ht="32" customHeight="1">
      <x:c r="A813" s="30" t="str">
        <x:v>A008</x:v>
      </x:c>
      <x:c r="B813" s="30" t="str">
        <x:v>F055</x:v>
      </x:c>
      <x:c r="C813" s="30" t="str">
        <x:v>road.water_depth_m</x:v>
      </x:c>
      <x:c r="D813" s="30" t="str">
        <x:v>候选输入schema</x:v>
      </x:c>
      <x:c r="E813" s="30" t="str">
        <x:v>按执行角色权限读取；策略只能使用可访问快照</x:v>
      </x:c>
    </x:row>
    <x:row r="814" ht="32" customHeight="1">
      <x:c r="A814" s="30" t="str">
        <x:v>A008</x:v>
      </x:c>
      <x:c r="B814" s="30" t="str">
        <x:v>F056</x:v>
      </x:c>
      <x:c r="C814" s="30" t="str">
        <x:v>road.passability</x:v>
      </x:c>
      <x:c r="D814" s="30" t="str">
        <x:v>候选输入schema</x:v>
      </x:c>
      <x:c r="E814" s="30" t="str">
        <x:v>按执行角色权限读取；策略只能使用可访问快照</x:v>
      </x:c>
    </x:row>
    <x:row r="815" ht="32" customHeight="1">
      <x:c r="A815" s="30" t="str">
        <x:v>A008</x:v>
      </x:c>
      <x:c r="B815" s="30" t="str">
        <x:v>F057</x:v>
      </x:c>
      <x:c r="C815" s="30" t="str">
        <x:v>road.travel_cost</x:v>
      </x:c>
      <x:c r="D815" s="30" t="str">
        <x:v>候选输入schema</x:v>
      </x:c>
      <x:c r="E815" s="30" t="str">
        <x:v>按执行角色权限读取；策略只能使用可访问快照</x:v>
      </x:c>
    </x:row>
    <x:row r="816" ht="32" customHeight="1">
      <x:c r="A816" s="30" t="str">
        <x:v>A008</x:v>
      </x:c>
      <x:c r="B816" s="30" t="str">
        <x:v>F058</x:v>
      </x:c>
      <x:c r="C816" s="30" t="str">
        <x:v>road.topology_revision</x:v>
      </x:c>
      <x:c r="D816" s="30" t="str">
        <x:v>候选输入schema</x:v>
      </x:c>
      <x:c r="E816" s="30" t="str">
        <x:v>按执行角色权限读取；策略只能使用可访问快照</x:v>
      </x:c>
    </x:row>
    <x:row r="817" ht="32" customHeight="1">
      <x:c r="A817" s="30" t="str">
        <x:v>A008</x:v>
      </x:c>
      <x:c r="B817" s="30" t="str">
        <x:v>F071</x:v>
      </x:c>
      <x:c r="C817" s="30" t="str">
        <x:v>human.location_context</x:v>
      </x:c>
      <x:c r="D817" s="30" t="str">
        <x:v>候选输入schema</x:v>
      </x:c>
      <x:c r="E817" s="30" t="str">
        <x:v>按执行角色权限读取；策略只能使用可访问快照</x:v>
      </x:c>
    </x:row>
    <x:row r="818" ht="32" customHeight="1">
      <x:c r="A818" s="30" t="str">
        <x:v>A008</x:v>
      </x:c>
      <x:c r="B818" s="30" t="str">
        <x:v>F072</x:v>
      </x:c>
      <x:c r="C818" s="30" t="str">
        <x:v>human.alive</x:v>
      </x:c>
      <x:c r="D818" s="30" t="str">
        <x:v>候选输入schema</x:v>
      </x:c>
      <x:c r="E818" s="30" t="str">
        <x:v>按执行角色权限读取；策略只能使用可访问快照</x:v>
      </x:c>
    </x:row>
    <x:row r="819" ht="32" customHeight="1">
      <x:c r="A819" s="30" t="str">
        <x:v>A008</x:v>
      </x:c>
      <x:c r="B819" s="30" t="str">
        <x:v>F073</x:v>
      </x:c>
      <x:c r="C819" s="30" t="str">
        <x:v>human.injury</x:v>
      </x:c>
      <x:c r="D819" s="30" t="str">
        <x:v>候选输入schema</x:v>
      </x:c>
      <x:c r="E819" s="30" t="str">
        <x:v>按执行角色权限读取；策略只能使用可访问快照</x:v>
      </x:c>
    </x:row>
    <x:row r="820" ht="32" customHeight="1">
      <x:c r="A820" s="30" t="str">
        <x:v>A008</x:v>
      </x:c>
      <x:c r="B820" s="30" t="str">
        <x:v>F074</x:v>
      </x:c>
      <x:c r="C820" s="30" t="str">
        <x:v>human.mobility</x:v>
      </x:c>
      <x:c r="D820" s="30" t="str">
        <x:v>候选输入schema</x:v>
      </x:c>
      <x:c r="E820" s="30" t="str">
        <x:v>按执行角色权限读取；策略只能使用可访问快照</x:v>
      </x:c>
    </x:row>
    <x:row r="821" ht="32" customHeight="1">
      <x:c r="A821" s="30" t="str">
        <x:v>A008</x:v>
      </x:c>
      <x:c r="B821" s="30" t="str">
        <x:v>F075</x:v>
      </x:c>
      <x:c r="C821" s="30" t="str">
        <x:v>human.buriedness</x:v>
      </x:c>
      <x:c r="D821" s="30" t="str">
        <x:v>候选输入schema</x:v>
      </x:c>
      <x:c r="E821" s="30" t="str">
        <x:v>按执行角色权限读取；策略只能使用可访问快照</x:v>
      </x:c>
    </x:row>
    <x:row r="822" ht="32" customHeight="1">
      <x:c r="A822" s="30" t="str">
        <x:v>A008</x:v>
      </x:c>
      <x:c r="B822" s="30" t="str">
        <x:v>F076</x:v>
      </x:c>
      <x:c r="C822" s="30" t="str">
        <x:v>human.needs</x:v>
      </x:c>
      <x:c r="D822" s="30" t="str">
        <x:v>候选输入schema</x:v>
      </x:c>
      <x:c r="E822" s="30" t="str">
        <x:v>按执行角色权限读取；策略只能使用可访问快照</x:v>
      </x:c>
    </x:row>
    <x:row r="823" ht="32" customHeight="1">
      <x:c r="A823" s="30" t="str">
        <x:v>A008</x:v>
      </x:c>
      <x:c r="B823" s="30" t="str">
        <x:v>F077</x:v>
      </x:c>
      <x:c r="C823" s="30" t="str">
        <x:v>human.pose</x:v>
      </x:c>
      <x:c r="D823" s="30" t="str">
        <x:v>候选输入schema</x:v>
      </x:c>
      <x:c r="E823" s="30" t="str">
        <x:v>按执行角色权限读取；策略只能使用可访问快照</x:v>
      </x:c>
    </x:row>
    <x:row r="824" ht="32" customHeight="1">
      <x:c r="A824" s="30" t="str">
        <x:v>A008</x:v>
      </x:c>
      <x:c r="B824" s="30" t="str">
        <x:v>F078</x:v>
      </x:c>
      <x:c r="C824" s="30" t="str">
        <x:v>human.visibility_context</x:v>
      </x:c>
      <x:c r="D824" s="30" t="str">
        <x:v>候选输入schema</x:v>
      </x:c>
      <x:c r="E824" s="30" t="str">
        <x:v>按执行角色权限读取；策略只能使用可访问快照</x:v>
      </x:c>
    </x:row>
    <x:row r="825" ht="32" customHeight="1">
      <x:c r="A825" s="30" t="str">
        <x:v>A008</x:v>
      </x:c>
      <x:c r="B825" s="30" t="str">
        <x:v>F079</x:v>
      </x:c>
      <x:c r="C825" s="30" t="str">
        <x:v>human.distress_signal</x:v>
      </x:c>
      <x:c r="D825" s="30" t="str">
        <x:v>候选输入schema</x:v>
      </x:c>
      <x:c r="E825" s="30" t="str">
        <x:v>按执行角色权限读取；策略只能使用可访问快照</x:v>
      </x:c>
    </x:row>
    <x:row r="826" ht="32" customHeight="1">
      <x:c r="A826" s="30" t="str">
        <x:v>A008</x:v>
      </x:c>
      <x:c r="B826" s="30" t="str">
        <x:v>F080</x:v>
      </x:c>
      <x:c r="C826" s="30" t="str">
        <x:v>human.health_model</x:v>
      </x:c>
      <x:c r="D826" s="30" t="str">
        <x:v>候选输入schema</x:v>
      </x:c>
      <x:c r="E826" s="30" t="str">
        <x:v>按执行角色权限读取；策略只能使用可访问快照</x:v>
      </x:c>
    </x:row>
    <x:row r="827" ht="32" customHeight="1">
      <x:c r="A827" s="30" t="str">
        <x:v>A008</x:v>
      </x:c>
      <x:c r="B827" s="30" t="str">
        <x:v>F081</x:v>
      </x:c>
      <x:c r="C827" s="30" t="str">
        <x:v>human.health_value</x:v>
      </x:c>
      <x:c r="D827" s="30" t="str">
        <x:v>候选输入schema</x:v>
      </x:c>
      <x:c r="E827" s="30" t="str">
        <x:v>按执行角色权限读取；策略只能使用可访问快照</x:v>
      </x:c>
    </x:row>
    <x:row r="828" ht="32" customHeight="1">
      <x:c r="A828" s="30" t="str">
        <x:v>A008</x:v>
      </x:c>
      <x:c r="B828" s="30" t="str">
        <x:v>F082</x:v>
      </x:c>
      <x:c r="C828" s="30" t="str">
        <x:v>human.support_received</x:v>
      </x:c>
      <x:c r="D828" s="30" t="str">
        <x:v>候选输入schema</x:v>
      </x:c>
      <x:c r="E828" s="30" t="str">
        <x:v>按执行角色权限读取；策略只能使用可访问快照</x:v>
      </x:c>
    </x:row>
    <x:row r="829" ht="32" customHeight="1">
      <x:c r="A829" s="30" t="str">
        <x:v>A008</x:v>
      </x:c>
      <x:c r="B829" s="30" t="str">
        <x:v>F083</x:v>
      </x:c>
      <x:c r="C829" s="30" t="str">
        <x:v>human.carrier_id</x:v>
      </x:c>
      <x:c r="D829" s="30" t="str">
        <x:v>候选输入schema</x:v>
      </x:c>
      <x:c r="E829" s="30" t="str">
        <x:v>按执行角色权限读取；策略只能使用可访问快照</x:v>
      </x:c>
    </x:row>
    <x:row r="830" ht="32" customHeight="1">
      <x:c r="A830" s="30" t="str">
        <x:v>A008</x:v>
      </x:c>
      <x:c r="B830" s="30" t="str">
        <x:v>F084</x:v>
      </x:c>
      <x:c r="C830" s="30" t="str">
        <x:v>human.destination_id</x:v>
      </x:c>
      <x:c r="D830" s="30" t="str">
        <x:v>候选输入schema</x:v>
      </x:c>
      <x:c r="E830" s="30" t="str">
        <x:v>按执行角色权限读取；策略只能使用可访问快照</x:v>
      </x:c>
    </x:row>
    <x:row r="831" ht="32" customHeight="1">
      <x:c r="A831" s="30" t="str">
        <x:v>A008</x:v>
      </x:c>
      <x:c r="B831" s="30" t="str">
        <x:v>F085</x:v>
      </x:c>
      <x:c r="C831" s="30" t="str">
        <x:v>human.handover_status</x:v>
      </x:c>
      <x:c r="D831" s="30" t="str">
        <x:v>候选输入schema</x:v>
      </x:c>
      <x:c r="E831" s="30" t="str">
        <x:v>按执行角色权限读取；策略只能使用可访问快照</x:v>
      </x:c>
    </x:row>
    <x:row r="832" ht="32" customHeight="1">
      <x:c r="A832" s="30" t="str">
        <x:v>A008</x:v>
      </x:c>
      <x:c r="B832" s="30" t="str">
        <x:v>F086</x:v>
      </x:c>
      <x:c r="C832" s="30" t="str">
        <x:v>human.last_assessed_s</x:v>
      </x:c>
      <x:c r="D832" s="30" t="str">
        <x:v>候选输入schema</x:v>
      </x:c>
      <x:c r="E832" s="30" t="str">
        <x:v>按执行角色权限读取；策略只能使用可访问快照</x:v>
      </x:c>
    </x:row>
    <x:row r="833" ht="32" customHeight="1">
      <x:c r="A833" s="30" t="str">
        <x:v>A008</x:v>
      </x:c>
      <x:c r="B833" s="30" t="str">
        <x:v>F087</x:v>
      </x:c>
      <x:c r="C833" s="30" t="str">
        <x:v>human.identity_association</x:v>
      </x:c>
      <x:c r="D833" s="30" t="str">
        <x:v>候选输入schema</x:v>
      </x:c>
      <x:c r="E833" s="30" t="str">
        <x:v>按执行角色权限读取；策略只能使用可访问快照</x:v>
      </x:c>
    </x:row>
    <x:row r="834" ht="32" customHeight="1">
      <x:c r="A834" s="30" t="str">
        <x:v>A008</x:v>
      </x:c>
      <x:c r="B834" s="30" t="str">
        <x:v>F095</x:v>
      </x:c>
      <x:c r="C834" s="30" t="str">
        <x:v>platform.kind</x:v>
      </x:c>
      <x:c r="D834" s="30" t="str">
        <x:v>候选输入schema</x:v>
      </x:c>
      <x:c r="E834" s="30" t="str">
        <x:v>按执行角色权限读取；策略只能使用可访问快照</x:v>
      </x:c>
    </x:row>
    <x:row r="835" ht="32" customHeight="1">
      <x:c r="A835" s="30" t="str">
        <x:v>A008</x:v>
      </x:c>
      <x:c r="B835" s="30" t="str">
        <x:v>F096</x:v>
      </x:c>
      <x:c r="C835" s="30" t="str">
        <x:v>platform.capability_ids</x:v>
      </x:c>
      <x:c r="D835" s="30" t="str">
        <x:v>候选输入schema</x:v>
      </x:c>
      <x:c r="E835" s="30" t="str">
        <x:v>按执行角色权限读取；策略只能使用可访问快照</x:v>
      </x:c>
    </x:row>
    <x:row r="836" ht="32" customHeight="1">
      <x:c r="A836" s="30" t="str">
        <x:v>A008</x:v>
      </x:c>
      <x:c r="B836" s="30" t="str">
        <x:v>F097</x:v>
      </x:c>
      <x:c r="C836" s="30" t="str">
        <x:v>platform.equipment_ids</x:v>
      </x:c>
      <x:c r="D836" s="30" t="str">
        <x:v>候选输入schema</x:v>
      </x:c>
      <x:c r="E836" s="30" t="str">
        <x:v>按执行角色权限读取；策略只能使用可访问快照</x:v>
      </x:c>
    </x:row>
    <x:row r="837" ht="32" customHeight="1">
      <x:c r="A837" s="30" t="str">
        <x:v>A008</x:v>
      </x:c>
      <x:c r="B837" s="30" t="str">
        <x:v>F098</x:v>
      </x:c>
      <x:c r="C837" s="30" t="str">
        <x:v>platform.width_m</x:v>
      </x:c>
      <x:c r="D837" s="30" t="str">
        <x:v>候选输入schema</x:v>
      </x:c>
      <x:c r="E837" s="30" t="str">
        <x:v>按执行角色权限读取；策略只能使用可访问快照</x:v>
      </x:c>
    </x:row>
    <x:row r="838" ht="32" customHeight="1">
      <x:c r="A838" s="30" t="str">
        <x:v>A008</x:v>
      </x:c>
      <x:c r="B838" s="30" t="str">
        <x:v>F099</x:v>
      </x:c>
      <x:c r="C838" s="30" t="str">
        <x:v>platform.height_m</x:v>
      </x:c>
      <x:c r="D838" s="30" t="str">
        <x:v>候选输入schema</x:v>
      </x:c>
      <x:c r="E838" s="30" t="str">
        <x:v>按执行角色权限读取；策略只能使用可访问快照</x:v>
      </x:c>
    </x:row>
    <x:row r="839" ht="32" customHeight="1">
      <x:c r="A839" s="30" t="str">
        <x:v>A008</x:v>
      </x:c>
      <x:c r="B839" s="30" t="str">
        <x:v>F100</x:v>
      </x:c>
      <x:c r="C839" s="30" t="str">
        <x:v>platform.swept_radius_m</x:v>
      </x:c>
      <x:c r="D839" s="30" t="str">
        <x:v>候选输入schema</x:v>
      </x:c>
      <x:c r="E839" s="30" t="str">
        <x:v>按执行角色权限读取；策略只能使用可访问快照</x:v>
      </x:c>
    </x:row>
    <x:row r="840" ht="32" customHeight="1">
      <x:c r="A840" s="30" t="str">
        <x:v>A008</x:v>
      </x:c>
      <x:c r="B840" s="30" t="str">
        <x:v>F101</x:v>
      </x:c>
      <x:c r="C840" s="30" t="str">
        <x:v>platform.payload_capacity_kg</x:v>
      </x:c>
      <x:c r="D840" s="30" t="str">
        <x:v>候选输入schema</x:v>
      </x:c>
      <x:c r="E840" s="30" t="str">
        <x:v>按执行角色权限读取；策略只能使用可访问快照</x:v>
      </x:c>
    </x:row>
    <x:row r="841" ht="32" customHeight="1">
      <x:c r="A841" s="30" t="str">
        <x:v>A008</x:v>
      </x:c>
      <x:c r="B841" s="30" t="str">
        <x:v>F102</x:v>
      </x:c>
      <x:c r="C841" s="30" t="str">
        <x:v>platform.payload_used_kg</x:v>
      </x:c>
      <x:c r="D841" s="30" t="str">
        <x:v>候选输入schema</x:v>
      </x:c>
      <x:c r="E841" s="30" t="str">
        <x:v>按执行角色权限读取；策略只能使用可访问快照</x:v>
      </x:c>
    </x:row>
    <x:row r="842" ht="32" customHeight="1">
      <x:c r="A842" s="30" t="str">
        <x:v>A008</x:v>
      </x:c>
      <x:c r="B842" s="30" t="str">
        <x:v>F103</x:v>
      </x:c>
      <x:c r="C842" s="30" t="str">
        <x:v>platform.payload_item_ids</x:v>
      </x:c>
      <x:c r="D842" s="30" t="str">
        <x:v>候选输入schema</x:v>
      </x:c>
      <x:c r="E842" s="30" t="str">
        <x:v>按执行角色权限读取；策略只能使用可访问快照</x:v>
      </x:c>
    </x:row>
    <x:row r="843" ht="32" customHeight="1">
      <x:c r="A843" s="30" t="str">
        <x:v>A008</x:v>
      </x:c>
      <x:c r="B843" s="30" t="str">
        <x:v>F104</x:v>
      </x:c>
      <x:c r="C843" s="30" t="str">
        <x:v>platform.battery_capacity_Wh</x:v>
      </x:c>
      <x:c r="D843" s="30" t="str">
        <x:v>候选输入schema</x:v>
      </x:c>
      <x:c r="E843" s="30" t="str">
        <x:v>按执行角色权限读取；策略只能使用可访问快照</x:v>
      </x:c>
    </x:row>
    <x:row r="844" ht="32" customHeight="1">
      <x:c r="A844" s="30" t="str">
        <x:v>A008</x:v>
      </x:c>
      <x:c r="B844" s="30" t="str">
        <x:v>F105</x:v>
      </x:c>
      <x:c r="C844" s="30" t="str">
        <x:v>platform.battery_remaining_Wh</x:v>
      </x:c>
      <x:c r="D844" s="30" t="str">
        <x:v>候选输入schema</x:v>
      </x:c>
      <x:c r="E844" s="30" t="str">
        <x:v>按执行角色权限读取；策略只能使用可访问快照</x:v>
      </x:c>
    </x:row>
    <x:row r="845" ht="32" customHeight="1">
      <x:c r="A845" s="30" t="str">
        <x:v>A008</x:v>
      </x:c>
      <x:c r="B845" s="30" t="str">
        <x:v>F106</x:v>
      </x:c>
      <x:c r="C845" s="30" t="str">
        <x:v>platform.reserve_Wh</x:v>
      </x:c>
      <x:c r="D845" s="30" t="str">
        <x:v>候选输入schema</x:v>
      </x:c>
      <x:c r="E845" s="30" t="str">
        <x:v>按执行角色权限读取；策略只能使用可访问快照</x:v>
      </x:c>
    </x:row>
    <x:row r="846" ht="32" customHeight="1">
      <x:c r="A846" s="30" t="str">
        <x:v>A008</x:v>
      </x:c>
      <x:c r="B846" s="30" t="str">
        <x:v>F107</x:v>
      </x:c>
      <x:c r="C846" s="30" t="str">
        <x:v>platform.speed_limit_mps</x:v>
      </x:c>
      <x:c r="D846" s="30" t="str">
        <x:v>候选输入schema</x:v>
      </x:c>
      <x:c r="E846" s="30" t="str">
        <x:v>按执行角色权限读取；策略只能使用可访问快照</x:v>
      </x:c>
    </x:row>
    <x:row r="847" ht="32" customHeight="1">
      <x:c r="A847" s="30" t="str">
        <x:v>A008</x:v>
      </x:c>
      <x:c r="B847" s="30" t="str">
        <x:v>F108</x:v>
      </x:c>
      <x:c r="C847" s="30" t="str">
        <x:v>platform.energy_model</x:v>
      </x:c>
      <x:c r="D847" s="30" t="str">
        <x:v>候选输入schema</x:v>
      </x:c>
      <x:c r="E847" s="30" t="str">
        <x:v>按执行角色权限读取；策略只能使用可访问快照</x:v>
      </x:c>
    </x:row>
    <x:row r="848" ht="32" customHeight="1">
      <x:c r="A848" s="30" t="str">
        <x:v>A008</x:v>
      </x:c>
      <x:c r="B848" s="30" t="str">
        <x:v>F109</x:v>
      </x:c>
      <x:c r="C848" s="30" t="str">
        <x:v>platform.motion_state</x:v>
      </x:c>
      <x:c r="D848" s="30" t="str">
        <x:v>候选输入schema</x:v>
      </x:c>
      <x:c r="E848" s="30" t="str">
        <x:v>按执行角色权限读取；策略只能使用可访问快照</x:v>
      </x:c>
    </x:row>
    <x:row r="849" ht="32" customHeight="1">
      <x:c r="A849" s="30" t="str">
        <x:v>A008</x:v>
      </x:c>
      <x:c r="B849" s="30" t="str">
        <x:v>F110</x:v>
      </x:c>
      <x:c r="C849" s="30" t="str">
        <x:v>platform.health_state</x:v>
      </x:c>
      <x:c r="D849" s="30" t="str">
        <x:v>候选输入schema</x:v>
      </x:c>
      <x:c r="E849" s="30" t="str">
        <x:v>按执行角色权限读取；策略只能使用可访问快照</x:v>
      </x:c>
    </x:row>
    <x:row r="850" ht="32" customHeight="1">
      <x:c r="A850" s="30" t="str">
        <x:v>A008</x:v>
      </x:c>
      <x:c r="B850" s="30" t="str">
        <x:v>F111</x:v>
      </x:c>
      <x:c r="C850" s="30" t="str">
        <x:v>platform.current_action_id</x:v>
      </x:c>
      <x:c r="D850" s="30" t="str">
        <x:v>候选输入schema</x:v>
      </x:c>
      <x:c r="E850" s="30" t="str">
        <x:v>按执行角色权限读取；策略只能使用可访问快照</x:v>
      </x:c>
    </x:row>
    <x:row r="851" ht="32" customHeight="1">
      <x:c r="A851" s="30" t="str">
        <x:v>A008</x:v>
      </x:c>
      <x:c r="B851" s="30" t="str">
        <x:v>F112</x:v>
      </x:c>
      <x:c r="C851" s="30" t="str">
        <x:v>platform.busy_until_est_s</x:v>
      </x:c>
      <x:c r="D851" s="30" t="str">
        <x:v>候选输入schema</x:v>
      </x:c>
      <x:c r="E851" s="30" t="str">
        <x:v>按执行角色权限读取；策略只能使用可访问快照</x:v>
      </x:c>
    </x:row>
    <x:row r="852" ht="32" customHeight="1">
      <x:c r="A852" s="30" t="str">
        <x:v>A008</x:v>
      </x:c>
      <x:c r="B852" s="30" t="str">
        <x:v>F113</x:v>
      </x:c>
      <x:c r="C852" s="30" t="str">
        <x:v>platform.return_site_id</x:v>
      </x:c>
      <x:c r="D852" s="30" t="str">
        <x:v>候选输入schema</x:v>
      </x:c>
      <x:c r="E852" s="30" t="str">
        <x:v>按执行角色权限读取；策略只能使用可访问快照</x:v>
      </x:c>
    </x:row>
    <x:row r="853" ht="32" customHeight="1">
      <x:c r="A853" s="30" t="str">
        <x:v>A008</x:v>
      </x:c>
      <x:c r="B853" s="30" t="str">
        <x:v>F114</x:v>
      </x:c>
      <x:c r="C853" s="30" t="str">
        <x:v>platform.water_tolerance_m</x:v>
      </x:c>
      <x:c r="D853" s="30" t="str">
        <x:v>候选输入schema</x:v>
      </x:c>
      <x:c r="E853" s="30" t="str">
        <x:v>按执行角色权限读取；策略只能使用可访问快照</x:v>
      </x:c>
    </x:row>
    <x:row r="854" ht="32" customHeight="1">
      <x:c r="A854" s="30" t="str">
        <x:v>A008</x:v>
      </x:c>
      <x:c r="B854" s="30" t="str">
        <x:v>F115</x:v>
      </x:c>
      <x:c r="C854" s="30" t="str">
        <x:v>platform.concurrency_policy</x:v>
      </x:c>
      <x:c r="D854" s="30" t="str">
        <x:v>候选输入schema</x:v>
      </x:c>
      <x:c r="E854" s="30" t="str">
        <x:v>按执行角色权限读取；策略只能使用可访问快照</x:v>
      </x:c>
    </x:row>
    <x:row r="855" ht="32" customHeight="1">
      <x:c r="A855" s="30" t="str">
        <x:v>A008</x:v>
      </x:c>
      <x:c r="B855" s="30" t="str">
        <x:v>F151</x:v>
      </x:c>
      <x:c r="C855" s="30" t="str">
        <x:v>sensor.modality</x:v>
      </x:c>
      <x:c r="D855" s="30" t="str">
        <x:v>候选输入schema</x:v>
      </x:c>
      <x:c r="E855" s="30" t="str">
        <x:v>按执行角色权限读取；策略只能使用可访问快照</x:v>
      </x:c>
    </x:row>
    <x:row r="856" ht="32" customHeight="1">
      <x:c r="A856" s="30" t="str">
        <x:v>A008</x:v>
      </x:c>
      <x:c r="B856" s="30" t="str">
        <x:v>F152</x:v>
      </x:c>
      <x:c r="C856" s="30" t="str">
        <x:v>sensor.mount_pose</x:v>
      </x:c>
      <x:c r="D856" s="30" t="str">
        <x:v>候选输入schema</x:v>
      </x:c>
      <x:c r="E856" s="30" t="str">
        <x:v>按执行角色权限读取；策略只能使用可访问快照</x:v>
      </x:c>
    </x:row>
    <x:row r="857" ht="32" customHeight="1">
      <x:c r="A857" s="30" t="str">
        <x:v>A008</x:v>
      </x:c>
      <x:c r="B857" s="30" t="str">
        <x:v>F153</x:v>
      </x:c>
      <x:c r="C857" s="30" t="str">
        <x:v>sensor.fov_deg</x:v>
      </x:c>
      <x:c r="D857" s="30" t="str">
        <x:v>候选输入schema</x:v>
      </x:c>
      <x:c r="E857" s="30" t="str">
        <x:v>按执行角色权限读取；策略只能使用可访问快照</x:v>
      </x:c>
    </x:row>
    <x:row r="858" ht="32" customHeight="1">
      <x:c r="A858" s="30" t="str">
        <x:v>A008</x:v>
      </x:c>
      <x:c r="B858" s="30" t="str">
        <x:v>F154</x:v>
      </x:c>
      <x:c r="C858" s="30" t="str">
        <x:v>sensor.resolution</x:v>
      </x:c>
      <x:c r="D858" s="30" t="str">
        <x:v>候选输入schema</x:v>
      </x:c>
      <x:c r="E858" s="30" t="str">
        <x:v>按执行角色权限读取；策略只能使用可访问快照</x:v>
      </x:c>
    </x:row>
    <x:row r="859" ht="32" customHeight="1">
      <x:c r="A859" s="30" t="str">
        <x:v>A008</x:v>
      </x:c>
      <x:c r="B859" s="30" t="str">
        <x:v>F155</x:v>
      </x:c>
      <x:c r="C859" s="30" t="str">
        <x:v>sensor.range_m</x:v>
      </x:c>
      <x:c r="D859" s="30" t="str">
        <x:v>候选输入schema</x:v>
      </x:c>
      <x:c r="E859" s="30" t="str">
        <x:v>按执行角色权限读取；策略只能使用可访问快照</x:v>
      </x:c>
    </x:row>
    <x:row r="860" ht="32" customHeight="1">
      <x:c r="A860" s="30" t="str">
        <x:v>A008</x:v>
      </x:c>
      <x:c r="B860" s="30" t="str">
        <x:v>F156</x:v>
      </x:c>
      <x:c r="C860" s="30" t="str">
        <x:v>sensor.sampling_period_s</x:v>
      </x:c>
      <x:c r="D860" s="30" t="str">
        <x:v>候选输入schema</x:v>
      </x:c>
      <x:c r="E860" s="30" t="str">
        <x:v>按执行角色权限读取；策略只能使用可访问快照</x:v>
      </x:c>
    </x:row>
    <x:row r="861" ht="32" customHeight="1">
      <x:c r="A861" s="30" t="str">
        <x:v>A008</x:v>
      </x:c>
      <x:c r="B861" s="30" t="str">
        <x:v>F157</x:v>
      </x:c>
      <x:c r="C861" s="30" t="str">
        <x:v>sensor.enabled</x:v>
      </x:c>
      <x:c r="D861" s="30" t="str">
        <x:v>候选输入schema</x:v>
      </x:c>
      <x:c r="E861" s="30" t="str">
        <x:v>按执行角色权限读取；策略只能使用可访问快照</x:v>
      </x:c>
    </x:row>
    <x:row r="862" ht="32" customHeight="1">
      <x:c r="A862" s="30" t="str">
        <x:v>A008</x:v>
      </x:c>
      <x:c r="B862" s="30" t="str">
        <x:v>F158</x:v>
      </x:c>
      <x:c r="C862" s="30" t="str">
        <x:v>sensor.health</x:v>
      </x:c>
      <x:c r="D862" s="30" t="str">
        <x:v>候选输入schema</x:v>
      </x:c>
      <x:c r="E862" s="30" t="str">
        <x:v>按执行角色权限读取；策略只能使用可访问快照</x:v>
      </x:c>
    </x:row>
    <x:row r="863" ht="32" customHeight="1">
      <x:c r="A863" s="30" t="str">
        <x:v>A008</x:v>
      </x:c>
      <x:c r="B863" s="30" t="str">
        <x:v>F159</x:v>
      </x:c>
      <x:c r="C863" s="30" t="str">
        <x:v>sensor.exposure</x:v>
      </x:c>
      <x:c r="D863" s="30" t="str">
        <x:v>候选输入schema</x:v>
      </x:c>
      <x:c r="E863" s="30" t="str">
        <x:v>按执行角色权限读取；策略只能使用可访问快照</x:v>
      </x:c>
    </x:row>
    <x:row r="864" ht="32" customHeight="1">
      <x:c r="A864" s="30" t="str">
        <x:v>A008</x:v>
      </x:c>
      <x:c r="B864" s="30" t="str">
        <x:v>F160</x:v>
      </x:c>
      <x:c r="C864" s="30" t="str">
        <x:v>sensor.calibration_id</x:v>
      </x:c>
      <x:c r="D864" s="30" t="str">
        <x:v>候选输入schema</x:v>
      </x:c>
      <x:c r="E864" s="30" t="str">
        <x:v>按执行角色权限读取；策略只能使用可访问快照</x:v>
      </x:c>
    </x:row>
    <x:row r="865" ht="32" customHeight="1">
      <x:c r="A865" s="30" t="str">
        <x:v>A008</x:v>
      </x:c>
      <x:c r="B865" s="30" t="str">
        <x:v>F161</x:v>
      </x:c>
      <x:c r="C865" s="30" t="str">
        <x:v>sensor.gimbal_pose</x:v>
      </x:c>
      <x:c r="D865" s="30" t="str">
        <x:v>候选输入schema</x:v>
      </x:c>
      <x:c r="E865" s="30" t="str">
        <x:v>按执行角色权限读取；策略只能使用可访问快照</x:v>
      </x:c>
    </x:row>
    <x:row r="866" ht="32" customHeight="1">
      <x:c r="A866" s="30" t="str">
        <x:v>A008</x:v>
      </x:c>
      <x:c r="B866" s="30" t="str">
        <x:v>F162</x:v>
      </x:c>
      <x:c r="C866" s="30" t="str">
        <x:v>sensor.capture_state</x:v>
      </x:c>
      <x:c r="D866" s="30" t="str">
        <x:v>候选输入schema</x:v>
      </x:c>
      <x:c r="E866" s="30" t="str">
        <x:v>按执行角色权限读取；策略只能使用可访问快照</x:v>
      </x:c>
    </x:row>
    <x:row r="867" ht="32" customHeight="1">
      <x:c r="A867" s="30" t="str">
        <x:v>A008</x:v>
      </x:c>
      <x:c r="B867" s="30" t="str">
        <x:v>F163</x:v>
      </x:c>
      <x:c r="C867" s="30" t="str">
        <x:v>sensor.noise_model</x:v>
      </x:c>
      <x:c r="D867" s="30" t="str">
        <x:v>候选输入schema</x:v>
      </x:c>
      <x:c r="E867" s="30" t="str">
        <x:v>按执行角色权限读取；策略只能使用可访问快照</x:v>
      </x:c>
    </x:row>
    <x:row r="868" ht="32" customHeight="1">
      <x:c r="A868" s="30" t="str">
        <x:v>A008</x:v>
      </x:c>
      <x:c r="B868" s="30" t="str">
        <x:v>F164</x:v>
      </x:c>
      <x:c r="C868" s="30" t="str">
        <x:v>sensor.blind_zone</x:v>
      </x:c>
      <x:c r="D868" s="30" t="str">
        <x:v>候选输入schema</x:v>
      </x:c>
      <x:c r="E868" s="30" t="str">
        <x:v>按执行角色权限读取；策略只能使用可访问快照</x:v>
      </x:c>
    </x:row>
    <x:row r="869" ht="32" customHeight="1">
      <x:c r="A869" s="30" t="str">
        <x:v>A008</x:v>
      </x:c>
      <x:c r="B869" s="30" t="str">
        <x:v>F165</x:v>
      </x:c>
      <x:c r="C869" s="30" t="str">
        <x:v>sensor.last_capture_s</x:v>
      </x:c>
      <x:c r="D869" s="30" t="str">
        <x:v>候选输入schema</x:v>
      </x:c>
      <x:c r="E869" s="30" t="str">
        <x:v>按执行角色权限读取；策略只能使用可访问快照</x:v>
      </x:c>
    </x:row>
    <x:row r="870" ht="32" customHeight="1">
      <x:c r="A870" s="30" t="str">
        <x:v>A008</x:v>
      </x:c>
      <x:c r="B870" s="30" t="str">
        <x:v>F196</x:v>
      </x:c>
      <x:c r="C870" s="30" t="str">
        <x:v>task.type</x:v>
      </x:c>
      <x:c r="D870" s="30" t="str">
        <x:v>候选输入schema</x:v>
      </x:c>
      <x:c r="E870" s="30" t="str">
        <x:v>按执行角色权限读取；策略只能使用可访问快照</x:v>
      </x:c>
    </x:row>
    <x:row r="871" ht="32" customHeight="1">
      <x:c r="A871" s="30" t="str">
        <x:v>A008</x:v>
      </x:c>
      <x:c r="B871" s="30" t="str">
        <x:v>F197</x:v>
      </x:c>
      <x:c r="C871" s="30" t="str">
        <x:v>task.creator_id</x:v>
      </x:c>
      <x:c r="D871" s="30" t="str">
        <x:v>候选输入schema</x:v>
      </x:c>
      <x:c r="E871" s="30" t="str">
        <x:v>按执行角色权限读取；策略只能使用可访问快照</x:v>
      </x:c>
    </x:row>
    <x:row r="872" ht="32" customHeight="1">
      <x:c r="A872" s="30" t="str">
        <x:v>A008</x:v>
      </x:c>
      <x:c r="B872" s="30" t="str">
        <x:v>F198</x:v>
      </x:c>
      <x:c r="C872" s="30" t="str">
        <x:v>task.target_ref</x:v>
      </x:c>
      <x:c r="D872" s="30" t="str">
        <x:v>候选输入schema</x:v>
      </x:c>
      <x:c r="E872" s="30" t="str">
        <x:v>按执行角色权限读取；策略只能使用可访问快照</x:v>
      </x:c>
    </x:row>
    <x:row r="873" ht="32" customHeight="1">
      <x:c r="A873" s="30" t="str">
        <x:v>A008</x:v>
      </x:c>
      <x:c r="B873" s="30" t="str">
        <x:v>F199</x:v>
      </x:c>
      <x:c r="C873" s="30" t="str">
        <x:v>task.goal_predicate</x:v>
      </x:c>
      <x:c r="D873" s="30" t="str">
        <x:v>候选输入schema</x:v>
      </x:c>
      <x:c r="E873" s="30" t="str">
        <x:v>按执行角色权限读取；策略只能使用可访问快照</x:v>
      </x:c>
    </x:row>
    <x:row r="874" ht="32" customHeight="1">
      <x:c r="A874" s="30" t="str">
        <x:v>A008</x:v>
      </x:c>
      <x:c r="B874" s="30" t="str">
        <x:v>F200</x:v>
      </x:c>
      <x:c r="C874" s="30" t="str">
        <x:v>task.revision</x:v>
      </x:c>
      <x:c r="D874" s="30" t="str">
        <x:v>候选输入schema</x:v>
      </x:c>
      <x:c r="E874" s="30" t="str">
        <x:v>按执行角色权限读取；策略只能使用可访问快照</x:v>
      </x:c>
    </x:row>
    <x:row r="875" ht="32" customHeight="1">
      <x:c r="A875" s="30" t="str">
        <x:v>A008</x:v>
      </x:c>
      <x:c r="B875" s="30" t="str">
        <x:v>F201</x:v>
      </x:c>
      <x:c r="C875" s="30" t="str">
        <x:v>task.status</x:v>
      </x:c>
      <x:c r="D875" s="30" t="str">
        <x:v>候选输入schema</x:v>
      </x:c>
      <x:c r="E875" s="30" t="str">
        <x:v>按执行角色权限读取；策略只能使用可访问快照</x:v>
      </x:c>
    </x:row>
    <x:row r="876" ht="32" customHeight="1">
      <x:c r="A876" s="30" t="str">
        <x:v>A008</x:v>
      </x:c>
      <x:c r="B876" s="30" t="str">
        <x:v>F202</x:v>
      </x:c>
      <x:c r="C876" s="30" t="str">
        <x:v>task.priority</x:v>
      </x:c>
      <x:c r="D876" s="30" t="str">
        <x:v>候选输入schema</x:v>
      </x:c>
      <x:c r="E876" s="30" t="str">
        <x:v>按执行角色权限读取；策略只能使用可访问快照</x:v>
      </x:c>
    </x:row>
    <x:row r="877" ht="32" customHeight="1">
      <x:c r="A877" s="30" t="str">
        <x:v>A008</x:v>
      </x:c>
      <x:c r="B877" s="30" t="str">
        <x:v>F203</x:v>
      </x:c>
      <x:c r="C877" s="30" t="str">
        <x:v>task.deadline_s</x:v>
      </x:c>
      <x:c r="D877" s="30" t="str">
        <x:v>候选输入schema</x:v>
      </x:c>
      <x:c r="E877" s="30" t="str">
        <x:v>按执行角色权限读取；策略只能使用可访问快照</x:v>
      </x:c>
    </x:row>
    <x:row r="878" ht="32" customHeight="1">
      <x:c r="A878" s="30" t="str">
        <x:v>A008</x:v>
      </x:c>
      <x:c r="B878" s="30" t="str">
        <x:v>F204</x:v>
      </x:c>
      <x:c r="C878" s="30" t="str">
        <x:v>task.dependency_ids</x:v>
      </x:c>
      <x:c r="D878" s="30" t="str">
        <x:v>候选输入schema</x:v>
      </x:c>
      <x:c r="E878" s="30" t="str">
        <x:v>按执行角色权限读取；策略只能使用可访问快照</x:v>
      </x:c>
    </x:row>
    <x:row r="879" ht="32" customHeight="1">
      <x:c r="A879" s="30" t="str">
        <x:v>A008</x:v>
      </x:c>
      <x:c r="B879" s="30" t="str">
        <x:v>F205</x:v>
      </x:c>
      <x:c r="C879" s="30" t="str">
        <x:v>task.required_capability_ids</x:v>
      </x:c>
      <x:c r="D879" s="30" t="str">
        <x:v>候选输入schema</x:v>
      </x:c>
      <x:c r="E879" s="30" t="str">
        <x:v>按执行角色权限读取；策略只能使用可访问快照</x:v>
      </x:c>
    </x:row>
    <x:row r="880" ht="32" customHeight="1">
      <x:c r="A880" s="30" t="str">
        <x:v>A008</x:v>
      </x:c>
      <x:c r="B880" s="30" t="str">
        <x:v>F206</x:v>
      </x:c>
      <x:c r="C880" s="30" t="str">
        <x:v>task.resource_budget</x:v>
      </x:c>
      <x:c r="D880" s="30" t="str">
        <x:v>候选输入schema</x:v>
      </x:c>
      <x:c r="E880" s="30" t="str">
        <x:v>按执行角色权限读取；策略只能使用可访问快照</x:v>
      </x:c>
    </x:row>
    <x:row r="881" ht="32" customHeight="1">
      <x:c r="A881" s="30" t="str">
        <x:v>A008</x:v>
      </x:c>
      <x:c r="B881" s="30" t="str">
        <x:v>F207</x:v>
      </x:c>
      <x:c r="C881" s="30" t="str">
        <x:v>task.assigned_to</x:v>
      </x:c>
      <x:c r="D881" s="30" t="str">
        <x:v>候选输入schema</x:v>
      </x:c>
      <x:c r="E881" s="30" t="str">
        <x:v>按执行角色权限读取；策略只能使用可访问快照</x:v>
      </x:c>
    </x:row>
    <x:row r="882" ht="32" customHeight="1">
      <x:c r="A882" s="30" t="str">
        <x:v>A008</x:v>
      </x:c>
      <x:c r="B882" s="30" t="str">
        <x:v>F208</x:v>
      </x:c>
      <x:c r="C882" s="30" t="str">
        <x:v>task.accepted_by</x:v>
      </x:c>
      <x:c r="D882" s="30" t="str">
        <x:v>候选输入schema</x:v>
      </x:c>
      <x:c r="E882" s="30" t="str">
        <x:v>按执行角色权限读取；策略只能使用可访问快照</x:v>
      </x:c>
    </x:row>
    <x:row r="883" ht="32" customHeight="1">
      <x:c r="A883" s="30" t="str">
        <x:v>A008</x:v>
      </x:c>
      <x:c r="B883" s="30" t="str">
        <x:v>F209</x:v>
      </x:c>
      <x:c r="C883" s="30" t="str">
        <x:v>task.commitment_window</x:v>
      </x:c>
      <x:c r="D883" s="30" t="str">
        <x:v>候选输入schema</x:v>
      </x:c>
      <x:c r="E883" s="30" t="str">
        <x:v>按执行角色权限读取；策略只能使用可访问快照</x:v>
      </x:c>
    </x:row>
    <x:row r="884" ht="32" customHeight="1">
      <x:c r="A884" s="30" t="str">
        <x:v>A008</x:v>
      </x:c>
      <x:c r="B884" s="30" t="str">
        <x:v>F210</x:v>
      </x:c>
      <x:c r="C884" s="30" t="str">
        <x:v>task.progress</x:v>
      </x:c>
      <x:c r="D884" s="30" t="str">
        <x:v>候选输入schema</x:v>
      </x:c>
      <x:c r="E884" s="30" t="str">
        <x:v>按执行角色权限读取；策略只能使用可访问快照</x:v>
      </x:c>
    </x:row>
    <x:row r="885" ht="32" customHeight="1">
      <x:c r="A885" s="30" t="str">
        <x:v>A008</x:v>
      </x:c>
      <x:c r="B885" s="30" t="str">
        <x:v>F211</x:v>
      </x:c>
      <x:c r="C885" s="30" t="str">
        <x:v>task.active_action_ids</x:v>
      </x:c>
      <x:c r="D885" s="30" t="str">
        <x:v>候选输入schema</x:v>
      </x:c>
      <x:c r="E885" s="30" t="str">
        <x:v>按执行角色权限读取；策略只能使用可访问快照</x:v>
      </x:c>
    </x:row>
    <x:row r="886" ht="32" customHeight="1">
      <x:c r="A886" s="30" t="str">
        <x:v>A008</x:v>
      </x:c>
      <x:c r="B886" s="30" t="str">
        <x:v>F212</x:v>
      </x:c>
      <x:c r="C886" s="30" t="str">
        <x:v>task.interruptibility</x:v>
      </x:c>
      <x:c r="D886" s="30" t="str">
        <x:v>候选输入schema</x:v>
      </x:c>
      <x:c r="E886" s="30" t="str">
        <x:v>按执行角色权限读取；策略只能使用可访问快照</x:v>
      </x:c>
    </x:row>
    <x:row r="887" ht="32" customHeight="1">
      <x:c r="A887" s="30" t="str">
        <x:v>A008</x:v>
      </x:c>
      <x:c r="B887" s="30" t="str">
        <x:v>F213</x:v>
      </x:c>
      <x:c r="C887" s="30" t="str">
        <x:v>task.original_task_id</x:v>
      </x:c>
      <x:c r="D887" s="30" t="str">
        <x:v>候选输入schema</x:v>
      </x:c>
      <x:c r="E887" s="30" t="str">
        <x:v>按执行角色权限读取；策略只能使用可访问快照</x:v>
      </x:c>
    </x:row>
    <x:row r="888" ht="32" customHeight="1">
      <x:c r="A888" s="30" t="str">
        <x:v>A008</x:v>
      </x:c>
      <x:c r="B888" s="30" t="str">
        <x:v>F214</x:v>
      </x:c>
      <x:c r="C888" s="30" t="str">
        <x:v>task.resume_checkpoint</x:v>
      </x:c>
      <x:c r="D888" s="30" t="str">
        <x:v>候选输入schema</x:v>
      </x:c>
      <x:c r="E888" s="30" t="str">
        <x:v>按执行角色权限读取；策略只能使用可访问快照</x:v>
      </x:c>
    </x:row>
    <x:row r="889" ht="32" customHeight="1">
      <x:c r="A889" s="30" t="str">
        <x:v>A008</x:v>
      </x:c>
      <x:c r="B889" s="30" t="str">
        <x:v>F215</x:v>
      </x:c>
      <x:c r="C889" s="30" t="str">
        <x:v>task.handoff_target_id</x:v>
      </x:c>
      <x:c r="D889" s="30" t="str">
        <x:v>候选输入schema</x:v>
      </x:c>
      <x:c r="E889" s="30" t="str">
        <x:v>按执行角色权限读取；策略只能使用可访问快照</x:v>
      </x:c>
    </x:row>
    <x:row r="890" ht="32" customHeight="1">
      <x:c r="A890" s="30" t="str">
        <x:v>A008</x:v>
      </x:c>
      <x:c r="B890" s="30" t="str">
        <x:v>F216</x:v>
      </x:c>
      <x:c r="C890" s="30" t="str">
        <x:v>task.result_evidence_ids</x:v>
      </x:c>
      <x:c r="D890" s="30" t="str">
        <x:v>候选输入schema</x:v>
      </x:c>
      <x:c r="E890" s="30" t="str">
        <x:v>按执行角色权限读取；策略只能使用可访问快照</x:v>
      </x:c>
    </x:row>
    <x:row r="891" ht="32" customHeight="1">
      <x:c r="A891" s="30" t="str">
        <x:v>A008</x:v>
      </x:c>
      <x:c r="B891" s="30" t="str">
        <x:v>F217</x:v>
      </x:c>
      <x:c r="C891" s="30" t="str">
        <x:v>task.failure_reason</x:v>
      </x:c>
      <x:c r="D891" s="30" t="str">
        <x:v>候选输入schema</x:v>
      </x:c>
      <x:c r="E891" s="30" t="str">
        <x:v>按执行角色权限读取；策略只能使用可访问快照</x:v>
      </x:c>
    </x:row>
    <x:row r="892" ht="32" customHeight="1">
      <x:c r="A892" s="30" t="str">
        <x:v>A008</x:v>
      </x:c>
      <x:c r="B892" s="30" t="str">
        <x:v>F218</x:v>
      </x:c>
      <x:c r="C892" s="30" t="str">
        <x:v>task.last_event_s</x:v>
      </x:c>
      <x:c r="D892" s="30" t="str">
        <x:v>候选输入schema</x:v>
      </x:c>
      <x:c r="E892" s="30" t="str">
        <x:v>按执行角色权限读取；策略只能使用可访问快照</x:v>
      </x:c>
    </x:row>
    <x:row r="893" ht="32" customHeight="1">
      <x:c r="A893" s="30" t="str">
        <x:v>A008</x:v>
      </x:c>
      <x:c r="B893" s="30" t="str">
        <x:v>F219</x:v>
      </x:c>
      <x:c r="C893" s="30" t="str">
        <x:v>task.opportunity_cost</x:v>
      </x:c>
      <x:c r="D893" s="30" t="str">
        <x:v>候选输入schema</x:v>
      </x:c>
      <x:c r="E893" s="30" t="str">
        <x:v>按执行角色权限读取；策略只能使用可访问快照</x:v>
      </x:c>
    </x:row>
    <x:row r="894" ht="32" customHeight="1">
      <x:c r="A894" s="30" t="str">
        <x:v>A008</x:v>
      </x:c>
      <x:c r="B894" s="30" t="str">
        <x:v>F230</x:v>
      </x:c>
      <x:c r="C894" s="30" t="str">
        <x:v>action.type</x:v>
      </x:c>
      <x:c r="D894" s="30" t="str">
        <x:v>候选输入schema</x:v>
      </x:c>
      <x:c r="E894" s="30" t="str">
        <x:v>按执行角色权限读取；策略只能使用可访问快照</x:v>
      </x:c>
    </x:row>
    <x:row r="895" ht="32" customHeight="1">
      <x:c r="A895" s="30" t="str">
        <x:v>A008</x:v>
      </x:c>
      <x:c r="B895" s="30" t="str">
        <x:v>F231</x:v>
      </x:c>
      <x:c r="C895" s="30" t="str">
        <x:v>action.executor_id</x:v>
      </x:c>
      <x:c r="D895" s="30" t="str">
        <x:v>候选输入schema</x:v>
      </x:c>
      <x:c r="E895" s="30" t="str">
        <x:v>按执行角色权限读取；策略只能使用可访问快照</x:v>
      </x:c>
    </x:row>
    <x:row r="896" ht="32" customHeight="1">
      <x:c r="A896" s="30" t="str">
        <x:v>A008</x:v>
      </x:c>
      <x:c r="B896" s="30" t="str">
        <x:v>F232</x:v>
      </x:c>
      <x:c r="C896" s="30" t="str">
        <x:v>action.task_ref</x:v>
      </x:c>
      <x:c r="D896" s="30" t="str">
        <x:v>候选输入schema</x:v>
      </x:c>
      <x:c r="E896" s="30" t="str">
        <x:v>按执行角色权限读取；策略只能使用可访问快照</x:v>
      </x:c>
    </x:row>
    <x:row r="897" ht="32" customHeight="1">
      <x:c r="A897" s="30" t="str">
        <x:v>A008</x:v>
      </x:c>
      <x:c r="B897" s="30" t="str">
        <x:v>F233</x:v>
      </x:c>
      <x:c r="C897" s="30" t="str">
        <x:v>action.target_ref</x:v>
      </x:c>
      <x:c r="D897" s="30" t="str">
        <x:v>候选输入schema</x:v>
      </x:c>
      <x:c r="E897" s="30" t="str">
        <x:v>按执行角色权限读取；策略只能使用可访问快照</x:v>
      </x:c>
    </x:row>
    <x:row r="898" ht="32" customHeight="1">
      <x:c r="A898" s="30" t="str">
        <x:v>A008</x:v>
      </x:c>
      <x:c r="B898" s="30" t="str">
        <x:v>F234</x:v>
      </x:c>
      <x:c r="C898" s="30" t="str">
        <x:v>action.parameters</x:v>
      </x:c>
      <x:c r="D898" s="30" t="str">
        <x:v>候选输入schema</x:v>
      </x:c>
      <x:c r="E898" s="30" t="str">
        <x:v>按执行角色权限读取；策略只能使用可访问快照</x:v>
      </x:c>
    </x:row>
    <x:row r="899" ht="32" customHeight="1">
      <x:c r="A899" s="30" t="str">
        <x:v>A008</x:v>
      </x:c>
      <x:c r="B899" s="30" t="str">
        <x:v>F235</x:v>
      </x:c>
      <x:c r="C899" s="30" t="str">
        <x:v>action.status</x:v>
      </x:c>
      <x:c r="D899" s="30" t="str">
        <x:v>候选输入schema</x:v>
      </x:c>
      <x:c r="E899" s="30" t="str">
        <x:v>按执行角色权限读取；策略只能使用可访问快照</x:v>
      </x:c>
    </x:row>
    <x:row r="900" ht="32" customHeight="1">
      <x:c r="A900" s="30" t="str">
        <x:v>A008</x:v>
      </x:c>
      <x:c r="B900" s="30" t="str">
        <x:v>F236</x:v>
      </x:c>
      <x:c r="C900" s="30" t="str">
        <x:v>action.start_s</x:v>
      </x:c>
      <x:c r="D900" s="30" t="str">
        <x:v>候选输入schema</x:v>
      </x:c>
      <x:c r="E900" s="30" t="str">
        <x:v>按执行角色权限读取；策略只能使用可访问快照</x:v>
      </x:c>
    </x:row>
    <x:row r="901" ht="32" customHeight="1">
      <x:c r="A901" s="30" t="str">
        <x:v>A008</x:v>
      </x:c>
      <x:c r="B901" s="30" t="str">
        <x:v>F237</x:v>
      </x:c>
      <x:c r="C901" s="30" t="str">
        <x:v>action.finish_s</x:v>
      </x:c>
      <x:c r="D901" s="30" t="str">
        <x:v>候选输入schema</x:v>
      </x:c>
      <x:c r="E901" s="30" t="str">
        <x:v>按执行角色权限读取；策略只能使用可访问快照</x:v>
      </x:c>
    </x:row>
    <x:row r="902" ht="32" customHeight="1">
      <x:c r="A902" s="30" t="str">
        <x:v>A008</x:v>
      </x:c>
      <x:c r="B902" s="30" t="str">
        <x:v>F238</x:v>
      </x:c>
      <x:c r="C902" s="30" t="str">
        <x:v>action.reserved_resources</x:v>
      </x:c>
      <x:c r="D902" s="30" t="str">
        <x:v>候选输入schema</x:v>
      </x:c>
      <x:c r="E902" s="30" t="str">
        <x:v>按执行角色权限读取；策略只能使用可访问快照</x:v>
      </x:c>
    </x:row>
    <x:row r="903" ht="32" customHeight="1">
      <x:c r="A903" s="30" t="str">
        <x:v>A008</x:v>
      </x:c>
      <x:c r="B903" s="30" t="str">
        <x:v>F239</x:v>
      </x:c>
      <x:c r="C903" s="30" t="str">
        <x:v>action.consumed_resources</x:v>
      </x:c>
      <x:c r="D903" s="30" t="str">
        <x:v>候选输入schema</x:v>
      </x:c>
      <x:c r="E903" s="30" t="str">
        <x:v>按执行角色权限读取；策略只能使用可访问快照</x:v>
      </x:c>
    </x:row>
    <x:row r="904" ht="32" customHeight="1">
      <x:c r="A904" s="30" t="str">
        <x:v>A008</x:v>
      </x:c>
      <x:c r="B904" s="30" t="str">
        <x:v>F240</x:v>
      </x:c>
      <x:c r="C904" s="30" t="str">
        <x:v>action.feedback</x:v>
      </x:c>
      <x:c r="D904" s="30" t="str">
        <x:v>候选输入schema</x:v>
      </x:c>
      <x:c r="E904" s="30" t="str">
        <x:v>按执行角色权限读取；策略只能使用可访问快照</x:v>
      </x:c>
    </x:row>
    <x:row r="905" ht="32" customHeight="1">
      <x:c r="A905" s="30" t="str">
        <x:v>A008</x:v>
      </x:c>
      <x:c r="B905" s="30" t="str">
        <x:v>F241</x:v>
      </x:c>
      <x:c r="C905" s="30" t="str">
        <x:v>action.result</x:v>
      </x:c>
      <x:c r="D905" s="30" t="str">
        <x:v>候选输入schema</x:v>
      </x:c>
      <x:c r="E905" s="30" t="str">
        <x:v>按执行角色权限读取；策略只能使用可访问快照</x:v>
      </x:c>
    </x:row>
    <x:row r="906" ht="32" customHeight="1">
      <x:c r="A906" s="30" t="str">
        <x:v>A008</x:v>
      </x:c>
      <x:c r="B906" s="30" t="str">
        <x:v>F242</x:v>
      </x:c>
      <x:c r="C906" s="30" t="str">
        <x:v>action.rejection_code</x:v>
      </x:c>
      <x:c r="D906" s="30" t="str">
        <x:v>候选输入schema</x:v>
      </x:c>
      <x:c r="E906" s="30" t="str">
        <x:v>按执行角色权限读取；策略只能使用可访问快照</x:v>
      </x:c>
    </x:row>
    <x:row r="907" ht="32" customHeight="1">
      <x:c r="A907" s="30" t="str">
        <x:v>A008</x:v>
      </x:c>
      <x:c r="B907" s="30" t="str">
        <x:v>F243</x:v>
      </x:c>
      <x:c r="C907" s="30" t="str">
        <x:v>action.failure_code</x:v>
      </x:c>
      <x:c r="D907" s="30" t="str">
        <x:v>候选输入schema</x:v>
      </x:c>
      <x:c r="E907" s="30" t="str">
        <x:v>按执行角色权限读取；策略只能使用可访问快照</x:v>
      </x:c>
    </x:row>
    <x:row r="908" ht="32" customHeight="1">
      <x:c r="A908" s="30" t="str">
        <x:v>A008</x:v>
      </x:c>
      <x:c r="B908" s="30" t="str">
        <x:v>F244</x:v>
      </x:c>
      <x:c r="C908" s="30" t="str">
        <x:v>action.cancel_requested</x:v>
      </x:c>
      <x:c r="D908" s="30" t="str">
        <x:v>候选输入schema</x:v>
      </x:c>
      <x:c r="E908" s="30" t="str">
        <x:v>按执行角色权限读取；策略只能使用可访问快照</x:v>
      </x:c>
    </x:row>
    <x:row r="909" ht="32" customHeight="1">
      <x:c r="A909" s="30" t="str">
        <x:v>A008</x:v>
      </x:c>
      <x:c r="B909" s="30" t="str">
        <x:v>F245</x:v>
      </x:c>
      <x:c r="C909" s="30" t="str">
        <x:v>action.backend_mode</x:v>
      </x:c>
      <x:c r="D909" s="30" t="str">
        <x:v>候选输入schema</x:v>
      </x:c>
      <x:c r="E909" s="30" t="str">
        <x:v>按执行角色权限读取；策略只能使用可访问快照</x:v>
      </x:c>
    </x:row>
    <x:row r="910" ht="32" customHeight="1">
      <x:c r="A910" s="30" t="str">
        <x:v>A008</x:v>
      </x:c>
      <x:c r="B910" s="30" t="str">
        <x:v>F040</x:v>
      </x:c>
      <x:c r="C910" s="30" t="str">
        <x:v>building.search_coverage_truth</x:v>
      </x:c>
      <x:c r="D910" s="30" t="str">
        <x:v>直接效果</x:v>
      </x:c>
      <x:c r="E910" s="30" t="str">
        <x:v>经实际执行/回执提交；不是规划时提前修改</x:v>
      </x:c>
    </x:row>
    <x:row r="911" ht="32" customHeight="1">
      <x:c r="A911" s="30" t="str">
        <x:v>A008</x:v>
      </x:c>
      <x:c r="B911" s="30" t="str">
        <x:v>F180</x:v>
      </x:c>
      <x:c r="C911" s="30" t="str">
        <x:v>observation.mode</x:v>
      </x:c>
      <x:c r="D911" s="30" t="str">
        <x:v>直接效果</x:v>
      </x:c>
      <x:c r="E911" s="30" t="str">
        <x:v>经实际执行/回执提交；不是规划时提前修改</x:v>
      </x:c>
    </x:row>
    <x:row r="912" ht="32" customHeight="1">
      <x:c r="A912" s="30" t="str">
        <x:v>A008</x:v>
      </x:c>
      <x:c r="B912" s="30" t="str">
        <x:v>F170</x:v>
      </x:c>
      <x:c r="C912" s="30" t="str">
        <x:v>observation.payload_ref</x:v>
      </x:c>
      <x:c r="D912" s="30" t="str">
        <x:v>直接效果</x:v>
      </x:c>
      <x:c r="E912" s="30" t="str">
        <x:v>经实际执行/回执提交；不是规划时提前修改</x:v>
      </x:c>
    </x:row>
    <x:row r="913" ht="32" customHeight="1">
      <x:c r="A913" s="30" t="str">
        <x:v>A008</x:v>
      </x:c>
      <x:c r="B913" s="30" t="str">
        <x:v>F105</x:v>
      </x:c>
      <x:c r="C913" s="30" t="str">
        <x:v>platform.battery_remaining_Wh</x:v>
      </x:c>
      <x:c r="D913" s="30" t="str">
        <x:v>直接效果</x:v>
      </x:c>
      <x:c r="E913" s="30" t="str">
        <x:v>经实际执行/回执提交；不是规划时提前修改</x:v>
      </x:c>
    </x:row>
    <x:row r="914" ht="32" customHeight="1">
      <x:c r="A914" s="30" t="str">
        <x:v>A009</x:v>
      </x:c>
      <x:c r="B914" s="30" t="str">
        <x:v>F071</x:v>
      </x:c>
      <x:c r="C914" s="30" t="str">
        <x:v>human.location_context</x:v>
      </x:c>
      <x:c r="D914" s="30" t="str">
        <x:v>候选输入schema</x:v>
      </x:c>
      <x:c r="E914" s="30" t="str">
        <x:v>按执行角色权限读取；策略只能使用可访问快照</x:v>
      </x:c>
    </x:row>
    <x:row r="915" ht="32" customHeight="1">
      <x:c r="A915" s="30" t="str">
        <x:v>A009</x:v>
      </x:c>
      <x:c r="B915" s="30" t="str">
        <x:v>F072</x:v>
      </x:c>
      <x:c r="C915" s="30" t="str">
        <x:v>human.alive</x:v>
      </x:c>
      <x:c r="D915" s="30" t="str">
        <x:v>候选输入schema</x:v>
      </x:c>
      <x:c r="E915" s="30" t="str">
        <x:v>按执行角色权限读取；策略只能使用可访问快照</x:v>
      </x:c>
    </x:row>
    <x:row r="916" ht="32" customHeight="1">
      <x:c r="A916" s="30" t="str">
        <x:v>A009</x:v>
      </x:c>
      <x:c r="B916" s="30" t="str">
        <x:v>F073</x:v>
      </x:c>
      <x:c r="C916" s="30" t="str">
        <x:v>human.injury</x:v>
      </x:c>
      <x:c r="D916" s="30" t="str">
        <x:v>候选输入schema</x:v>
      </x:c>
      <x:c r="E916" s="30" t="str">
        <x:v>按执行角色权限读取；策略只能使用可访问快照</x:v>
      </x:c>
    </x:row>
    <x:row r="917" ht="32" customHeight="1">
      <x:c r="A917" s="30" t="str">
        <x:v>A009</x:v>
      </x:c>
      <x:c r="B917" s="30" t="str">
        <x:v>F074</x:v>
      </x:c>
      <x:c r="C917" s="30" t="str">
        <x:v>human.mobility</x:v>
      </x:c>
      <x:c r="D917" s="30" t="str">
        <x:v>候选输入schema</x:v>
      </x:c>
      <x:c r="E917" s="30" t="str">
        <x:v>按执行角色权限读取；策略只能使用可访问快照</x:v>
      </x:c>
    </x:row>
    <x:row r="918" ht="32" customHeight="1">
      <x:c r="A918" s="30" t="str">
        <x:v>A009</x:v>
      </x:c>
      <x:c r="B918" s="30" t="str">
        <x:v>F075</x:v>
      </x:c>
      <x:c r="C918" s="30" t="str">
        <x:v>human.buriedness</x:v>
      </x:c>
      <x:c r="D918" s="30" t="str">
        <x:v>候选输入schema</x:v>
      </x:c>
      <x:c r="E918" s="30" t="str">
        <x:v>按执行角色权限读取；策略只能使用可访问快照</x:v>
      </x:c>
    </x:row>
    <x:row r="919" ht="32" customHeight="1">
      <x:c r="A919" s="30" t="str">
        <x:v>A009</x:v>
      </x:c>
      <x:c r="B919" s="30" t="str">
        <x:v>F076</x:v>
      </x:c>
      <x:c r="C919" s="30" t="str">
        <x:v>human.needs</x:v>
      </x:c>
      <x:c r="D919" s="30" t="str">
        <x:v>候选输入schema</x:v>
      </x:c>
      <x:c r="E919" s="30" t="str">
        <x:v>按执行角色权限读取；策略只能使用可访问快照</x:v>
      </x:c>
    </x:row>
    <x:row r="920" ht="32" customHeight="1">
      <x:c r="A920" s="30" t="str">
        <x:v>A009</x:v>
      </x:c>
      <x:c r="B920" s="30" t="str">
        <x:v>F077</x:v>
      </x:c>
      <x:c r="C920" s="30" t="str">
        <x:v>human.pose</x:v>
      </x:c>
      <x:c r="D920" s="30" t="str">
        <x:v>候选输入schema</x:v>
      </x:c>
      <x:c r="E920" s="30" t="str">
        <x:v>按执行角色权限读取；策略只能使用可访问快照</x:v>
      </x:c>
    </x:row>
    <x:row r="921" ht="32" customHeight="1">
      <x:c r="A921" s="30" t="str">
        <x:v>A009</x:v>
      </x:c>
      <x:c r="B921" s="30" t="str">
        <x:v>F078</x:v>
      </x:c>
      <x:c r="C921" s="30" t="str">
        <x:v>human.visibility_context</x:v>
      </x:c>
      <x:c r="D921" s="30" t="str">
        <x:v>候选输入schema</x:v>
      </x:c>
      <x:c r="E921" s="30" t="str">
        <x:v>按执行角色权限读取；策略只能使用可访问快照</x:v>
      </x:c>
    </x:row>
    <x:row r="922" ht="32" customHeight="1">
      <x:c r="A922" s="30" t="str">
        <x:v>A009</x:v>
      </x:c>
      <x:c r="B922" s="30" t="str">
        <x:v>F079</x:v>
      </x:c>
      <x:c r="C922" s="30" t="str">
        <x:v>human.distress_signal</x:v>
      </x:c>
      <x:c r="D922" s="30" t="str">
        <x:v>候选输入schema</x:v>
      </x:c>
      <x:c r="E922" s="30" t="str">
        <x:v>按执行角色权限读取；策略只能使用可访问快照</x:v>
      </x:c>
    </x:row>
    <x:row r="923" ht="32" customHeight="1">
      <x:c r="A923" s="30" t="str">
        <x:v>A009</x:v>
      </x:c>
      <x:c r="B923" s="30" t="str">
        <x:v>F080</x:v>
      </x:c>
      <x:c r="C923" s="30" t="str">
        <x:v>human.health_model</x:v>
      </x:c>
      <x:c r="D923" s="30" t="str">
        <x:v>候选输入schema</x:v>
      </x:c>
      <x:c r="E923" s="30" t="str">
        <x:v>按执行角色权限读取；策略只能使用可访问快照</x:v>
      </x:c>
    </x:row>
    <x:row r="924" ht="32" customHeight="1">
      <x:c r="A924" s="30" t="str">
        <x:v>A009</x:v>
      </x:c>
      <x:c r="B924" s="30" t="str">
        <x:v>F081</x:v>
      </x:c>
      <x:c r="C924" s="30" t="str">
        <x:v>human.health_value</x:v>
      </x:c>
      <x:c r="D924" s="30" t="str">
        <x:v>候选输入schema</x:v>
      </x:c>
      <x:c r="E924" s="30" t="str">
        <x:v>按执行角色权限读取；策略只能使用可访问快照</x:v>
      </x:c>
    </x:row>
    <x:row r="925" ht="32" customHeight="1">
      <x:c r="A925" s="30" t="str">
        <x:v>A009</x:v>
      </x:c>
      <x:c r="B925" s="30" t="str">
        <x:v>F082</x:v>
      </x:c>
      <x:c r="C925" s="30" t="str">
        <x:v>human.support_received</x:v>
      </x:c>
      <x:c r="D925" s="30" t="str">
        <x:v>候选输入schema</x:v>
      </x:c>
      <x:c r="E925" s="30" t="str">
        <x:v>按执行角色权限读取；策略只能使用可访问快照</x:v>
      </x:c>
    </x:row>
    <x:row r="926" ht="32" customHeight="1">
      <x:c r="A926" s="30" t="str">
        <x:v>A009</x:v>
      </x:c>
      <x:c r="B926" s="30" t="str">
        <x:v>F083</x:v>
      </x:c>
      <x:c r="C926" s="30" t="str">
        <x:v>human.carrier_id</x:v>
      </x:c>
      <x:c r="D926" s="30" t="str">
        <x:v>候选输入schema</x:v>
      </x:c>
      <x:c r="E926" s="30" t="str">
        <x:v>按执行角色权限读取；策略只能使用可访问快照</x:v>
      </x:c>
    </x:row>
    <x:row r="927" ht="32" customHeight="1">
      <x:c r="A927" s="30" t="str">
        <x:v>A009</x:v>
      </x:c>
      <x:c r="B927" s="30" t="str">
        <x:v>F084</x:v>
      </x:c>
      <x:c r="C927" s="30" t="str">
        <x:v>human.destination_id</x:v>
      </x:c>
      <x:c r="D927" s="30" t="str">
        <x:v>候选输入schema</x:v>
      </x:c>
      <x:c r="E927" s="30" t="str">
        <x:v>按执行角色权限读取；策略只能使用可访问快照</x:v>
      </x:c>
    </x:row>
    <x:row r="928" ht="32" customHeight="1">
      <x:c r="A928" s="30" t="str">
        <x:v>A009</x:v>
      </x:c>
      <x:c r="B928" s="30" t="str">
        <x:v>F085</x:v>
      </x:c>
      <x:c r="C928" s="30" t="str">
        <x:v>human.handover_status</x:v>
      </x:c>
      <x:c r="D928" s="30" t="str">
        <x:v>候选输入schema</x:v>
      </x:c>
      <x:c r="E928" s="30" t="str">
        <x:v>按执行角色权限读取；策略只能使用可访问快照</x:v>
      </x:c>
    </x:row>
    <x:row r="929" ht="32" customHeight="1">
      <x:c r="A929" s="30" t="str">
        <x:v>A009</x:v>
      </x:c>
      <x:c r="B929" s="30" t="str">
        <x:v>F086</x:v>
      </x:c>
      <x:c r="C929" s="30" t="str">
        <x:v>human.last_assessed_s</x:v>
      </x:c>
      <x:c r="D929" s="30" t="str">
        <x:v>候选输入schema</x:v>
      </x:c>
      <x:c r="E929" s="30" t="str">
        <x:v>按执行角色权限读取；策略只能使用可访问快照</x:v>
      </x:c>
    </x:row>
    <x:row r="930" ht="32" customHeight="1">
      <x:c r="A930" s="30" t="str">
        <x:v>A009</x:v>
      </x:c>
      <x:c r="B930" s="30" t="str">
        <x:v>F087</x:v>
      </x:c>
      <x:c r="C930" s="30" t="str">
        <x:v>human.identity_association</x:v>
      </x:c>
      <x:c r="D930" s="30" t="str">
        <x:v>候选输入schema</x:v>
      </x:c>
      <x:c r="E930" s="30" t="str">
        <x:v>按执行角色权限读取；策略只能使用可访问快照</x:v>
      </x:c>
    </x:row>
    <x:row r="931" ht="32" customHeight="1">
      <x:c r="A931" s="30" t="str">
        <x:v>A009</x:v>
      </x:c>
      <x:c r="B931" s="30" t="str">
        <x:v>F116</x:v>
      </x:c>
      <x:c r="C931" s="30" t="str">
        <x:v>equipment.kind</x:v>
      </x:c>
      <x:c r="D931" s="30" t="str">
        <x:v>候选输入schema</x:v>
      </x:c>
      <x:c r="E931" s="30" t="str">
        <x:v>按执行角色权限读取；策略只能使用可访问快照</x:v>
      </x:c>
    </x:row>
    <x:row r="932" ht="32" customHeight="1">
      <x:c r="A932" s="30" t="str">
        <x:v>A009</x:v>
      </x:c>
      <x:c r="B932" s="30" t="str">
        <x:v>F117</x:v>
      </x:c>
      <x:c r="C932" s="30" t="str">
        <x:v>equipment.enabled</x:v>
      </x:c>
      <x:c r="D932" s="30" t="str">
        <x:v>候选输入schema</x:v>
      </x:c>
      <x:c r="E932" s="30" t="str">
        <x:v>按执行角色权限读取；策略只能使用可访问快照</x:v>
      </x:c>
    </x:row>
    <x:row r="933" ht="32" customHeight="1">
      <x:c r="A933" s="30" t="str">
        <x:v>A009</x:v>
      </x:c>
      <x:c r="B933" s="30" t="str">
        <x:v>F118</x:v>
      </x:c>
      <x:c r="C933" s="30" t="str">
        <x:v>equipment.health</x:v>
      </x:c>
      <x:c r="D933" s="30" t="str">
        <x:v>候选输入schema</x:v>
      </x:c>
      <x:c r="E933" s="30" t="str">
        <x:v>按执行角色权限读取；策略只能使用可访问快照</x:v>
      </x:c>
    </x:row>
    <x:row r="934" ht="32" customHeight="1">
      <x:c r="A934" s="30" t="str">
        <x:v>A009</x:v>
      </x:c>
      <x:c r="B934" s="30" t="str">
        <x:v>F119</x:v>
      </x:c>
      <x:c r="C934" s="30" t="str">
        <x:v>equipment.rated_load_kg</x:v>
      </x:c>
      <x:c r="D934" s="30" t="str">
        <x:v>候选输入schema</x:v>
      </x:c>
      <x:c r="E934" s="30" t="str">
        <x:v>按执行角色权限读取；策略只能使用可访问快照</x:v>
      </x:c>
    </x:row>
    <x:row r="935" ht="32" customHeight="1">
      <x:c r="A935" s="30" t="str">
        <x:v>A009</x:v>
      </x:c>
      <x:c r="B935" s="30" t="str">
        <x:v>F120</x:v>
      </x:c>
      <x:c r="C935" s="30" t="str">
        <x:v>equipment.reach_m</x:v>
      </x:c>
      <x:c r="D935" s="30" t="str">
        <x:v>候选输入schema</x:v>
      </x:c>
      <x:c r="E935" s="30" t="str">
        <x:v>按执行角色权限读取；策略只能使用可访问快照</x:v>
      </x:c>
    </x:row>
    <x:row r="936" ht="32" customHeight="1">
      <x:c r="A936" s="30" t="str">
        <x:v>A009</x:v>
      </x:c>
      <x:c r="B936" s="30" t="str">
        <x:v>F121</x:v>
      </x:c>
      <x:c r="C936" s="30" t="str">
        <x:v>equipment.compatible_materials</x:v>
      </x:c>
      <x:c r="D936" s="30" t="str">
        <x:v>候选输入schema</x:v>
      </x:c>
      <x:c r="E936" s="30" t="str">
        <x:v>按执行角色权限读取；策略只能使用可访问快照</x:v>
      </x:c>
    </x:row>
    <x:row r="937" ht="32" customHeight="1">
      <x:c r="A937" s="30" t="str">
        <x:v>A009</x:v>
      </x:c>
      <x:c r="B937" s="30" t="str">
        <x:v>F122</x:v>
      </x:c>
      <x:c r="C937" s="30" t="str">
        <x:v>equipment.tool_size</x:v>
      </x:c>
      <x:c r="D937" s="30" t="str">
        <x:v>候选输入schema</x:v>
      </x:c>
      <x:c r="E937" s="30" t="str">
        <x:v>按执行角色权限读取；策略只能使用可访问快照</x:v>
      </x:c>
    </x:row>
    <x:row r="938" ht="32" customHeight="1">
      <x:c r="A938" s="30" t="str">
        <x:v>A009</x:v>
      </x:c>
      <x:c r="B938" s="30" t="str">
        <x:v>F123</x:v>
      </x:c>
      <x:c r="C938" s="30" t="str">
        <x:v>equipment.consumable_type</x:v>
      </x:c>
      <x:c r="D938" s="30" t="str">
        <x:v>候选输入schema</x:v>
      </x:c>
      <x:c r="E938" s="30" t="str">
        <x:v>按执行角色权限读取；策略只能使用可访问快照</x:v>
      </x:c>
    </x:row>
    <x:row r="939" ht="32" customHeight="1">
      <x:c r="A939" s="30" t="str">
        <x:v>A009</x:v>
      </x:c>
      <x:c r="B939" s="30" t="str">
        <x:v>F124</x:v>
      </x:c>
      <x:c r="C939" s="30" t="str">
        <x:v>equipment.consumable_remaining</x:v>
      </x:c>
      <x:c r="D939" s="30" t="str">
        <x:v>候选输入schema</x:v>
      </x:c>
      <x:c r="E939" s="30" t="str">
        <x:v>按执行角色权限读取；策略只能使用可访问快照</x:v>
      </x:c>
    </x:row>
    <x:row r="940" ht="32" customHeight="1">
      <x:c r="A940" s="30" t="str">
        <x:v>A009</x:v>
      </x:c>
      <x:c r="B940" s="30" t="str">
        <x:v>F125</x:v>
      </x:c>
      <x:c r="C940" s="30" t="str">
        <x:v>equipment.operator_authority</x:v>
      </x:c>
      <x:c r="D940" s="30" t="str">
        <x:v>候选输入schema</x:v>
      </x:c>
      <x:c r="E940" s="30" t="str">
        <x:v>按执行角色权限读取；策略只能使用可访问快照</x:v>
      </x:c>
    </x:row>
    <x:row r="941" ht="32" customHeight="1">
      <x:c r="A941" s="30" t="str">
        <x:v>A009</x:v>
      </x:c>
      <x:c r="B941" s="30" t="str">
        <x:v>F126</x:v>
      </x:c>
      <x:c r="C941" s="30" t="str">
        <x:v>equipment.setup_state</x:v>
      </x:c>
      <x:c r="D941" s="30" t="str">
        <x:v>候选输入schema</x:v>
      </x:c>
      <x:c r="E941" s="30" t="str">
        <x:v>按执行角色权限读取；策略只能使用可访问快照</x:v>
      </x:c>
    </x:row>
    <x:row r="942" ht="32" customHeight="1">
      <x:c r="A942" s="30" t="str">
        <x:v>A009</x:v>
      </x:c>
      <x:c r="B942" s="30" t="str">
        <x:v>F127</x:v>
      </x:c>
      <x:c r="C942" s="30" t="str">
        <x:v>equipment.busy_action_id</x:v>
      </x:c>
      <x:c r="D942" s="30" t="str">
        <x:v>候选输入schema</x:v>
      </x:c>
      <x:c r="E942" s="30" t="str">
        <x:v>按执行角色权限读取；策略只能使用可访问快照</x:v>
      </x:c>
    </x:row>
    <x:row r="943" ht="32" customHeight="1">
      <x:c r="A943" s="30" t="str">
        <x:v>A009</x:v>
      </x:c>
      <x:c r="B943" s="30" t="str">
        <x:v>F151</x:v>
      </x:c>
      <x:c r="C943" s="30" t="str">
        <x:v>sensor.modality</x:v>
      </x:c>
      <x:c r="D943" s="30" t="str">
        <x:v>候选输入schema</x:v>
      </x:c>
      <x:c r="E943" s="30" t="str">
        <x:v>按执行角色权限读取；策略只能使用可访问快照</x:v>
      </x:c>
    </x:row>
    <x:row r="944" ht="32" customHeight="1">
      <x:c r="A944" s="30" t="str">
        <x:v>A009</x:v>
      </x:c>
      <x:c r="B944" s="30" t="str">
        <x:v>F152</x:v>
      </x:c>
      <x:c r="C944" s="30" t="str">
        <x:v>sensor.mount_pose</x:v>
      </x:c>
      <x:c r="D944" s="30" t="str">
        <x:v>候选输入schema</x:v>
      </x:c>
      <x:c r="E944" s="30" t="str">
        <x:v>按执行角色权限读取；策略只能使用可访问快照</x:v>
      </x:c>
    </x:row>
    <x:row r="945" ht="32" customHeight="1">
      <x:c r="A945" s="30" t="str">
        <x:v>A009</x:v>
      </x:c>
      <x:c r="B945" s="30" t="str">
        <x:v>F153</x:v>
      </x:c>
      <x:c r="C945" s="30" t="str">
        <x:v>sensor.fov_deg</x:v>
      </x:c>
      <x:c r="D945" s="30" t="str">
        <x:v>候选输入schema</x:v>
      </x:c>
      <x:c r="E945" s="30" t="str">
        <x:v>按执行角色权限读取；策略只能使用可访问快照</x:v>
      </x:c>
    </x:row>
    <x:row r="946" ht="32" customHeight="1">
      <x:c r="A946" s="30" t="str">
        <x:v>A009</x:v>
      </x:c>
      <x:c r="B946" s="30" t="str">
        <x:v>F154</x:v>
      </x:c>
      <x:c r="C946" s="30" t="str">
        <x:v>sensor.resolution</x:v>
      </x:c>
      <x:c r="D946" s="30" t="str">
        <x:v>候选输入schema</x:v>
      </x:c>
      <x:c r="E946" s="30" t="str">
        <x:v>按执行角色权限读取；策略只能使用可访问快照</x:v>
      </x:c>
    </x:row>
    <x:row r="947" ht="32" customHeight="1">
      <x:c r="A947" s="30" t="str">
        <x:v>A009</x:v>
      </x:c>
      <x:c r="B947" s="30" t="str">
        <x:v>F155</x:v>
      </x:c>
      <x:c r="C947" s="30" t="str">
        <x:v>sensor.range_m</x:v>
      </x:c>
      <x:c r="D947" s="30" t="str">
        <x:v>候选输入schema</x:v>
      </x:c>
      <x:c r="E947" s="30" t="str">
        <x:v>按执行角色权限读取；策略只能使用可访问快照</x:v>
      </x:c>
    </x:row>
    <x:row r="948" ht="32" customHeight="1">
      <x:c r="A948" s="30" t="str">
        <x:v>A009</x:v>
      </x:c>
      <x:c r="B948" s="30" t="str">
        <x:v>F156</x:v>
      </x:c>
      <x:c r="C948" s="30" t="str">
        <x:v>sensor.sampling_period_s</x:v>
      </x:c>
      <x:c r="D948" s="30" t="str">
        <x:v>候选输入schema</x:v>
      </x:c>
      <x:c r="E948" s="30" t="str">
        <x:v>按执行角色权限读取；策略只能使用可访问快照</x:v>
      </x:c>
    </x:row>
    <x:row r="949" ht="32" customHeight="1">
      <x:c r="A949" s="30" t="str">
        <x:v>A009</x:v>
      </x:c>
      <x:c r="B949" s="30" t="str">
        <x:v>F157</x:v>
      </x:c>
      <x:c r="C949" s="30" t="str">
        <x:v>sensor.enabled</x:v>
      </x:c>
      <x:c r="D949" s="30" t="str">
        <x:v>候选输入schema</x:v>
      </x:c>
      <x:c r="E949" s="30" t="str">
        <x:v>按执行角色权限读取；策略只能使用可访问快照</x:v>
      </x:c>
    </x:row>
    <x:row r="950" ht="32" customHeight="1">
      <x:c r="A950" s="30" t="str">
        <x:v>A009</x:v>
      </x:c>
      <x:c r="B950" s="30" t="str">
        <x:v>F158</x:v>
      </x:c>
      <x:c r="C950" s="30" t="str">
        <x:v>sensor.health</x:v>
      </x:c>
      <x:c r="D950" s="30" t="str">
        <x:v>候选输入schema</x:v>
      </x:c>
      <x:c r="E950" s="30" t="str">
        <x:v>按执行角色权限读取；策略只能使用可访问快照</x:v>
      </x:c>
    </x:row>
    <x:row r="951" ht="32" customHeight="1">
      <x:c r="A951" s="30" t="str">
        <x:v>A009</x:v>
      </x:c>
      <x:c r="B951" s="30" t="str">
        <x:v>F159</x:v>
      </x:c>
      <x:c r="C951" s="30" t="str">
        <x:v>sensor.exposure</x:v>
      </x:c>
      <x:c r="D951" s="30" t="str">
        <x:v>候选输入schema</x:v>
      </x:c>
      <x:c r="E951" s="30" t="str">
        <x:v>按执行角色权限读取；策略只能使用可访问快照</x:v>
      </x:c>
    </x:row>
    <x:row r="952" ht="32" customHeight="1">
      <x:c r="A952" s="30" t="str">
        <x:v>A009</x:v>
      </x:c>
      <x:c r="B952" s="30" t="str">
        <x:v>F160</x:v>
      </x:c>
      <x:c r="C952" s="30" t="str">
        <x:v>sensor.calibration_id</x:v>
      </x:c>
      <x:c r="D952" s="30" t="str">
        <x:v>候选输入schema</x:v>
      </x:c>
      <x:c r="E952" s="30" t="str">
        <x:v>按执行角色权限读取；策略只能使用可访问快照</x:v>
      </x:c>
    </x:row>
    <x:row r="953" ht="32" customHeight="1">
      <x:c r="A953" s="30" t="str">
        <x:v>A009</x:v>
      </x:c>
      <x:c r="B953" s="30" t="str">
        <x:v>F161</x:v>
      </x:c>
      <x:c r="C953" s="30" t="str">
        <x:v>sensor.gimbal_pose</x:v>
      </x:c>
      <x:c r="D953" s="30" t="str">
        <x:v>候选输入schema</x:v>
      </x:c>
      <x:c r="E953" s="30" t="str">
        <x:v>按执行角色权限读取；策略只能使用可访问快照</x:v>
      </x:c>
    </x:row>
    <x:row r="954" ht="32" customHeight="1">
      <x:c r="A954" s="30" t="str">
        <x:v>A009</x:v>
      </x:c>
      <x:c r="B954" s="30" t="str">
        <x:v>F162</x:v>
      </x:c>
      <x:c r="C954" s="30" t="str">
        <x:v>sensor.capture_state</x:v>
      </x:c>
      <x:c r="D954" s="30" t="str">
        <x:v>候选输入schema</x:v>
      </x:c>
      <x:c r="E954" s="30" t="str">
        <x:v>按执行角色权限读取；策略只能使用可访问快照</x:v>
      </x:c>
    </x:row>
    <x:row r="955" ht="32" customHeight="1">
      <x:c r="A955" s="30" t="str">
        <x:v>A009</x:v>
      </x:c>
      <x:c r="B955" s="30" t="str">
        <x:v>F163</x:v>
      </x:c>
      <x:c r="C955" s="30" t="str">
        <x:v>sensor.noise_model</x:v>
      </x:c>
      <x:c r="D955" s="30" t="str">
        <x:v>候选输入schema</x:v>
      </x:c>
      <x:c r="E955" s="30" t="str">
        <x:v>按执行角色权限读取；策略只能使用可访问快照</x:v>
      </x:c>
    </x:row>
    <x:row r="956" ht="32" customHeight="1">
      <x:c r="A956" s="30" t="str">
        <x:v>A009</x:v>
      </x:c>
      <x:c r="B956" s="30" t="str">
        <x:v>F164</x:v>
      </x:c>
      <x:c r="C956" s="30" t="str">
        <x:v>sensor.blind_zone</x:v>
      </x:c>
      <x:c r="D956" s="30" t="str">
        <x:v>候选输入schema</x:v>
      </x:c>
      <x:c r="E956" s="30" t="str">
        <x:v>按执行角色权限读取；策略只能使用可访问快照</x:v>
      </x:c>
    </x:row>
    <x:row r="957" ht="32" customHeight="1">
      <x:c r="A957" s="30" t="str">
        <x:v>A009</x:v>
      </x:c>
      <x:c r="B957" s="30" t="str">
        <x:v>F165</x:v>
      </x:c>
      <x:c r="C957" s="30" t="str">
        <x:v>sensor.last_capture_s</x:v>
      </x:c>
      <x:c r="D957" s="30" t="str">
        <x:v>候选输入schema</x:v>
      </x:c>
      <x:c r="E957" s="30" t="str">
        <x:v>按执行角色权限读取；策略只能使用可访问快照</x:v>
      </x:c>
    </x:row>
    <x:row r="958" ht="32" customHeight="1">
      <x:c r="A958" s="30" t="str">
        <x:v>A009</x:v>
      </x:c>
      <x:c r="B958" s="30" t="str">
        <x:v>F166</x:v>
      </x:c>
      <x:c r="C958" s="30" t="str">
        <x:v>observation.observer_id</x:v>
      </x:c>
      <x:c r="D958" s="30" t="str">
        <x:v>候选输入schema</x:v>
      </x:c>
      <x:c r="E958" s="30" t="str">
        <x:v>按执行角色权限读取；策略只能使用可访问快照</x:v>
      </x:c>
    </x:row>
    <x:row r="959" ht="32" customHeight="1">
      <x:c r="A959" s="30" t="str">
        <x:v>A009</x:v>
      </x:c>
      <x:c r="B959" s="30" t="str">
        <x:v>F167</x:v>
      </x:c>
      <x:c r="C959" s="30" t="str">
        <x:v>observation.sensor_id</x:v>
      </x:c>
      <x:c r="D959" s="30" t="str">
        <x:v>候选输入schema</x:v>
      </x:c>
      <x:c r="E959" s="30" t="str">
        <x:v>按执行角色权限读取；策略只能使用可访问快照</x:v>
      </x:c>
    </x:row>
    <x:row r="960" ht="32" customHeight="1">
      <x:c r="A960" s="30" t="str">
        <x:v>A009</x:v>
      </x:c>
      <x:c r="B960" s="30" t="str">
        <x:v>F168</x:v>
      </x:c>
      <x:c r="C960" s="30" t="str">
        <x:v>observation.captured_at_s</x:v>
      </x:c>
      <x:c r="D960" s="30" t="str">
        <x:v>候选输入schema</x:v>
      </x:c>
      <x:c r="E960" s="30" t="str">
        <x:v>按执行角色权限读取；策略只能使用可访问快照</x:v>
      </x:c>
    </x:row>
    <x:row r="961" ht="32" customHeight="1">
      <x:c r="A961" s="30" t="str">
        <x:v>A009</x:v>
      </x:c>
      <x:c r="B961" s="30" t="str">
        <x:v>F169</x:v>
      </x:c>
      <x:c r="C961" s="30" t="str">
        <x:v>observation.pose_estimate</x:v>
      </x:c>
      <x:c r="D961" s="30" t="str">
        <x:v>候选输入schema</x:v>
      </x:c>
      <x:c r="E961" s="30" t="str">
        <x:v>按执行角色权限读取；策略只能使用可访问快照</x:v>
      </x:c>
    </x:row>
    <x:row r="962" ht="32" customHeight="1">
      <x:c r="A962" s="30" t="str">
        <x:v>A009</x:v>
      </x:c>
      <x:c r="B962" s="30" t="str">
        <x:v>F170</x:v>
      </x:c>
      <x:c r="C962" s="30" t="str">
        <x:v>observation.payload_ref</x:v>
      </x:c>
      <x:c r="D962" s="30" t="str">
        <x:v>候选输入schema</x:v>
      </x:c>
      <x:c r="E962" s="30" t="str">
        <x:v>按执行角色权限读取；策略只能使用可访问快照</x:v>
      </x:c>
    </x:row>
    <x:row r="963" ht="32" customHeight="1">
      <x:c r="A963" s="30" t="str">
        <x:v>A009</x:v>
      </x:c>
      <x:c r="B963" s="30" t="str">
        <x:v>F171</x:v>
      </x:c>
      <x:c r="C963" s="30" t="str">
        <x:v>observation.payload_bytes</x:v>
      </x:c>
      <x:c r="D963" s="30" t="str">
        <x:v>候选输入schema</x:v>
      </x:c>
      <x:c r="E963" s="30" t="str">
        <x:v>按执行角色权限读取；策略只能使用可访问快照</x:v>
      </x:c>
    </x:row>
    <x:row r="964" ht="32" customHeight="1">
      <x:c r="A964" s="30" t="str">
        <x:v>A009</x:v>
      </x:c>
      <x:c r="B964" s="30" t="str">
        <x:v>F172</x:v>
      </x:c>
      <x:c r="C964" s="30" t="str">
        <x:v>observation.content_hash</x:v>
      </x:c>
      <x:c r="D964" s="30" t="str">
        <x:v>候选输入schema</x:v>
      </x:c>
      <x:c r="E964" s="30" t="str">
        <x:v>按执行角色权限读取；策略只能使用可访问快照</x:v>
      </x:c>
    </x:row>
    <x:row r="965" ht="32" customHeight="1">
      <x:c r="A965" s="30" t="str">
        <x:v>A009</x:v>
      </x:c>
      <x:c r="B965" s="30" t="str">
        <x:v>F173</x:v>
      </x:c>
      <x:c r="C965" s="30" t="str">
        <x:v>observation.modality</x:v>
      </x:c>
      <x:c r="D965" s="30" t="str">
        <x:v>候选输入schema</x:v>
      </x:c>
      <x:c r="E965" s="30" t="str">
        <x:v>按执行角色权限读取；策略只能使用可访问快照</x:v>
      </x:c>
    </x:row>
    <x:row r="966" ht="32" customHeight="1">
      <x:c r="A966" s="30" t="str">
        <x:v>A009</x:v>
      </x:c>
      <x:c r="B966" s="30" t="str">
        <x:v>F174</x:v>
      </x:c>
      <x:c r="C966" s="30" t="str">
        <x:v>observation.detections</x:v>
      </x:c>
      <x:c r="D966" s="30" t="str">
        <x:v>候选输入schema</x:v>
      </x:c>
      <x:c r="E966" s="30" t="str">
        <x:v>按执行角色权限读取；策略只能使用可访问快照</x:v>
      </x:c>
    </x:row>
    <x:row r="967" ht="32" customHeight="1">
      <x:c r="A967" s="30" t="str">
        <x:v>A009</x:v>
      </x:c>
      <x:c r="B967" s="30" t="str">
        <x:v>F175</x:v>
      </x:c>
      <x:c r="C967" s="30" t="str">
        <x:v>observation.confidence</x:v>
      </x:c>
      <x:c r="D967" s="30" t="str">
        <x:v>候选输入schema</x:v>
      </x:c>
      <x:c r="E967" s="30" t="str">
        <x:v>按执行角色权限读取；策略只能使用可访问快照</x:v>
      </x:c>
    </x:row>
    <x:row r="968" ht="32" customHeight="1">
      <x:c r="A968" s="30" t="str">
        <x:v>A009</x:v>
      </x:c>
      <x:c r="B968" s="30" t="str">
        <x:v>F176</x:v>
      </x:c>
      <x:c r="C968" s="30" t="str">
        <x:v>observation.coverage_estimate</x:v>
      </x:c>
      <x:c r="D968" s="30" t="str">
        <x:v>候选输入schema</x:v>
      </x:c>
      <x:c r="E968" s="30" t="str">
        <x:v>按执行角色权限读取；策略只能使用可访问快照</x:v>
      </x:c>
    </x:row>
    <x:row r="969" ht="32" customHeight="1">
      <x:c r="A969" s="30" t="str">
        <x:v>A009</x:v>
      </x:c>
      <x:c r="B969" s="30" t="str">
        <x:v>F177</x:v>
      </x:c>
      <x:c r="C969" s="30" t="str">
        <x:v>observation.processing_job_id</x:v>
      </x:c>
      <x:c r="D969" s="30" t="str">
        <x:v>候选输入schema</x:v>
      </x:c>
      <x:c r="E969" s="30" t="str">
        <x:v>按执行角色权限读取；策略只能使用可访问快照</x:v>
      </x:c>
    </x:row>
    <x:row r="970" ht="32" customHeight="1">
      <x:c r="A970" s="30" t="str">
        <x:v>A009</x:v>
      </x:c>
      <x:c r="B970" s="30" t="str">
        <x:v>F178</x:v>
      </x:c>
      <x:c r="C970" s="30" t="str">
        <x:v>observation.parent_evidence_ids</x:v>
      </x:c>
      <x:c r="D970" s="30" t="str">
        <x:v>候选输入schema</x:v>
      </x:c>
      <x:c r="E970" s="30" t="str">
        <x:v>按执行角色权限读取；策略只能使用可访问快照</x:v>
      </x:c>
    </x:row>
    <x:row r="971" ht="32" customHeight="1">
      <x:c r="A971" s="30" t="str">
        <x:v>A009</x:v>
      </x:c>
      <x:c r="B971" s="30" t="str">
        <x:v>F179</x:v>
      </x:c>
      <x:c r="C971" s="30" t="str">
        <x:v>observation.valid_until_s</x:v>
      </x:c>
      <x:c r="D971" s="30" t="str">
        <x:v>候选输入schema</x:v>
      </x:c>
      <x:c r="E971" s="30" t="str">
        <x:v>按执行角色权限读取；策略只能使用可访问快照</x:v>
      </x:c>
    </x:row>
    <x:row r="972" ht="32" customHeight="1">
      <x:c r="A972" s="30" t="str">
        <x:v>A009</x:v>
      </x:c>
      <x:c r="B972" s="30" t="str">
        <x:v>F180</x:v>
      </x:c>
      <x:c r="C972" s="30" t="str">
        <x:v>observation.mode</x:v>
      </x:c>
      <x:c r="D972" s="30" t="str">
        <x:v>候选输入schema</x:v>
      </x:c>
      <x:c r="E972" s="30" t="str">
        <x:v>按执行角色权限读取；策略只能使用可访问快照</x:v>
      </x:c>
    </x:row>
    <x:row r="973" ht="32" customHeight="1">
      <x:c r="A973" s="30" t="str">
        <x:v>A009</x:v>
      </x:c>
      <x:c r="B973" s="30" t="str">
        <x:v>F170</x:v>
      </x:c>
      <x:c r="C973" s="30" t="str">
        <x:v>observation.payload_ref</x:v>
      </x:c>
      <x:c r="D973" s="30" t="str">
        <x:v>直接效果</x:v>
      </x:c>
      <x:c r="E973" s="30" t="str">
        <x:v>经实际执行/回执提交；不是规划时提前修改</x:v>
      </x:c>
    </x:row>
    <x:row r="974" ht="32" customHeight="1">
      <x:c r="A974" s="30" t="str">
        <x:v>A009</x:v>
      </x:c>
      <x:c r="B974" s="30" t="str">
        <x:v>F082</x:v>
      </x:c>
      <x:c r="C974" s="30" t="str">
        <x:v>human.support_received</x:v>
      </x:c>
      <x:c r="D974" s="30" t="str">
        <x:v>直接效果</x:v>
      </x:c>
      <x:c r="E974" s="30" t="str">
        <x:v>经实际执行/回执提交；不是规划时提前修改</x:v>
      </x:c>
    </x:row>
    <x:row r="975" ht="32" customHeight="1">
      <x:c r="A975" s="30" t="str">
        <x:v>A010</x:v>
      </x:c>
      <x:c r="B975" s="30" t="str">
        <x:v>F026</x:v>
      </x:c>
      <x:c r="C975" s="30" t="str">
        <x:v>building.use</x:v>
      </x:c>
      <x:c r="D975" s="30" t="str">
        <x:v>候选输入schema</x:v>
      </x:c>
      <x:c r="E975" s="30" t="str">
        <x:v>按执行角色权限读取；策略只能使用可访问快照</x:v>
      </x:c>
    </x:row>
    <x:row r="976" ht="32" customHeight="1">
      <x:c r="A976" s="30" t="str">
        <x:v>A010</x:v>
      </x:c>
      <x:c r="B976" s="30" t="str">
        <x:v>F027</x:v>
      </x:c>
      <x:c r="C976" s="30" t="str">
        <x:v>building.structure</x:v>
      </x:c>
      <x:c r="D976" s="30" t="str">
        <x:v>候选输入schema</x:v>
      </x:c>
      <x:c r="E976" s="30" t="str">
        <x:v>按执行角色权限读取；策略只能使用可访问快照</x:v>
      </x:c>
    </x:row>
    <x:row r="977" ht="32" customHeight="1">
      <x:c r="A977" s="30" t="str">
        <x:v>A010</x:v>
      </x:c>
      <x:c r="B977" s="30" t="str">
        <x:v>F028</x:v>
      </x:c>
      <x:c r="C977" s="30" t="str">
        <x:v>building.floors</x:v>
      </x:c>
      <x:c r="D977" s="30" t="str">
        <x:v>候选输入schema</x:v>
      </x:c>
      <x:c r="E977" s="30" t="str">
        <x:v>按执行角色权限读取；策略只能使用可访问快照</x:v>
      </x:c>
    </x:row>
    <x:row r="978" ht="32" customHeight="1">
      <x:c r="A978" s="30" t="str">
        <x:v>A010</x:v>
      </x:c>
      <x:c r="B978" s="30" t="str">
        <x:v>F029</x:v>
      </x:c>
      <x:c r="C978" s="30" t="str">
        <x:v>building.capacity</x:v>
      </x:c>
      <x:c r="D978" s="30" t="str">
        <x:v>候选输入schema</x:v>
      </x:c>
      <x:c r="E978" s="30" t="str">
        <x:v>按执行角色权限读取；策略只能使用可访问快照</x:v>
      </x:c>
    </x:row>
    <x:row r="979" ht="32" customHeight="1">
      <x:c r="A979" s="30" t="str">
        <x:v>A010</x:v>
      </x:c>
      <x:c r="B979" s="30" t="str">
        <x:v>F030</x:v>
      </x:c>
      <x:c r="C979" s="30" t="str">
        <x:v>building.visual_damage</x:v>
      </x:c>
      <x:c r="D979" s="30" t="str">
        <x:v>候选输入schema</x:v>
      </x:c>
      <x:c r="E979" s="30" t="str">
        <x:v>按执行角色权限读取；策略只能使用可访问快照</x:v>
      </x:c>
    </x:row>
    <x:row r="980" ht="32" customHeight="1">
      <x:c r="A980" s="30" t="str">
        <x:v>A010</x:v>
      </x:c>
      <x:c r="B980" s="30" t="str">
        <x:v>F031</x:v>
      </x:c>
      <x:c r="C980" s="30" t="str">
        <x:v>building.structural_condition</x:v>
      </x:c>
      <x:c r="D980" s="30" t="str">
        <x:v>候选输入schema</x:v>
      </x:c>
      <x:c r="E980" s="30" t="str">
        <x:v>按执行角色权限读取；策略只能使用可访问快照</x:v>
      </x:c>
    </x:row>
    <x:row r="981" ht="32" customHeight="1">
      <x:c r="A981" s="30" t="str">
        <x:v>A010</x:v>
      </x:c>
      <x:c r="B981" s="30" t="str">
        <x:v>F032</x:v>
      </x:c>
      <x:c r="C981" s="30" t="str">
        <x:v>building.roof_loss_ratio</x:v>
      </x:c>
      <x:c r="D981" s="30" t="str">
        <x:v>候选输入schema</x:v>
      </x:c>
      <x:c r="E981" s="30" t="str">
        <x:v>按执行角色权限读取；策略只能使用可访问快照</x:v>
      </x:c>
    </x:row>
    <x:row r="982" ht="32" customHeight="1">
      <x:c r="A982" s="30" t="str">
        <x:v>A010</x:v>
      </x:c>
      <x:c r="B982" s="30" t="str">
        <x:v>F033</x:v>
      </x:c>
      <x:c r="C982" s="30" t="str">
        <x:v>building.wall_damage</x:v>
      </x:c>
      <x:c r="D982" s="30" t="str">
        <x:v>候选输入schema</x:v>
      </x:c>
      <x:c r="E982" s="30" t="str">
        <x:v>按执行角色权限读取；策略只能使用可访问快照</x:v>
      </x:c>
    </x:row>
    <x:row r="983" ht="32" customHeight="1">
      <x:c r="A983" s="30" t="str">
        <x:v>A010</x:v>
      </x:c>
      <x:c r="B983" s="30" t="str">
        <x:v>F034</x:v>
      </x:c>
      <x:c r="C983" s="30" t="str">
        <x:v>building.flood_exposure</x:v>
      </x:c>
      <x:c r="D983" s="30" t="str">
        <x:v>候选输入schema</x:v>
      </x:c>
      <x:c r="E983" s="30" t="str">
        <x:v>按执行角色权限读取；策略只能使用可访问快照</x:v>
      </x:c>
    </x:row>
    <x:row r="984" ht="32" customHeight="1">
      <x:c r="A984" s="30" t="str">
        <x:v>A010</x:v>
      </x:c>
      <x:c r="B984" s="30" t="str">
        <x:v>F035</x:v>
      </x:c>
      <x:c r="C984" s="30" t="str">
        <x:v>building.entrance_ids</x:v>
      </x:c>
      <x:c r="D984" s="30" t="str">
        <x:v>候选输入schema</x:v>
      </x:c>
      <x:c r="E984" s="30" t="str">
        <x:v>按执行角色权限读取；策略只能使用可访问快照</x:v>
      </x:c>
    </x:row>
    <x:row r="985" ht="32" customHeight="1">
      <x:c r="A985" s="30" t="str">
        <x:v>A010</x:v>
      </x:c>
      <x:c r="B985" s="30" t="str">
        <x:v>F036</x:v>
      </x:c>
      <x:c r="C985" s="30" t="str">
        <x:v>building.interior_area_m2</x:v>
      </x:c>
      <x:c r="D985" s="30" t="str">
        <x:v>候选输入schema</x:v>
      </x:c>
      <x:c r="E985" s="30" t="str">
        <x:v>按执行角色权限读取；策略只能使用可访问快照</x:v>
      </x:c>
    </x:row>
    <x:row r="986" ht="32" customHeight="1">
      <x:c r="A986" s="30" t="str">
        <x:v>A010</x:v>
      </x:c>
      <x:c r="B986" s="30" t="str">
        <x:v>F037</x:v>
      </x:c>
      <x:c r="C986" s="30" t="str">
        <x:v>building.interior_mode</x:v>
      </x:c>
      <x:c r="D986" s="30" t="str">
        <x:v>候选输入schema</x:v>
      </x:c>
      <x:c r="E986" s="30" t="str">
        <x:v>按执行角色权限读取；策略只能使用可访问快照</x:v>
      </x:c>
    </x:row>
    <x:row r="987" ht="32" customHeight="1">
      <x:c r="A987" s="30" t="str">
        <x:v>A010</x:v>
      </x:c>
      <x:c r="B987" s="30" t="str">
        <x:v>F038</x:v>
      </x:c>
      <x:c r="C987" s="30" t="str">
        <x:v>building.search_difficulty</x:v>
      </x:c>
      <x:c r="D987" s="30" t="str">
        <x:v>候选输入schema</x:v>
      </x:c>
      <x:c r="E987" s="30" t="str">
        <x:v>按执行角色权限读取；策略只能使用可访问快照</x:v>
      </x:c>
    </x:row>
    <x:row r="988" ht="32" customHeight="1">
      <x:c r="A988" s="30" t="str">
        <x:v>A010</x:v>
      </x:c>
      <x:c r="B988" s="30" t="str">
        <x:v>F039</x:v>
      </x:c>
      <x:c r="C988" s="30" t="str">
        <x:v>building.occupant_ids</x:v>
      </x:c>
      <x:c r="D988" s="30" t="str">
        <x:v>候选输入schema</x:v>
      </x:c>
      <x:c r="E988" s="30" t="str">
        <x:v>按执行角色权限读取；策略只能使用可访问快照</x:v>
      </x:c>
    </x:row>
    <x:row r="989" ht="32" customHeight="1">
      <x:c r="A989" s="30" t="str">
        <x:v>A010</x:v>
      </x:c>
      <x:c r="B989" s="30" t="str">
        <x:v>F040</x:v>
      </x:c>
      <x:c r="C989" s="30" t="str">
        <x:v>building.search_coverage_truth</x:v>
      </x:c>
      <x:c r="D989" s="30" t="str">
        <x:v>候选输入schema</x:v>
      </x:c>
      <x:c r="E989" s="30" t="str">
        <x:v>按执行角色权限读取；策略只能使用可访问快照</x:v>
      </x:c>
    </x:row>
    <x:row r="990" ht="32" customHeight="1">
      <x:c r="A990" s="30" t="str">
        <x:v>A010</x:v>
      </x:c>
      <x:c r="B990" s="30" t="str">
        <x:v>F041</x:v>
      </x:c>
      <x:c r="C990" s="30" t="str">
        <x:v>building.worksite_record</x:v>
      </x:c>
      <x:c r="D990" s="30" t="str">
        <x:v>候选输入schema</x:v>
      </x:c>
      <x:c r="E990" s="30" t="str">
        <x:v>按执行角色权限读取；策略只能使用可访问快照</x:v>
      </x:c>
    </x:row>
    <x:row r="991" ht="32" customHeight="1">
      <x:c r="A991" s="30" t="str">
        <x:v>A010</x:v>
      </x:c>
      <x:c r="B991" s="30" t="str">
        <x:v>F042</x:v>
      </x:c>
      <x:c r="C991" s="30" t="str">
        <x:v>building.remaining_hazard</x:v>
      </x:c>
      <x:c r="D991" s="30" t="str">
        <x:v>候选输入schema</x:v>
      </x:c>
      <x:c r="E991" s="30" t="str">
        <x:v>按执行角色权限读取；策略只能使用可访问快照</x:v>
      </x:c>
    </x:row>
    <x:row r="992" ht="32" customHeight="1">
      <x:c r="A992" s="30" t="str">
        <x:v>A010</x:v>
      </x:c>
      <x:c r="B992" s="30" t="str">
        <x:v>F043</x:v>
      </x:c>
      <x:c r="C992" s="30" t="str">
        <x:v>building.render_variant</x:v>
      </x:c>
      <x:c r="D992" s="30" t="str">
        <x:v>候选输入schema</x:v>
      </x:c>
      <x:c r="E992" s="30" t="str">
        <x:v>按执行角色权限读取；策略只能使用可访问快照</x:v>
      </x:c>
    </x:row>
    <x:row r="993" ht="32" customHeight="1">
      <x:c r="A993" s="30" t="str">
        <x:v>A010</x:v>
      </x:c>
      <x:c r="B993" s="30" t="str">
        <x:v>F166</x:v>
      </x:c>
      <x:c r="C993" s="30" t="str">
        <x:v>observation.observer_id</x:v>
      </x:c>
      <x:c r="D993" s="30" t="str">
        <x:v>候选输入schema</x:v>
      </x:c>
      <x:c r="E993" s="30" t="str">
        <x:v>按执行角色权限读取；策略只能使用可访问快照</x:v>
      </x:c>
    </x:row>
    <x:row r="994" ht="32" customHeight="1">
      <x:c r="A994" s="30" t="str">
        <x:v>A010</x:v>
      </x:c>
      <x:c r="B994" s="30" t="str">
        <x:v>F167</x:v>
      </x:c>
      <x:c r="C994" s="30" t="str">
        <x:v>observation.sensor_id</x:v>
      </x:c>
      <x:c r="D994" s="30" t="str">
        <x:v>候选输入schema</x:v>
      </x:c>
      <x:c r="E994" s="30" t="str">
        <x:v>按执行角色权限读取；策略只能使用可访问快照</x:v>
      </x:c>
    </x:row>
    <x:row r="995" ht="32" customHeight="1">
      <x:c r="A995" s="30" t="str">
        <x:v>A010</x:v>
      </x:c>
      <x:c r="B995" s="30" t="str">
        <x:v>F168</x:v>
      </x:c>
      <x:c r="C995" s="30" t="str">
        <x:v>observation.captured_at_s</x:v>
      </x:c>
      <x:c r="D995" s="30" t="str">
        <x:v>候选输入schema</x:v>
      </x:c>
      <x:c r="E995" s="30" t="str">
        <x:v>按执行角色权限读取；策略只能使用可访问快照</x:v>
      </x:c>
    </x:row>
    <x:row r="996" ht="32" customHeight="1">
      <x:c r="A996" s="30" t="str">
        <x:v>A010</x:v>
      </x:c>
      <x:c r="B996" s="30" t="str">
        <x:v>F169</x:v>
      </x:c>
      <x:c r="C996" s="30" t="str">
        <x:v>observation.pose_estimate</x:v>
      </x:c>
      <x:c r="D996" s="30" t="str">
        <x:v>候选输入schema</x:v>
      </x:c>
      <x:c r="E996" s="30" t="str">
        <x:v>按执行角色权限读取；策略只能使用可访问快照</x:v>
      </x:c>
    </x:row>
    <x:row r="997" ht="32" customHeight="1">
      <x:c r="A997" s="30" t="str">
        <x:v>A010</x:v>
      </x:c>
      <x:c r="B997" s="30" t="str">
        <x:v>F170</x:v>
      </x:c>
      <x:c r="C997" s="30" t="str">
        <x:v>observation.payload_ref</x:v>
      </x:c>
      <x:c r="D997" s="30" t="str">
        <x:v>候选输入schema</x:v>
      </x:c>
      <x:c r="E997" s="30" t="str">
        <x:v>按执行角色权限读取；策略只能使用可访问快照</x:v>
      </x:c>
    </x:row>
    <x:row r="998" ht="32" customHeight="1">
      <x:c r="A998" s="30" t="str">
        <x:v>A010</x:v>
      </x:c>
      <x:c r="B998" s="30" t="str">
        <x:v>F171</x:v>
      </x:c>
      <x:c r="C998" s="30" t="str">
        <x:v>observation.payload_bytes</x:v>
      </x:c>
      <x:c r="D998" s="30" t="str">
        <x:v>候选输入schema</x:v>
      </x:c>
      <x:c r="E998" s="30" t="str">
        <x:v>按执行角色权限读取；策略只能使用可访问快照</x:v>
      </x:c>
    </x:row>
    <x:row r="999" ht="32" customHeight="1">
      <x:c r="A999" s="30" t="str">
        <x:v>A010</x:v>
      </x:c>
      <x:c r="B999" s="30" t="str">
        <x:v>F172</x:v>
      </x:c>
      <x:c r="C999" s="30" t="str">
        <x:v>observation.content_hash</x:v>
      </x:c>
      <x:c r="D999" s="30" t="str">
        <x:v>候选输入schema</x:v>
      </x:c>
      <x:c r="E999" s="30" t="str">
        <x:v>按执行角色权限读取；策略只能使用可访问快照</x:v>
      </x:c>
    </x:row>
    <x:row r="1000" ht="32" customHeight="1">
      <x:c r="A1000" s="30" t="str">
        <x:v>A010</x:v>
      </x:c>
      <x:c r="B1000" s="30" t="str">
        <x:v>F173</x:v>
      </x:c>
      <x:c r="C1000" s="30" t="str">
        <x:v>observation.modality</x:v>
      </x:c>
      <x:c r="D1000" s="30" t="str">
        <x:v>候选输入schema</x:v>
      </x:c>
      <x:c r="E1000" s="30" t="str">
        <x:v>按执行角色权限读取；策略只能使用可访问快照</x:v>
      </x:c>
    </x:row>
    <x:row r="1001" ht="32" customHeight="1">
      <x:c r="A1001" s="30" t="str">
        <x:v>A010</x:v>
      </x:c>
      <x:c r="B1001" s="30" t="str">
        <x:v>F174</x:v>
      </x:c>
      <x:c r="C1001" s="30" t="str">
        <x:v>observation.detections</x:v>
      </x:c>
      <x:c r="D1001" s="30" t="str">
        <x:v>候选输入schema</x:v>
      </x:c>
      <x:c r="E1001" s="30" t="str">
        <x:v>按执行角色权限读取；策略只能使用可访问快照</x:v>
      </x:c>
    </x:row>
    <x:row r="1002" ht="32" customHeight="1">
      <x:c r="A1002" s="30" t="str">
        <x:v>A010</x:v>
      </x:c>
      <x:c r="B1002" s="30" t="str">
        <x:v>F175</x:v>
      </x:c>
      <x:c r="C1002" s="30" t="str">
        <x:v>observation.confidence</x:v>
      </x:c>
      <x:c r="D1002" s="30" t="str">
        <x:v>候选输入schema</x:v>
      </x:c>
      <x:c r="E1002" s="30" t="str">
        <x:v>按执行角色权限读取；策略只能使用可访问快照</x:v>
      </x:c>
    </x:row>
    <x:row r="1003" ht="32" customHeight="1">
      <x:c r="A1003" s="30" t="str">
        <x:v>A010</x:v>
      </x:c>
      <x:c r="B1003" s="30" t="str">
        <x:v>F176</x:v>
      </x:c>
      <x:c r="C1003" s="30" t="str">
        <x:v>observation.coverage_estimate</x:v>
      </x:c>
      <x:c r="D1003" s="30" t="str">
        <x:v>候选输入schema</x:v>
      </x:c>
      <x:c r="E1003" s="30" t="str">
        <x:v>按执行角色权限读取；策略只能使用可访问快照</x:v>
      </x:c>
    </x:row>
    <x:row r="1004" ht="32" customHeight="1">
      <x:c r="A1004" s="30" t="str">
        <x:v>A010</x:v>
      </x:c>
      <x:c r="B1004" s="30" t="str">
        <x:v>F177</x:v>
      </x:c>
      <x:c r="C1004" s="30" t="str">
        <x:v>observation.processing_job_id</x:v>
      </x:c>
      <x:c r="D1004" s="30" t="str">
        <x:v>候选输入schema</x:v>
      </x:c>
      <x:c r="E1004" s="30" t="str">
        <x:v>按执行角色权限读取；策略只能使用可访问快照</x:v>
      </x:c>
    </x:row>
    <x:row r="1005" ht="32" customHeight="1">
      <x:c r="A1005" s="30" t="str">
        <x:v>A010</x:v>
      </x:c>
      <x:c r="B1005" s="30" t="str">
        <x:v>F178</x:v>
      </x:c>
      <x:c r="C1005" s="30" t="str">
        <x:v>observation.parent_evidence_ids</x:v>
      </x:c>
      <x:c r="D1005" s="30" t="str">
        <x:v>候选输入schema</x:v>
      </x:c>
      <x:c r="E1005" s="30" t="str">
        <x:v>按执行角色权限读取；策略只能使用可访问快照</x:v>
      </x:c>
    </x:row>
    <x:row r="1006" ht="32" customHeight="1">
      <x:c r="A1006" s="30" t="str">
        <x:v>A010</x:v>
      </x:c>
      <x:c r="B1006" s="30" t="str">
        <x:v>F179</x:v>
      </x:c>
      <x:c r="C1006" s="30" t="str">
        <x:v>observation.valid_until_s</x:v>
      </x:c>
      <x:c r="D1006" s="30" t="str">
        <x:v>候选输入schema</x:v>
      </x:c>
      <x:c r="E1006" s="30" t="str">
        <x:v>按执行角色权限读取；策略只能使用可访问快照</x:v>
      </x:c>
    </x:row>
    <x:row r="1007" ht="32" customHeight="1">
      <x:c r="A1007" s="30" t="str">
        <x:v>A010</x:v>
      </x:c>
      <x:c r="B1007" s="30" t="str">
        <x:v>F180</x:v>
      </x:c>
      <x:c r="C1007" s="30" t="str">
        <x:v>observation.mode</x:v>
      </x:c>
      <x:c r="D1007" s="30" t="str">
        <x:v>候选输入schema</x:v>
      </x:c>
      <x:c r="E1007" s="30" t="str">
        <x:v>按执行角色权限读取；策略只能使用可访问快照</x:v>
      </x:c>
    </x:row>
    <x:row r="1008" ht="32" customHeight="1">
      <x:c r="A1008" s="30" t="str">
        <x:v>A010</x:v>
      </x:c>
      <x:c r="B1008" s="30" t="str">
        <x:v>F196</x:v>
      </x:c>
      <x:c r="C1008" s="30" t="str">
        <x:v>task.type</x:v>
      </x:c>
      <x:c r="D1008" s="30" t="str">
        <x:v>候选输入schema</x:v>
      </x:c>
      <x:c r="E1008" s="30" t="str">
        <x:v>按执行角色权限读取；策略只能使用可访问快照</x:v>
      </x:c>
    </x:row>
    <x:row r="1009" ht="32" customHeight="1">
      <x:c r="A1009" s="30" t="str">
        <x:v>A010</x:v>
      </x:c>
      <x:c r="B1009" s="30" t="str">
        <x:v>F197</x:v>
      </x:c>
      <x:c r="C1009" s="30" t="str">
        <x:v>task.creator_id</x:v>
      </x:c>
      <x:c r="D1009" s="30" t="str">
        <x:v>候选输入schema</x:v>
      </x:c>
      <x:c r="E1009" s="30" t="str">
        <x:v>按执行角色权限读取；策略只能使用可访问快照</x:v>
      </x:c>
    </x:row>
    <x:row r="1010" ht="32" customHeight="1">
      <x:c r="A1010" s="30" t="str">
        <x:v>A010</x:v>
      </x:c>
      <x:c r="B1010" s="30" t="str">
        <x:v>F198</x:v>
      </x:c>
      <x:c r="C1010" s="30" t="str">
        <x:v>task.target_ref</x:v>
      </x:c>
      <x:c r="D1010" s="30" t="str">
        <x:v>候选输入schema</x:v>
      </x:c>
      <x:c r="E1010" s="30" t="str">
        <x:v>按执行角色权限读取；策略只能使用可访问快照</x:v>
      </x:c>
    </x:row>
    <x:row r="1011" ht="32" customHeight="1">
      <x:c r="A1011" s="30" t="str">
        <x:v>A010</x:v>
      </x:c>
      <x:c r="B1011" s="30" t="str">
        <x:v>F199</x:v>
      </x:c>
      <x:c r="C1011" s="30" t="str">
        <x:v>task.goal_predicate</x:v>
      </x:c>
      <x:c r="D1011" s="30" t="str">
        <x:v>候选输入schema</x:v>
      </x:c>
      <x:c r="E1011" s="30" t="str">
        <x:v>按执行角色权限读取；策略只能使用可访问快照</x:v>
      </x:c>
    </x:row>
    <x:row r="1012" ht="32" customHeight="1">
      <x:c r="A1012" s="30" t="str">
        <x:v>A010</x:v>
      </x:c>
      <x:c r="B1012" s="30" t="str">
        <x:v>F200</x:v>
      </x:c>
      <x:c r="C1012" s="30" t="str">
        <x:v>task.revision</x:v>
      </x:c>
      <x:c r="D1012" s="30" t="str">
        <x:v>候选输入schema</x:v>
      </x:c>
      <x:c r="E1012" s="30" t="str">
        <x:v>按执行角色权限读取；策略只能使用可访问快照</x:v>
      </x:c>
    </x:row>
    <x:row r="1013" ht="32" customHeight="1">
      <x:c r="A1013" s="30" t="str">
        <x:v>A010</x:v>
      </x:c>
      <x:c r="B1013" s="30" t="str">
        <x:v>F201</x:v>
      </x:c>
      <x:c r="C1013" s="30" t="str">
        <x:v>task.status</x:v>
      </x:c>
      <x:c r="D1013" s="30" t="str">
        <x:v>候选输入schema</x:v>
      </x:c>
      <x:c r="E1013" s="30" t="str">
        <x:v>按执行角色权限读取；策略只能使用可访问快照</x:v>
      </x:c>
    </x:row>
    <x:row r="1014" ht="32" customHeight="1">
      <x:c r="A1014" s="30" t="str">
        <x:v>A010</x:v>
      </x:c>
      <x:c r="B1014" s="30" t="str">
        <x:v>F202</x:v>
      </x:c>
      <x:c r="C1014" s="30" t="str">
        <x:v>task.priority</x:v>
      </x:c>
      <x:c r="D1014" s="30" t="str">
        <x:v>候选输入schema</x:v>
      </x:c>
      <x:c r="E1014" s="30" t="str">
        <x:v>按执行角色权限读取；策略只能使用可访问快照</x:v>
      </x:c>
    </x:row>
    <x:row r="1015" ht="32" customHeight="1">
      <x:c r="A1015" s="30" t="str">
        <x:v>A010</x:v>
      </x:c>
      <x:c r="B1015" s="30" t="str">
        <x:v>F203</x:v>
      </x:c>
      <x:c r="C1015" s="30" t="str">
        <x:v>task.deadline_s</x:v>
      </x:c>
      <x:c r="D1015" s="30" t="str">
        <x:v>候选输入schema</x:v>
      </x:c>
      <x:c r="E1015" s="30" t="str">
        <x:v>按执行角色权限读取；策略只能使用可访问快照</x:v>
      </x:c>
    </x:row>
    <x:row r="1016" ht="32" customHeight="1">
      <x:c r="A1016" s="30" t="str">
        <x:v>A010</x:v>
      </x:c>
      <x:c r="B1016" s="30" t="str">
        <x:v>F204</x:v>
      </x:c>
      <x:c r="C1016" s="30" t="str">
        <x:v>task.dependency_ids</x:v>
      </x:c>
      <x:c r="D1016" s="30" t="str">
        <x:v>候选输入schema</x:v>
      </x:c>
      <x:c r="E1016" s="30" t="str">
        <x:v>按执行角色权限读取；策略只能使用可访问快照</x:v>
      </x:c>
    </x:row>
    <x:row r="1017" ht="32" customHeight="1">
      <x:c r="A1017" s="30" t="str">
        <x:v>A010</x:v>
      </x:c>
      <x:c r="B1017" s="30" t="str">
        <x:v>F205</x:v>
      </x:c>
      <x:c r="C1017" s="30" t="str">
        <x:v>task.required_capability_ids</x:v>
      </x:c>
      <x:c r="D1017" s="30" t="str">
        <x:v>候选输入schema</x:v>
      </x:c>
      <x:c r="E1017" s="30" t="str">
        <x:v>按执行角色权限读取；策略只能使用可访问快照</x:v>
      </x:c>
    </x:row>
    <x:row r="1018" ht="32" customHeight="1">
      <x:c r="A1018" s="30" t="str">
        <x:v>A010</x:v>
      </x:c>
      <x:c r="B1018" s="30" t="str">
        <x:v>F206</x:v>
      </x:c>
      <x:c r="C1018" s="30" t="str">
        <x:v>task.resource_budget</x:v>
      </x:c>
      <x:c r="D1018" s="30" t="str">
        <x:v>候选输入schema</x:v>
      </x:c>
      <x:c r="E1018" s="30" t="str">
        <x:v>按执行角色权限读取；策略只能使用可访问快照</x:v>
      </x:c>
    </x:row>
    <x:row r="1019" ht="32" customHeight="1">
      <x:c r="A1019" s="30" t="str">
        <x:v>A010</x:v>
      </x:c>
      <x:c r="B1019" s="30" t="str">
        <x:v>F207</x:v>
      </x:c>
      <x:c r="C1019" s="30" t="str">
        <x:v>task.assigned_to</x:v>
      </x:c>
      <x:c r="D1019" s="30" t="str">
        <x:v>候选输入schema</x:v>
      </x:c>
      <x:c r="E1019" s="30" t="str">
        <x:v>按执行角色权限读取；策略只能使用可访问快照</x:v>
      </x:c>
    </x:row>
    <x:row r="1020" ht="32" customHeight="1">
      <x:c r="A1020" s="30" t="str">
        <x:v>A010</x:v>
      </x:c>
      <x:c r="B1020" s="30" t="str">
        <x:v>F208</x:v>
      </x:c>
      <x:c r="C1020" s="30" t="str">
        <x:v>task.accepted_by</x:v>
      </x:c>
      <x:c r="D1020" s="30" t="str">
        <x:v>候选输入schema</x:v>
      </x:c>
      <x:c r="E1020" s="30" t="str">
        <x:v>按执行角色权限读取；策略只能使用可访问快照</x:v>
      </x:c>
    </x:row>
    <x:row r="1021" ht="32" customHeight="1">
      <x:c r="A1021" s="30" t="str">
        <x:v>A010</x:v>
      </x:c>
      <x:c r="B1021" s="30" t="str">
        <x:v>F209</x:v>
      </x:c>
      <x:c r="C1021" s="30" t="str">
        <x:v>task.commitment_window</x:v>
      </x:c>
      <x:c r="D1021" s="30" t="str">
        <x:v>候选输入schema</x:v>
      </x:c>
      <x:c r="E1021" s="30" t="str">
        <x:v>按执行角色权限读取；策略只能使用可访问快照</x:v>
      </x:c>
    </x:row>
    <x:row r="1022" ht="32" customHeight="1">
      <x:c r="A1022" s="30" t="str">
        <x:v>A010</x:v>
      </x:c>
      <x:c r="B1022" s="30" t="str">
        <x:v>F210</x:v>
      </x:c>
      <x:c r="C1022" s="30" t="str">
        <x:v>task.progress</x:v>
      </x:c>
      <x:c r="D1022" s="30" t="str">
        <x:v>候选输入schema</x:v>
      </x:c>
      <x:c r="E1022" s="30" t="str">
        <x:v>按执行角色权限读取；策略只能使用可访问快照</x:v>
      </x:c>
    </x:row>
    <x:row r="1023" ht="32" customHeight="1">
      <x:c r="A1023" s="30" t="str">
        <x:v>A010</x:v>
      </x:c>
      <x:c r="B1023" s="30" t="str">
        <x:v>F211</x:v>
      </x:c>
      <x:c r="C1023" s="30" t="str">
        <x:v>task.active_action_ids</x:v>
      </x:c>
      <x:c r="D1023" s="30" t="str">
        <x:v>候选输入schema</x:v>
      </x:c>
      <x:c r="E1023" s="30" t="str">
        <x:v>按执行角色权限读取；策略只能使用可访问快照</x:v>
      </x:c>
    </x:row>
    <x:row r="1024" ht="32" customHeight="1">
      <x:c r="A1024" s="30" t="str">
        <x:v>A010</x:v>
      </x:c>
      <x:c r="B1024" s="30" t="str">
        <x:v>F212</x:v>
      </x:c>
      <x:c r="C1024" s="30" t="str">
        <x:v>task.interruptibility</x:v>
      </x:c>
      <x:c r="D1024" s="30" t="str">
        <x:v>候选输入schema</x:v>
      </x:c>
      <x:c r="E1024" s="30" t="str">
        <x:v>按执行角色权限读取；策略只能使用可访问快照</x:v>
      </x:c>
    </x:row>
    <x:row r="1025" ht="32" customHeight="1">
      <x:c r="A1025" s="30" t="str">
        <x:v>A010</x:v>
      </x:c>
      <x:c r="B1025" s="30" t="str">
        <x:v>F213</x:v>
      </x:c>
      <x:c r="C1025" s="30" t="str">
        <x:v>task.original_task_id</x:v>
      </x:c>
      <x:c r="D1025" s="30" t="str">
        <x:v>候选输入schema</x:v>
      </x:c>
      <x:c r="E1025" s="30" t="str">
        <x:v>按执行角色权限读取；策略只能使用可访问快照</x:v>
      </x:c>
    </x:row>
    <x:row r="1026" ht="32" customHeight="1">
      <x:c r="A1026" s="30" t="str">
        <x:v>A010</x:v>
      </x:c>
      <x:c r="B1026" s="30" t="str">
        <x:v>F214</x:v>
      </x:c>
      <x:c r="C1026" s="30" t="str">
        <x:v>task.resume_checkpoint</x:v>
      </x:c>
      <x:c r="D1026" s="30" t="str">
        <x:v>候选输入schema</x:v>
      </x:c>
      <x:c r="E1026" s="30" t="str">
        <x:v>按执行角色权限读取；策略只能使用可访问快照</x:v>
      </x:c>
    </x:row>
    <x:row r="1027" ht="32" customHeight="1">
      <x:c r="A1027" s="30" t="str">
        <x:v>A010</x:v>
      </x:c>
      <x:c r="B1027" s="30" t="str">
        <x:v>F215</x:v>
      </x:c>
      <x:c r="C1027" s="30" t="str">
        <x:v>task.handoff_target_id</x:v>
      </x:c>
      <x:c r="D1027" s="30" t="str">
        <x:v>候选输入schema</x:v>
      </x:c>
      <x:c r="E1027" s="30" t="str">
        <x:v>按执行角色权限读取；策略只能使用可访问快照</x:v>
      </x:c>
    </x:row>
    <x:row r="1028" ht="32" customHeight="1">
      <x:c r="A1028" s="30" t="str">
        <x:v>A010</x:v>
      </x:c>
      <x:c r="B1028" s="30" t="str">
        <x:v>F216</x:v>
      </x:c>
      <x:c r="C1028" s="30" t="str">
        <x:v>task.result_evidence_ids</x:v>
      </x:c>
      <x:c r="D1028" s="30" t="str">
        <x:v>候选输入schema</x:v>
      </x:c>
      <x:c r="E1028" s="30" t="str">
        <x:v>按执行角色权限读取；策略只能使用可访问快照</x:v>
      </x:c>
    </x:row>
    <x:row r="1029" ht="32" customHeight="1">
      <x:c r="A1029" s="30" t="str">
        <x:v>A010</x:v>
      </x:c>
      <x:c r="B1029" s="30" t="str">
        <x:v>F217</x:v>
      </x:c>
      <x:c r="C1029" s="30" t="str">
        <x:v>task.failure_reason</x:v>
      </x:c>
      <x:c r="D1029" s="30" t="str">
        <x:v>候选输入schema</x:v>
      </x:c>
      <x:c r="E1029" s="30" t="str">
        <x:v>按执行角色权限读取；策略只能使用可访问快照</x:v>
      </x:c>
    </x:row>
    <x:row r="1030" ht="32" customHeight="1">
      <x:c r="A1030" s="30" t="str">
        <x:v>A010</x:v>
      </x:c>
      <x:c r="B1030" s="30" t="str">
        <x:v>F218</x:v>
      </x:c>
      <x:c r="C1030" s="30" t="str">
        <x:v>task.last_event_s</x:v>
      </x:c>
      <x:c r="D1030" s="30" t="str">
        <x:v>候选输入schema</x:v>
      </x:c>
      <x:c r="E1030" s="30" t="str">
        <x:v>按执行角色权限读取；策略只能使用可访问快照</x:v>
      </x:c>
    </x:row>
    <x:row r="1031" ht="32" customHeight="1">
      <x:c r="A1031" s="30" t="str">
        <x:v>A010</x:v>
      </x:c>
      <x:c r="B1031" s="30" t="str">
        <x:v>F219</x:v>
      </x:c>
      <x:c r="C1031" s="30" t="str">
        <x:v>task.opportunity_cost</x:v>
      </x:c>
      <x:c r="D1031" s="30" t="str">
        <x:v>候选输入schema</x:v>
      </x:c>
      <x:c r="E1031" s="30" t="str">
        <x:v>按执行角色权限读取；策略只能使用可访问快照</x:v>
      </x:c>
    </x:row>
    <x:row r="1032" ht="32" customHeight="1">
      <x:c r="A1032" s="30" t="str">
        <x:v>A010</x:v>
      </x:c>
      <x:c r="B1032" s="30" t="str">
        <x:v>F041</x:v>
      </x:c>
      <x:c r="C1032" s="30" t="str">
        <x:v>building.worksite_record</x:v>
      </x:c>
      <x:c r="D1032" s="30" t="str">
        <x:v>直接效果</x:v>
      </x:c>
      <x:c r="E1032" s="30" t="str">
        <x:v>经实际执行/回执提交；不是规划时提前修改</x:v>
      </x:c>
    </x:row>
    <x:row r="1033" ht="32" customHeight="1">
      <x:c r="A1033" s="30" t="str">
        <x:v>A011</x:v>
      </x:c>
      <x:c r="B1033" s="30" t="str">
        <x:v>F044</x:v>
      </x:c>
      <x:c r="C1033" s="30" t="str">
        <x:v>road.centerline</x:v>
      </x:c>
      <x:c r="D1033" s="30" t="str">
        <x:v>候选输入schema</x:v>
      </x:c>
      <x:c r="E1033" s="30" t="str">
        <x:v>按执行角色权限读取；策略只能使用可访问快照</x:v>
      </x:c>
    </x:row>
    <x:row r="1034" ht="32" customHeight="1">
      <x:c r="A1034" s="30" t="str">
        <x:v>A011</x:v>
      </x:c>
      <x:c r="B1034" s="30" t="str">
        <x:v>F045</x:v>
      </x:c>
      <x:c r="C1034" s="30" t="str">
        <x:v>road.width_m</x:v>
      </x:c>
      <x:c r="D1034" s="30" t="str">
        <x:v>候选输入schema</x:v>
      </x:c>
      <x:c r="E1034" s="30" t="str">
        <x:v>按执行角色权限读取；策略只能使用可访问快照</x:v>
      </x:c>
    </x:row>
    <x:row r="1035" ht="32" customHeight="1">
      <x:c r="A1035" s="30" t="str">
        <x:v>A011</x:v>
      </x:c>
      <x:c r="B1035" s="30" t="str">
        <x:v>F046</x:v>
      </x:c>
      <x:c r="C1035" s="30" t="str">
        <x:v>road.surface</x:v>
      </x:c>
      <x:c r="D1035" s="30" t="str">
        <x:v>候选输入schema</x:v>
      </x:c>
      <x:c r="E1035" s="30" t="str">
        <x:v>按执行角色权限读取；策略只能使用可访问快照</x:v>
      </x:c>
    </x:row>
    <x:row r="1036" ht="32" customHeight="1">
      <x:c r="A1036" s="30" t="str">
        <x:v>A011</x:v>
      </x:c>
      <x:c r="B1036" s="30" t="str">
        <x:v>F047</x:v>
      </x:c>
      <x:c r="C1036" s="30" t="str">
        <x:v>road.from_node</x:v>
      </x:c>
      <x:c r="D1036" s="30" t="str">
        <x:v>候选输入schema</x:v>
      </x:c>
      <x:c r="E1036" s="30" t="str">
        <x:v>按执行角色权限读取；策略只能使用可访问快照</x:v>
      </x:c>
    </x:row>
    <x:row r="1037" ht="32" customHeight="1">
      <x:c r="A1037" s="30" t="str">
        <x:v>A011</x:v>
      </x:c>
      <x:c r="B1037" s="30" t="str">
        <x:v>F048</x:v>
      </x:c>
      <x:c r="C1037" s="30" t="str">
        <x:v>road.to_node</x:v>
      </x:c>
      <x:c r="D1037" s="30" t="str">
        <x:v>候选输入schema</x:v>
      </x:c>
      <x:c r="E1037" s="30" t="str">
        <x:v>按执行角色权限读取；策略只能使用可访问快照</x:v>
      </x:c>
    </x:row>
    <x:row r="1038" ht="32" customHeight="1">
      <x:c r="A1038" s="30" t="str">
        <x:v>A011</x:v>
      </x:c>
      <x:c r="B1038" s="30" t="str">
        <x:v>F049</x:v>
      </x:c>
      <x:c r="C1038" s="30" t="str">
        <x:v>road.obstacle_ids</x:v>
      </x:c>
      <x:c r="D1038" s="30" t="str">
        <x:v>候选输入schema</x:v>
      </x:c>
      <x:c r="E1038" s="30" t="str">
        <x:v>按执行角色权限读取；策略只能使用可访问快照</x:v>
      </x:c>
    </x:row>
    <x:row r="1039" ht="32" customHeight="1">
      <x:c r="A1039" s="30" t="str">
        <x:v>A011</x:v>
      </x:c>
      <x:c r="B1039" s="30" t="str">
        <x:v>F050</x:v>
      </x:c>
      <x:c r="C1039" s="30" t="str">
        <x:v>road.clear_width_m</x:v>
      </x:c>
      <x:c r="D1039" s="30" t="str">
        <x:v>候选输入schema</x:v>
      </x:c>
      <x:c r="E1039" s="30" t="str">
        <x:v>按执行角色权限读取；策略只能使用可访问快照</x:v>
      </x:c>
    </x:row>
    <x:row r="1040" ht="32" customHeight="1">
      <x:c r="A1040" s="30" t="str">
        <x:v>A011</x:v>
      </x:c>
      <x:c r="B1040" s="30" t="str">
        <x:v>F051</x:v>
      </x:c>
      <x:c r="C1040" s="30" t="str">
        <x:v>road.clear_height_m</x:v>
      </x:c>
      <x:c r="D1040" s="30" t="str">
        <x:v>候选输入schema</x:v>
      </x:c>
      <x:c r="E1040" s="30" t="str">
        <x:v>按执行角色权限读取；策略只能使用可访问快照</x:v>
      </x:c>
    </x:row>
    <x:row r="1041" ht="32" customHeight="1">
      <x:c r="A1041" s="30" t="str">
        <x:v>A011</x:v>
      </x:c>
      <x:c r="B1041" s="30" t="str">
        <x:v>F052</x:v>
      </x:c>
      <x:c r="C1041" s="30" t="str">
        <x:v>road.turn_radius_m</x:v>
      </x:c>
      <x:c r="D1041" s="30" t="str">
        <x:v>候选输入schema</x:v>
      </x:c>
      <x:c r="E1041" s="30" t="str">
        <x:v>按执行角色权限读取；策略只能使用可访问快照</x:v>
      </x:c>
    </x:row>
    <x:row r="1042" ht="32" customHeight="1">
      <x:c r="A1042" s="30" t="str">
        <x:v>A011</x:v>
      </x:c>
      <x:c r="B1042" s="30" t="str">
        <x:v>F053</x:v>
      </x:c>
      <x:c r="C1042" s="30" t="str">
        <x:v>road.step_height_m</x:v>
      </x:c>
      <x:c r="D1042" s="30" t="str">
        <x:v>候选输入schema</x:v>
      </x:c>
      <x:c r="E1042" s="30" t="str">
        <x:v>按执行角色权限读取；策略只能使用可访问快照</x:v>
      </x:c>
    </x:row>
    <x:row r="1043" ht="32" customHeight="1">
      <x:c r="A1043" s="30" t="str">
        <x:v>A011</x:v>
      </x:c>
      <x:c r="B1043" s="30" t="str">
        <x:v>F054</x:v>
      </x:c>
      <x:c r="C1043" s="30" t="str">
        <x:v>road.entry_state</x:v>
      </x:c>
      <x:c r="D1043" s="30" t="str">
        <x:v>候选输入schema</x:v>
      </x:c>
      <x:c r="E1043" s="30" t="str">
        <x:v>按执行角色权限读取；策略只能使用可访问快照</x:v>
      </x:c>
    </x:row>
    <x:row r="1044" ht="32" customHeight="1">
      <x:c r="A1044" s="30" t="str">
        <x:v>A011</x:v>
      </x:c>
      <x:c r="B1044" s="30" t="str">
        <x:v>F055</x:v>
      </x:c>
      <x:c r="C1044" s="30" t="str">
        <x:v>road.water_depth_m</x:v>
      </x:c>
      <x:c r="D1044" s="30" t="str">
        <x:v>候选输入schema</x:v>
      </x:c>
      <x:c r="E1044" s="30" t="str">
        <x:v>按执行角色权限读取；策略只能使用可访问快照</x:v>
      </x:c>
    </x:row>
    <x:row r="1045" ht="32" customHeight="1">
      <x:c r="A1045" s="30" t="str">
        <x:v>A011</x:v>
      </x:c>
      <x:c r="B1045" s="30" t="str">
        <x:v>F056</x:v>
      </x:c>
      <x:c r="C1045" s="30" t="str">
        <x:v>road.passability</x:v>
      </x:c>
      <x:c r="D1045" s="30" t="str">
        <x:v>候选输入schema</x:v>
      </x:c>
      <x:c r="E1045" s="30" t="str">
        <x:v>按执行角色权限读取；策略只能使用可访问快照</x:v>
      </x:c>
    </x:row>
    <x:row r="1046" ht="32" customHeight="1">
      <x:c r="A1046" s="30" t="str">
        <x:v>A011</x:v>
      </x:c>
      <x:c r="B1046" s="30" t="str">
        <x:v>F057</x:v>
      </x:c>
      <x:c r="C1046" s="30" t="str">
        <x:v>road.travel_cost</x:v>
      </x:c>
      <x:c r="D1046" s="30" t="str">
        <x:v>候选输入schema</x:v>
      </x:c>
      <x:c r="E1046" s="30" t="str">
        <x:v>按执行角色权限读取；策略只能使用可访问快照</x:v>
      </x:c>
    </x:row>
    <x:row r="1047" ht="32" customHeight="1">
      <x:c r="A1047" s="30" t="str">
        <x:v>A011</x:v>
      </x:c>
      <x:c r="B1047" s="30" t="str">
        <x:v>F058</x:v>
      </x:c>
      <x:c r="C1047" s="30" t="str">
        <x:v>road.topology_revision</x:v>
      </x:c>
      <x:c r="D1047" s="30" t="str">
        <x:v>候选输入schema</x:v>
      </x:c>
      <x:c r="E1047" s="30" t="str">
        <x:v>按执行角色权限读取；策略只能使用可访问快照</x:v>
      </x:c>
    </x:row>
    <x:row r="1048" ht="32" customHeight="1">
      <x:c r="A1048" s="30" t="str">
        <x:v>A011</x:v>
      </x:c>
      <x:c r="B1048" s="30" t="str">
        <x:v>F059</x:v>
      </x:c>
      <x:c r="C1048" s="30" t="str">
        <x:v>obstacle.kind</x:v>
      </x:c>
      <x:c r="D1048" s="30" t="str">
        <x:v>候选输入schema</x:v>
      </x:c>
      <x:c r="E1048" s="30" t="str">
        <x:v>按执行角色权限读取；策略只能使用可访问快照</x:v>
      </x:c>
    </x:row>
    <x:row r="1049" ht="32" customHeight="1">
      <x:c r="A1049" s="30" t="str">
        <x:v>A011</x:v>
      </x:c>
      <x:c r="B1049" s="30" t="str">
        <x:v>F060</x:v>
      </x:c>
      <x:c r="C1049" s="30" t="str">
        <x:v>obstacle.material</x:v>
      </x:c>
      <x:c r="D1049" s="30" t="str">
        <x:v>候选输入schema</x:v>
      </x:c>
      <x:c r="E1049" s="30" t="str">
        <x:v>按执行角色权限读取；策略只能使用可访问快照</x:v>
      </x:c>
    </x:row>
    <x:row r="1050" ht="32" customHeight="1">
      <x:c r="A1050" s="30" t="str">
        <x:v>A011</x:v>
      </x:c>
      <x:c r="B1050" s="30" t="str">
        <x:v>F061</x:v>
      </x:c>
      <x:c r="C1050" s="30" t="str">
        <x:v>obstacle.source_id</x:v>
      </x:c>
      <x:c r="D1050" s="30" t="str">
        <x:v>候选输入schema</x:v>
      </x:c>
      <x:c r="E1050" s="30" t="str">
        <x:v>按执行角色权限读取；策略只能使用可访问快照</x:v>
      </x:c>
    </x:row>
    <x:row r="1051" ht="32" customHeight="1">
      <x:c r="A1051" s="30" t="str">
        <x:v>A011</x:v>
      </x:c>
      <x:c r="B1051" s="30" t="str">
        <x:v>F062</x:v>
      </x:c>
      <x:c r="C1051" s="30" t="str">
        <x:v>obstacle.height_m</x:v>
      </x:c>
      <x:c r="D1051" s="30" t="str">
        <x:v>候选输入schema</x:v>
      </x:c>
      <x:c r="E1051" s="30" t="str">
        <x:v>按执行角色权限读取；策略只能使用可访问快照</x:v>
      </x:c>
    </x:row>
    <x:row r="1052" ht="32" customHeight="1">
      <x:c r="A1052" s="30" t="str">
        <x:v>A011</x:v>
      </x:c>
      <x:c r="B1052" s="30" t="str">
        <x:v>F063</x:v>
      </x:c>
      <x:c r="C1052" s="30" t="str">
        <x:v>obstacle.mass_kg</x:v>
      </x:c>
      <x:c r="D1052" s="30" t="str">
        <x:v>候选输入schema</x:v>
      </x:c>
      <x:c r="E1052" s="30" t="str">
        <x:v>按执行角色权限读取；策略只能使用可访问快照</x:v>
      </x:c>
    </x:row>
    <x:row r="1053" ht="32" customHeight="1">
      <x:c r="A1053" s="30" t="str">
        <x:v>A011</x:v>
      </x:c>
      <x:c r="B1053" s="30" t="str">
        <x:v>F064</x:v>
      </x:c>
      <x:c r="C1053" s="30" t="str">
        <x:v>obstacle.volume_m3</x:v>
      </x:c>
      <x:c r="D1053" s="30" t="str">
        <x:v>候选输入schema</x:v>
      </x:c>
      <x:c r="E1053" s="30" t="str">
        <x:v>按执行角色权限读取；策略只能使用可访问快照</x:v>
      </x:c>
    </x:row>
    <x:row r="1054" ht="32" customHeight="1">
      <x:c r="A1054" s="30" t="str">
        <x:v>A011</x:v>
      </x:c>
      <x:c r="B1054" s="30" t="str">
        <x:v>F065</x:v>
      </x:c>
      <x:c r="C1054" s="30" t="str">
        <x:v>obstacle.state</x:v>
      </x:c>
      <x:c r="D1054" s="30" t="str">
        <x:v>候选输入schema</x:v>
      </x:c>
      <x:c r="E1054" s="30" t="str">
        <x:v>按执行角色权限读取；策略只能使用可访问快照</x:v>
      </x:c>
    </x:row>
    <x:row r="1055" ht="32" customHeight="1">
      <x:c r="A1055" s="30" t="str">
        <x:v>A011</x:v>
      </x:c>
      <x:c r="B1055" s="30" t="str">
        <x:v>F066</x:v>
      </x:c>
      <x:c r="C1055" s="30" t="str">
        <x:v>obstacle.stability</x:v>
      </x:c>
      <x:c r="D1055" s="30" t="str">
        <x:v>候选输入schema</x:v>
      </x:c>
      <x:c r="E1055" s="30" t="str">
        <x:v>按执行角色权限读取；策略只能使用可访问快照</x:v>
      </x:c>
    </x:row>
    <x:row r="1056" ht="32" customHeight="1">
      <x:c r="A1056" s="30" t="str">
        <x:v>A011</x:v>
      </x:c>
      <x:c r="B1056" s="30" t="str">
        <x:v>F067</x:v>
      </x:c>
      <x:c r="C1056" s="30" t="str">
        <x:v>obstacle.clear_method</x:v>
      </x:c>
      <x:c r="D1056" s="30" t="str">
        <x:v>候选输入schema</x:v>
      </x:c>
      <x:c r="E1056" s="30" t="str">
        <x:v>按执行角色权限读取；策略只能使用可访问快照</x:v>
      </x:c>
    </x:row>
    <x:row r="1057" ht="32" customHeight="1">
      <x:c r="A1057" s="30" t="str">
        <x:v>A011</x:v>
      </x:c>
      <x:c r="B1057" s="30" t="str">
        <x:v>F068</x:v>
      </x:c>
      <x:c r="C1057" s="30" t="str">
        <x:v>obstacle.work_remaining</x:v>
      </x:c>
      <x:c r="D1057" s="30" t="str">
        <x:v>候选输入schema</x:v>
      </x:c>
      <x:c r="E1057" s="30" t="str">
        <x:v>按执行角色权限读取；策略只能使用可访问快照</x:v>
      </x:c>
    </x:row>
    <x:row r="1058" ht="32" customHeight="1">
      <x:c r="A1058" s="30" t="str">
        <x:v>A011</x:v>
      </x:c>
      <x:c r="B1058" s="30" t="str">
        <x:v>F069</x:v>
      </x:c>
      <x:c r="C1058" s="30" t="str">
        <x:v>obstacle.blocks_ids</x:v>
      </x:c>
      <x:c r="D1058" s="30" t="str">
        <x:v>候选输入schema</x:v>
      </x:c>
      <x:c r="E1058" s="30" t="str">
        <x:v>按执行角色权限读取；策略只能使用可访问快照</x:v>
      </x:c>
    </x:row>
    <x:row r="1059" ht="32" customHeight="1">
      <x:c r="A1059" s="30" t="str">
        <x:v>A011</x:v>
      </x:c>
      <x:c r="B1059" s="30" t="str">
        <x:v>F070</x:v>
      </x:c>
      <x:c r="C1059" s="30" t="str">
        <x:v>obstacle.disposal_location</x:v>
      </x:c>
      <x:c r="D1059" s="30" t="str">
        <x:v>候选输入schema</x:v>
      </x:c>
      <x:c r="E1059" s="30" t="str">
        <x:v>按执行角色权限读取；策略只能使用可访问快照</x:v>
      </x:c>
    </x:row>
    <x:row r="1060" ht="32" customHeight="1">
      <x:c r="A1060" s="30" t="str">
        <x:v>A011</x:v>
      </x:c>
      <x:c r="B1060" s="30" t="str">
        <x:v>F095</x:v>
      </x:c>
      <x:c r="C1060" s="30" t="str">
        <x:v>platform.kind</x:v>
      </x:c>
      <x:c r="D1060" s="30" t="str">
        <x:v>候选输入schema</x:v>
      </x:c>
      <x:c r="E1060" s="30" t="str">
        <x:v>按执行角色权限读取；策略只能使用可访问快照</x:v>
      </x:c>
    </x:row>
    <x:row r="1061" ht="32" customHeight="1">
      <x:c r="A1061" s="30" t="str">
        <x:v>A011</x:v>
      </x:c>
      <x:c r="B1061" s="30" t="str">
        <x:v>F096</x:v>
      </x:c>
      <x:c r="C1061" s="30" t="str">
        <x:v>platform.capability_ids</x:v>
      </x:c>
      <x:c r="D1061" s="30" t="str">
        <x:v>候选输入schema</x:v>
      </x:c>
      <x:c r="E1061" s="30" t="str">
        <x:v>按执行角色权限读取；策略只能使用可访问快照</x:v>
      </x:c>
    </x:row>
    <x:row r="1062" ht="32" customHeight="1">
      <x:c r="A1062" s="30" t="str">
        <x:v>A011</x:v>
      </x:c>
      <x:c r="B1062" s="30" t="str">
        <x:v>F097</x:v>
      </x:c>
      <x:c r="C1062" s="30" t="str">
        <x:v>platform.equipment_ids</x:v>
      </x:c>
      <x:c r="D1062" s="30" t="str">
        <x:v>候选输入schema</x:v>
      </x:c>
      <x:c r="E1062" s="30" t="str">
        <x:v>按执行角色权限读取；策略只能使用可访问快照</x:v>
      </x:c>
    </x:row>
    <x:row r="1063" ht="32" customHeight="1">
      <x:c r="A1063" s="30" t="str">
        <x:v>A011</x:v>
      </x:c>
      <x:c r="B1063" s="30" t="str">
        <x:v>F098</x:v>
      </x:c>
      <x:c r="C1063" s="30" t="str">
        <x:v>platform.width_m</x:v>
      </x:c>
      <x:c r="D1063" s="30" t="str">
        <x:v>候选输入schema</x:v>
      </x:c>
      <x:c r="E1063" s="30" t="str">
        <x:v>按执行角色权限读取；策略只能使用可访问快照</x:v>
      </x:c>
    </x:row>
    <x:row r="1064" ht="32" customHeight="1">
      <x:c r="A1064" s="30" t="str">
        <x:v>A011</x:v>
      </x:c>
      <x:c r="B1064" s="30" t="str">
        <x:v>F099</x:v>
      </x:c>
      <x:c r="C1064" s="30" t="str">
        <x:v>platform.height_m</x:v>
      </x:c>
      <x:c r="D1064" s="30" t="str">
        <x:v>候选输入schema</x:v>
      </x:c>
      <x:c r="E1064" s="30" t="str">
        <x:v>按执行角色权限读取；策略只能使用可访问快照</x:v>
      </x:c>
    </x:row>
    <x:row r="1065" ht="32" customHeight="1">
      <x:c r="A1065" s="30" t="str">
        <x:v>A011</x:v>
      </x:c>
      <x:c r="B1065" s="30" t="str">
        <x:v>F100</x:v>
      </x:c>
      <x:c r="C1065" s="30" t="str">
        <x:v>platform.swept_radius_m</x:v>
      </x:c>
      <x:c r="D1065" s="30" t="str">
        <x:v>候选输入schema</x:v>
      </x:c>
      <x:c r="E1065" s="30" t="str">
        <x:v>按执行角色权限读取；策略只能使用可访问快照</x:v>
      </x:c>
    </x:row>
    <x:row r="1066" ht="32" customHeight="1">
      <x:c r="A1066" s="30" t="str">
        <x:v>A011</x:v>
      </x:c>
      <x:c r="B1066" s="30" t="str">
        <x:v>F101</x:v>
      </x:c>
      <x:c r="C1066" s="30" t="str">
        <x:v>platform.payload_capacity_kg</x:v>
      </x:c>
      <x:c r="D1066" s="30" t="str">
        <x:v>候选输入schema</x:v>
      </x:c>
      <x:c r="E1066" s="30" t="str">
        <x:v>按执行角色权限读取；策略只能使用可访问快照</x:v>
      </x:c>
    </x:row>
    <x:row r="1067" ht="32" customHeight="1">
      <x:c r="A1067" s="30" t="str">
        <x:v>A011</x:v>
      </x:c>
      <x:c r="B1067" s="30" t="str">
        <x:v>F102</x:v>
      </x:c>
      <x:c r="C1067" s="30" t="str">
        <x:v>platform.payload_used_kg</x:v>
      </x:c>
      <x:c r="D1067" s="30" t="str">
        <x:v>候选输入schema</x:v>
      </x:c>
      <x:c r="E1067" s="30" t="str">
        <x:v>按执行角色权限读取；策略只能使用可访问快照</x:v>
      </x:c>
    </x:row>
    <x:row r="1068" ht="32" customHeight="1">
      <x:c r="A1068" s="30" t="str">
        <x:v>A011</x:v>
      </x:c>
      <x:c r="B1068" s="30" t="str">
        <x:v>F103</x:v>
      </x:c>
      <x:c r="C1068" s="30" t="str">
        <x:v>platform.payload_item_ids</x:v>
      </x:c>
      <x:c r="D1068" s="30" t="str">
        <x:v>候选输入schema</x:v>
      </x:c>
      <x:c r="E1068" s="30" t="str">
        <x:v>按执行角色权限读取；策略只能使用可访问快照</x:v>
      </x:c>
    </x:row>
    <x:row r="1069" ht="32" customHeight="1">
      <x:c r="A1069" s="30" t="str">
        <x:v>A011</x:v>
      </x:c>
      <x:c r="B1069" s="30" t="str">
        <x:v>F104</x:v>
      </x:c>
      <x:c r="C1069" s="30" t="str">
        <x:v>platform.battery_capacity_Wh</x:v>
      </x:c>
      <x:c r="D1069" s="30" t="str">
        <x:v>候选输入schema</x:v>
      </x:c>
      <x:c r="E1069" s="30" t="str">
        <x:v>按执行角色权限读取；策略只能使用可访问快照</x:v>
      </x:c>
    </x:row>
    <x:row r="1070" ht="32" customHeight="1">
      <x:c r="A1070" s="30" t="str">
        <x:v>A011</x:v>
      </x:c>
      <x:c r="B1070" s="30" t="str">
        <x:v>F105</x:v>
      </x:c>
      <x:c r="C1070" s="30" t="str">
        <x:v>platform.battery_remaining_Wh</x:v>
      </x:c>
      <x:c r="D1070" s="30" t="str">
        <x:v>候选输入schema</x:v>
      </x:c>
      <x:c r="E1070" s="30" t="str">
        <x:v>按执行角色权限读取；策略只能使用可访问快照</x:v>
      </x:c>
    </x:row>
    <x:row r="1071" ht="32" customHeight="1">
      <x:c r="A1071" s="30" t="str">
        <x:v>A011</x:v>
      </x:c>
      <x:c r="B1071" s="30" t="str">
        <x:v>F106</x:v>
      </x:c>
      <x:c r="C1071" s="30" t="str">
        <x:v>platform.reserve_Wh</x:v>
      </x:c>
      <x:c r="D1071" s="30" t="str">
        <x:v>候选输入schema</x:v>
      </x:c>
      <x:c r="E1071" s="30" t="str">
        <x:v>按执行角色权限读取；策略只能使用可访问快照</x:v>
      </x:c>
    </x:row>
    <x:row r="1072" ht="32" customHeight="1">
      <x:c r="A1072" s="30" t="str">
        <x:v>A011</x:v>
      </x:c>
      <x:c r="B1072" s="30" t="str">
        <x:v>F107</x:v>
      </x:c>
      <x:c r="C1072" s="30" t="str">
        <x:v>platform.speed_limit_mps</x:v>
      </x:c>
      <x:c r="D1072" s="30" t="str">
        <x:v>候选输入schema</x:v>
      </x:c>
      <x:c r="E1072" s="30" t="str">
        <x:v>按执行角色权限读取；策略只能使用可访问快照</x:v>
      </x:c>
    </x:row>
    <x:row r="1073" ht="32" customHeight="1">
      <x:c r="A1073" s="30" t="str">
        <x:v>A011</x:v>
      </x:c>
      <x:c r="B1073" s="30" t="str">
        <x:v>F108</x:v>
      </x:c>
      <x:c r="C1073" s="30" t="str">
        <x:v>platform.energy_model</x:v>
      </x:c>
      <x:c r="D1073" s="30" t="str">
        <x:v>候选输入schema</x:v>
      </x:c>
      <x:c r="E1073" s="30" t="str">
        <x:v>按执行角色权限读取；策略只能使用可访问快照</x:v>
      </x:c>
    </x:row>
    <x:row r="1074" ht="32" customHeight="1">
      <x:c r="A1074" s="30" t="str">
        <x:v>A011</x:v>
      </x:c>
      <x:c r="B1074" s="30" t="str">
        <x:v>F109</x:v>
      </x:c>
      <x:c r="C1074" s="30" t="str">
        <x:v>platform.motion_state</x:v>
      </x:c>
      <x:c r="D1074" s="30" t="str">
        <x:v>候选输入schema</x:v>
      </x:c>
      <x:c r="E1074" s="30" t="str">
        <x:v>按执行角色权限读取；策略只能使用可访问快照</x:v>
      </x:c>
    </x:row>
    <x:row r="1075" ht="32" customHeight="1">
      <x:c r="A1075" s="30" t="str">
        <x:v>A011</x:v>
      </x:c>
      <x:c r="B1075" s="30" t="str">
        <x:v>F110</x:v>
      </x:c>
      <x:c r="C1075" s="30" t="str">
        <x:v>platform.health_state</x:v>
      </x:c>
      <x:c r="D1075" s="30" t="str">
        <x:v>候选输入schema</x:v>
      </x:c>
      <x:c r="E1075" s="30" t="str">
        <x:v>按执行角色权限读取；策略只能使用可访问快照</x:v>
      </x:c>
    </x:row>
    <x:row r="1076" ht="32" customHeight="1">
      <x:c r="A1076" s="30" t="str">
        <x:v>A011</x:v>
      </x:c>
      <x:c r="B1076" s="30" t="str">
        <x:v>F111</x:v>
      </x:c>
      <x:c r="C1076" s="30" t="str">
        <x:v>platform.current_action_id</x:v>
      </x:c>
      <x:c r="D1076" s="30" t="str">
        <x:v>候选输入schema</x:v>
      </x:c>
      <x:c r="E1076" s="30" t="str">
        <x:v>按执行角色权限读取；策略只能使用可访问快照</x:v>
      </x:c>
    </x:row>
    <x:row r="1077" ht="32" customHeight="1">
      <x:c r="A1077" s="30" t="str">
        <x:v>A011</x:v>
      </x:c>
      <x:c r="B1077" s="30" t="str">
        <x:v>F112</x:v>
      </x:c>
      <x:c r="C1077" s="30" t="str">
        <x:v>platform.busy_until_est_s</x:v>
      </x:c>
      <x:c r="D1077" s="30" t="str">
        <x:v>候选输入schema</x:v>
      </x:c>
      <x:c r="E1077" s="30" t="str">
        <x:v>按执行角色权限读取；策略只能使用可访问快照</x:v>
      </x:c>
    </x:row>
    <x:row r="1078" ht="32" customHeight="1">
      <x:c r="A1078" s="30" t="str">
        <x:v>A011</x:v>
      </x:c>
      <x:c r="B1078" s="30" t="str">
        <x:v>F113</x:v>
      </x:c>
      <x:c r="C1078" s="30" t="str">
        <x:v>platform.return_site_id</x:v>
      </x:c>
      <x:c r="D1078" s="30" t="str">
        <x:v>候选输入schema</x:v>
      </x:c>
      <x:c r="E1078" s="30" t="str">
        <x:v>按执行角色权限读取；策略只能使用可访问快照</x:v>
      </x:c>
    </x:row>
    <x:row r="1079" ht="32" customHeight="1">
      <x:c r="A1079" s="30" t="str">
        <x:v>A011</x:v>
      </x:c>
      <x:c r="B1079" s="30" t="str">
        <x:v>F114</x:v>
      </x:c>
      <x:c r="C1079" s="30" t="str">
        <x:v>platform.water_tolerance_m</x:v>
      </x:c>
      <x:c r="D1079" s="30" t="str">
        <x:v>候选输入schema</x:v>
      </x:c>
      <x:c r="E1079" s="30" t="str">
        <x:v>按执行角色权限读取；策略只能使用可访问快照</x:v>
      </x:c>
    </x:row>
    <x:row r="1080" ht="32" customHeight="1">
      <x:c r="A1080" s="30" t="str">
        <x:v>A011</x:v>
      </x:c>
      <x:c r="B1080" s="30" t="str">
        <x:v>F115</x:v>
      </x:c>
      <x:c r="C1080" s="30" t="str">
        <x:v>platform.concurrency_policy</x:v>
      </x:c>
      <x:c r="D1080" s="30" t="str">
        <x:v>候选输入schema</x:v>
      </x:c>
      <x:c r="E1080" s="30" t="str">
        <x:v>按执行角色权限读取；策略只能使用可访问快照</x:v>
      </x:c>
    </x:row>
    <x:row r="1081" ht="32" customHeight="1">
      <x:c r="A1081" s="30" t="str">
        <x:v>A011</x:v>
      </x:c>
      <x:c r="B1081" s="30" t="str">
        <x:v>F151</x:v>
      </x:c>
      <x:c r="C1081" s="30" t="str">
        <x:v>sensor.modality</x:v>
      </x:c>
      <x:c r="D1081" s="30" t="str">
        <x:v>候选输入schema</x:v>
      </x:c>
      <x:c r="E1081" s="30" t="str">
        <x:v>按执行角色权限读取；策略只能使用可访问快照</x:v>
      </x:c>
    </x:row>
    <x:row r="1082" ht="32" customHeight="1">
      <x:c r="A1082" s="30" t="str">
        <x:v>A011</x:v>
      </x:c>
      <x:c r="B1082" s="30" t="str">
        <x:v>F152</x:v>
      </x:c>
      <x:c r="C1082" s="30" t="str">
        <x:v>sensor.mount_pose</x:v>
      </x:c>
      <x:c r="D1082" s="30" t="str">
        <x:v>候选输入schema</x:v>
      </x:c>
      <x:c r="E1082" s="30" t="str">
        <x:v>按执行角色权限读取；策略只能使用可访问快照</x:v>
      </x:c>
    </x:row>
    <x:row r="1083" ht="32" customHeight="1">
      <x:c r="A1083" s="30" t="str">
        <x:v>A011</x:v>
      </x:c>
      <x:c r="B1083" s="30" t="str">
        <x:v>F153</x:v>
      </x:c>
      <x:c r="C1083" s="30" t="str">
        <x:v>sensor.fov_deg</x:v>
      </x:c>
      <x:c r="D1083" s="30" t="str">
        <x:v>候选输入schema</x:v>
      </x:c>
      <x:c r="E1083" s="30" t="str">
        <x:v>按执行角色权限读取；策略只能使用可访问快照</x:v>
      </x:c>
    </x:row>
    <x:row r="1084" ht="32" customHeight="1">
      <x:c r="A1084" s="30" t="str">
        <x:v>A011</x:v>
      </x:c>
      <x:c r="B1084" s="30" t="str">
        <x:v>F154</x:v>
      </x:c>
      <x:c r="C1084" s="30" t="str">
        <x:v>sensor.resolution</x:v>
      </x:c>
      <x:c r="D1084" s="30" t="str">
        <x:v>候选输入schema</x:v>
      </x:c>
      <x:c r="E1084" s="30" t="str">
        <x:v>按执行角色权限读取；策略只能使用可访问快照</x:v>
      </x:c>
    </x:row>
    <x:row r="1085" ht="32" customHeight="1">
      <x:c r="A1085" s="30" t="str">
        <x:v>A011</x:v>
      </x:c>
      <x:c r="B1085" s="30" t="str">
        <x:v>F155</x:v>
      </x:c>
      <x:c r="C1085" s="30" t="str">
        <x:v>sensor.range_m</x:v>
      </x:c>
      <x:c r="D1085" s="30" t="str">
        <x:v>候选输入schema</x:v>
      </x:c>
      <x:c r="E1085" s="30" t="str">
        <x:v>按执行角色权限读取；策略只能使用可访问快照</x:v>
      </x:c>
    </x:row>
    <x:row r="1086" ht="32" customHeight="1">
      <x:c r="A1086" s="30" t="str">
        <x:v>A011</x:v>
      </x:c>
      <x:c r="B1086" s="30" t="str">
        <x:v>F156</x:v>
      </x:c>
      <x:c r="C1086" s="30" t="str">
        <x:v>sensor.sampling_period_s</x:v>
      </x:c>
      <x:c r="D1086" s="30" t="str">
        <x:v>候选输入schema</x:v>
      </x:c>
      <x:c r="E1086" s="30" t="str">
        <x:v>按执行角色权限读取；策略只能使用可访问快照</x:v>
      </x:c>
    </x:row>
    <x:row r="1087" ht="32" customHeight="1">
      <x:c r="A1087" s="30" t="str">
        <x:v>A011</x:v>
      </x:c>
      <x:c r="B1087" s="30" t="str">
        <x:v>F157</x:v>
      </x:c>
      <x:c r="C1087" s="30" t="str">
        <x:v>sensor.enabled</x:v>
      </x:c>
      <x:c r="D1087" s="30" t="str">
        <x:v>候选输入schema</x:v>
      </x:c>
      <x:c r="E1087" s="30" t="str">
        <x:v>按执行角色权限读取；策略只能使用可访问快照</x:v>
      </x:c>
    </x:row>
    <x:row r="1088" ht="32" customHeight="1">
      <x:c r="A1088" s="30" t="str">
        <x:v>A011</x:v>
      </x:c>
      <x:c r="B1088" s="30" t="str">
        <x:v>F158</x:v>
      </x:c>
      <x:c r="C1088" s="30" t="str">
        <x:v>sensor.health</x:v>
      </x:c>
      <x:c r="D1088" s="30" t="str">
        <x:v>候选输入schema</x:v>
      </x:c>
      <x:c r="E1088" s="30" t="str">
        <x:v>按执行角色权限读取；策略只能使用可访问快照</x:v>
      </x:c>
    </x:row>
    <x:row r="1089" ht="32" customHeight="1">
      <x:c r="A1089" s="30" t="str">
        <x:v>A011</x:v>
      </x:c>
      <x:c r="B1089" s="30" t="str">
        <x:v>F159</x:v>
      </x:c>
      <x:c r="C1089" s="30" t="str">
        <x:v>sensor.exposure</x:v>
      </x:c>
      <x:c r="D1089" s="30" t="str">
        <x:v>候选输入schema</x:v>
      </x:c>
      <x:c r="E1089" s="30" t="str">
        <x:v>按执行角色权限读取；策略只能使用可访问快照</x:v>
      </x:c>
    </x:row>
    <x:row r="1090" ht="32" customHeight="1">
      <x:c r="A1090" s="30" t="str">
        <x:v>A011</x:v>
      </x:c>
      <x:c r="B1090" s="30" t="str">
        <x:v>F160</x:v>
      </x:c>
      <x:c r="C1090" s="30" t="str">
        <x:v>sensor.calibration_id</x:v>
      </x:c>
      <x:c r="D1090" s="30" t="str">
        <x:v>候选输入schema</x:v>
      </x:c>
      <x:c r="E1090" s="30" t="str">
        <x:v>按执行角色权限读取；策略只能使用可访问快照</x:v>
      </x:c>
    </x:row>
    <x:row r="1091" ht="32" customHeight="1">
      <x:c r="A1091" s="30" t="str">
        <x:v>A011</x:v>
      </x:c>
      <x:c r="B1091" s="30" t="str">
        <x:v>F161</x:v>
      </x:c>
      <x:c r="C1091" s="30" t="str">
        <x:v>sensor.gimbal_pose</x:v>
      </x:c>
      <x:c r="D1091" s="30" t="str">
        <x:v>候选输入schema</x:v>
      </x:c>
      <x:c r="E1091" s="30" t="str">
        <x:v>按执行角色权限读取；策略只能使用可访问快照</x:v>
      </x:c>
    </x:row>
    <x:row r="1092" ht="32" customHeight="1">
      <x:c r="A1092" s="30" t="str">
        <x:v>A011</x:v>
      </x:c>
      <x:c r="B1092" s="30" t="str">
        <x:v>F162</x:v>
      </x:c>
      <x:c r="C1092" s="30" t="str">
        <x:v>sensor.capture_state</x:v>
      </x:c>
      <x:c r="D1092" s="30" t="str">
        <x:v>候选输入schema</x:v>
      </x:c>
      <x:c r="E1092" s="30" t="str">
        <x:v>按执行角色权限读取；策略只能使用可访问快照</x:v>
      </x:c>
    </x:row>
    <x:row r="1093" ht="32" customHeight="1">
      <x:c r="A1093" s="30" t="str">
        <x:v>A011</x:v>
      </x:c>
      <x:c r="B1093" s="30" t="str">
        <x:v>F163</x:v>
      </x:c>
      <x:c r="C1093" s="30" t="str">
        <x:v>sensor.noise_model</x:v>
      </x:c>
      <x:c r="D1093" s="30" t="str">
        <x:v>候选输入schema</x:v>
      </x:c>
      <x:c r="E1093" s="30" t="str">
        <x:v>按执行角色权限读取；策略只能使用可访问快照</x:v>
      </x:c>
    </x:row>
    <x:row r="1094" ht="32" customHeight="1">
      <x:c r="A1094" s="30" t="str">
        <x:v>A011</x:v>
      </x:c>
      <x:c r="B1094" s="30" t="str">
        <x:v>F164</x:v>
      </x:c>
      <x:c r="C1094" s="30" t="str">
        <x:v>sensor.blind_zone</x:v>
      </x:c>
      <x:c r="D1094" s="30" t="str">
        <x:v>候选输入schema</x:v>
      </x:c>
      <x:c r="E1094" s="30" t="str">
        <x:v>按执行角色权限读取；策略只能使用可访问快照</x:v>
      </x:c>
    </x:row>
    <x:row r="1095" ht="32" customHeight="1">
      <x:c r="A1095" s="30" t="str">
        <x:v>A011</x:v>
      </x:c>
      <x:c r="B1095" s="30" t="str">
        <x:v>F165</x:v>
      </x:c>
      <x:c r="C1095" s="30" t="str">
        <x:v>sensor.last_capture_s</x:v>
      </x:c>
      <x:c r="D1095" s="30" t="str">
        <x:v>候选输入schema</x:v>
      </x:c>
      <x:c r="E1095" s="30" t="str">
        <x:v>按执行角色权限读取；策略只能使用可访问快照</x:v>
      </x:c>
    </x:row>
    <x:row r="1096" ht="32" customHeight="1">
      <x:c r="A1096" s="30" t="str">
        <x:v>A011</x:v>
      </x:c>
      <x:c r="B1096" s="30" t="str">
        <x:v>F181</x:v>
      </x:c>
      <x:c r="C1096" s="30" t="str">
        <x:v>belief.agent_id</x:v>
      </x:c>
      <x:c r="D1096" s="30" t="str">
        <x:v>候选输入schema</x:v>
      </x:c>
      <x:c r="E1096" s="30" t="str">
        <x:v>按执行角色权限读取；策略只能使用可访问快照</x:v>
      </x:c>
    </x:row>
    <x:row r="1097" ht="32" customHeight="1">
      <x:c r="A1097" s="30" t="str">
        <x:v>A011</x:v>
      </x:c>
      <x:c r="B1097" s="30" t="str">
        <x:v>F182</x:v>
      </x:c>
      <x:c r="C1097" s="30" t="str">
        <x:v>belief.entity_ref</x:v>
      </x:c>
      <x:c r="D1097" s="30" t="str">
        <x:v>候选输入schema</x:v>
      </x:c>
      <x:c r="E1097" s="30" t="str">
        <x:v>按执行角色权限读取；策略只能使用可访问快照</x:v>
      </x:c>
    </x:row>
    <x:row r="1098" ht="32" customHeight="1">
      <x:c r="A1098" s="30" t="str">
        <x:v>A011</x:v>
      </x:c>
      <x:c r="B1098" s="30" t="str">
        <x:v>F183</x:v>
      </x:c>
      <x:c r="C1098" s="30" t="str">
        <x:v>belief.estimated_damage</x:v>
      </x:c>
      <x:c r="D1098" s="30" t="str">
        <x:v>候选输入schema</x:v>
      </x:c>
      <x:c r="E1098" s="30" t="str">
        <x:v>按执行角色权限读取；策略只能使用可访问快照</x:v>
      </x:c>
    </x:row>
    <x:row r="1099" ht="32" customHeight="1">
      <x:c r="A1099" s="30" t="str">
        <x:v>A011</x:v>
      </x:c>
      <x:c r="B1099" s="30" t="str">
        <x:v>F184</x:v>
      </x:c>
      <x:c r="C1099" s="30" t="str">
        <x:v>belief.human_presence</x:v>
      </x:c>
      <x:c r="D1099" s="30" t="str">
        <x:v>候选输入schema</x:v>
      </x:c>
      <x:c r="E1099" s="30" t="str">
        <x:v>按执行角色权限读取；策略只能使用可访问快照</x:v>
      </x:c>
    </x:row>
    <x:row r="1100" ht="32" customHeight="1">
      <x:c r="A1100" s="30" t="str">
        <x:v>A011</x:v>
      </x:c>
      <x:c r="B1100" s="30" t="str">
        <x:v>F185</x:v>
      </x:c>
      <x:c r="C1100" s="30" t="str">
        <x:v>belief.estimated_pose</x:v>
      </x:c>
      <x:c r="D1100" s="30" t="str">
        <x:v>候选输入schema</x:v>
      </x:c>
      <x:c r="E1100" s="30" t="str">
        <x:v>按执行角色权限读取；策略只能使用可访问快照</x:v>
      </x:c>
    </x:row>
    <x:row r="1101" ht="32" customHeight="1">
      <x:c r="A1101" s="30" t="str">
        <x:v>A011</x:v>
      </x:c>
      <x:c r="B1101" s="30" t="str">
        <x:v>F186</x:v>
      </x:c>
      <x:c r="C1101" s="30" t="str">
        <x:v>belief.estimated_access</x:v>
      </x:c>
      <x:c r="D1101" s="30" t="str">
        <x:v>候选输入schema</x:v>
      </x:c>
      <x:c r="E1101" s="30" t="str">
        <x:v>按执行角色权限读取；策略只能使用可访问快照</x:v>
      </x:c>
    </x:row>
    <x:row r="1102" ht="32" customHeight="1">
      <x:c r="A1102" s="30" t="str">
        <x:v>A011</x:v>
      </x:c>
      <x:c r="B1102" s="30" t="str">
        <x:v>F187</x:v>
      </x:c>
      <x:c r="C1102" s="30" t="str">
        <x:v>belief.estimated_needs</x:v>
      </x:c>
      <x:c r="D1102" s="30" t="str">
        <x:v>候选输入schema</x:v>
      </x:c>
      <x:c r="E1102" s="30" t="str">
        <x:v>按执行角色权限读取；策略只能使用可访问快照</x:v>
      </x:c>
    </x:row>
    <x:row r="1103" ht="32" customHeight="1">
      <x:c r="A1103" s="30" t="str">
        <x:v>A011</x:v>
      </x:c>
      <x:c r="B1103" s="30" t="str">
        <x:v>F188</x:v>
      </x:c>
      <x:c r="C1103" s="30" t="str">
        <x:v>belief.evidence_ids</x:v>
      </x:c>
      <x:c r="D1103" s="30" t="str">
        <x:v>候选输入schema</x:v>
      </x:c>
      <x:c r="E1103" s="30" t="str">
        <x:v>按执行角色权限读取；策略只能使用可访问快照</x:v>
      </x:c>
    </x:row>
    <x:row r="1104" ht="32" customHeight="1">
      <x:c r="A1104" s="30" t="str">
        <x:v>A011</x:v>
      </x:c>
      <x:c r="B1104" s="30" t="str">
        <x:v>F189</x:v>
      </x:c>
      <x:c r="C1104" s="30" t="str">
        <x:v>belief.source_agent_ids</x:v>
      </x:c>
      <x:c r="D1104" s="30" t="str">
        <x:v>候选输入schema</x:v>
      </x:c>
      <x:c r="E1104" s="30" t="str">
        <x:v>按执行角色权限读取；策略只能使用可访问快照</x:v>
      </x:c>
    </x:row>
    <x:row r="1105" ht="32" customHeight="1">
      <x:c r="A1105" s="30" t="str">
        <x:v>A011</x:v>
      </x:c>
      <x:c r="B1105" s="30" t="str">
        <x:v>F190</x:v>
      </x:c>
      <x:c r="C1105" s="30" t="str">
        <x:v>belief.updated_at_s</x:v>
      </x:c>
      <x:c r="D1105" s="30" t="str">
        <x:v>候选输入schema</x:v>
      </x:c>
      <x:c r="E1105" s="30" t="str">
        <x:v>按执行角色权限读取；策略只能使用可访问快照</x:v>
      </x:c>
    </x:row>
    <x:row r="1106" ht="32" customHeight="1">
      <x:c r="A1106" s="30" t="str">
        <x:v>A011</x:v>
      </x:c>
      <x:c r="B1106" s="30" t="str">
        <x:v>F191</x:v>
      </x:c>
      <x:c r="C1106" s="30" t="str">
        <x:v>belief.staleness_s</x:v>
      </x:c>
      <x:c r="D1106" s="30" t="str">
        <x:v>候选输入schema</x:v>
      </x:c>
      <x:c r="E1106" s="30" t="str">
        <x:v>按执行角色权限读取；策略只能使用可访问快照</x:v>
      </x:c>
    </x:row>
    <x:row r="1107" ht="32" customHeight="1">
      <x:c r="A1107" s="30" t="str">
        <x:v>A011</x:v>
      </x:c>
      <x:c r="B1107" s="30" t="str">
        <x:v>F192</x:v>
      </x:c>
      <x:c r="C1107" s="30" t="str">
        <x:v>belief.conflict_state</x:v>
      </x:c>
      <x:c r="D1107" s="30" t="str">
        <x:v>候选输入schema</x:v>
      </x:c>
      <x:c r="E1107" s="30" t="str">
        <x:v>按执行角色权限读取；策略只能使用可访问快照</x:v>
      </x:c>
    </x:row>
    <x:row r="1108" ht="32" customHeight="1">
      <x:c r="A1108" s="30" t="str">
        <x:v>A011</x:v>
      </x:c>
      <x:c r="B1108" s="30" t="str">
        <x:v>F193</x:v>
      </x:c>
      <x:c r="C1108" s="30" t="str">
        <x:v>belief.team_estimates</x:v>
      </x:c>
      <x:c r="D1108" s="30" t="str">
        <x:v>候选输入schema</x:v>
      </x:c>
      <x:c r="E1108" s="30" t="str">
        <x:v>按执行角色权限读取；策略只能使用可访问快照</x:v>
      </x:c>
    </x:row>
    <x:row r="1109" ht="32" customHeight="1">
      <x:c r="A1109" s="30" t="str">
        <x:v>A011</x:v>
      </x:c>
      <x:c r="B1109" s="30" t="str">
        <x:v>F194</x:v>
      </x:c>
      <x:c r="C1109" s="30" t="str">
        <x:v>belief.search_status</x:v>
      </x:c>
      <x:c r="D1109" s="30" t="str">
        <x:v>候选输入schema</x:v>
      </x:c>
      <x:c r="E1109" s="30" t="str">
        <x:v>按执行角色权限读取；策略只能使用可访问快照</x:v>
      </x:c>
    </x:row>
    <x:row r="1110" ht="32" customHeight="1">
      <x:c r="A1110" s="30" t="str">
        <x:v>A011</x:v>
      </x:c>
      <x:c r="B1110" s="30" t="str">
        <x:v>F195</x:v>
      </x:c>
      <x:c r="C1110" s="30" t="str">
        <x:v>belief.current_goal_context</x:v>
      </x:c>
      <x:c r="D1110" s="30" t="str">
        <x:v>候选输入schema</x:v>
      </x:c>
      <x:c r="E1110" s="30" t="str">
        <x:v>按执行角色权限读取；策略只能使用可访问快照</x:v>
      </x:c>
    </x:row>
    <x:row r="1111" ht="32" customHeight="1">
      <x:c r="A1111" s="30" t="str">
        <x:v>A011</x:v>
      </x:c>
      <x:c r="B1111" s="30" t="str">
        <x:v>F329</x:v>
      </x:c>
      <x:c r="C1111" s="30" t="str">
        <x:v>job.requester_id</x:v>
      </x:c>
      <x:c r="D1111" s="30" t="str">
        <x:v>候选输入schema</x:v>
      </x:c>
      <x:c r="E1111" s="30" t="str">
        <x:v>按执行角色权限读取；策略只能使用可访问快照</x:v>
      </x:c>
    </x:row>
    <x:row r="1112" ht="32" customHeight="1">
      <x:c r="A1112" s="30" t="str">
        <x:v>A011</x:v>
      </x:c>
      <x:c r="B1112" s="30" t="str">
        <x:v>F330</x:v>
      </x:c>
      <x:c r="C1112" s="30" t="str">
        <x:v>job.task_ref</x:v>
      </x:c>
      <x:c r="D1112" s="30" t="str">
        <x:v>候选输入schema</x:v>
      </x:c>
      <x:c r="E1112" s="30" t="str">
        <x:v>按执行角色权限读取；策略只能使用可访问快照</x:v>
      </x:c>
    </x:row>
    <x:row r="1113" ht="32" customHeight="1">
      <x:c r="A1113" s="30" t="str">
        <x:v>A011</x:v>
      </x:c>
      <x:c r="B1113" s="30" t="str">
        <x:v>F331</x:v>
      </x:c>
      <x:c r="C1113" s="30" t="str">
        <x:v>job.service_id</x:v>
      </x:c>
      <x:c r="D1113" s="30" t="str">
        <x:v>候选输入schema</x:v>
      </x:c>
      <x:c r="E1113" s="30" t="str">
        <x:v>按执行角色权限读取；策略只能使用可访问快照</x:v>
      </x:c>
    </x:row>
    <x:row r="1114" ht="32" customHeight="1">
      <x:c r="A1114" s="30" t="str">
        <x:v>A011</x:v>
      </x:c>
      <x:c r="B1114" s="30" t="str">
        <x:v>F332</x:v>
      </x:c>
      <x:c r="C1114" s="30" t="str">
        <x:v>job.input_evidence_ids</x:v>
      </x:c>
      <x:c r="D1114" s="30" t="str">
        <x:v>候选输入schema</x:v>
      </x:c>
      <x:c r="E1114" s="30" t="str">
        <x:v>按执行角色权限读取；策略只能使用可访问快照</x:v>
      </x:c>
    </x:row>
    <x:row r="1115" ht="32" customHeight="1">
      <x:c r="A1115" s="30" t="str">
        <x:v>A011</x:v>
      </x:c>
      <x:c r="B1115" s="30" t="str">
        <x:v>F333</x:v>
      </x:c>
      <x:c r="C1115" s="30" t="str">
        <x:v>job.input_bytes</x:v>
      </x:c>
      <x:c r="D1115" s="30" t="str">
        <x:v>候选输入schema</x:v>
      </x:c>
      <x:c r="E1115" s="30" t="str">
        <x:v>按执行角色权限读取；策略只能使用可访问快照</x:v>
      </x:c>
    </x:row>
    <x:row r="1116" ht="32" customHeight="1">
      <x:c r="A1116" s="30" t="str">
        <x:v>A011</x:v>
      </x:c>
      <x:c r="B1116" s="30" t="str">
        <x:v>F334</x:v>
      </x:c>
      <x:c r="C1116" s="30" t="str">
        <x:v>job.input_tokens</x:v>
      </x:c>
      <x:c r="D1116" s="30" t="str">
        <x:v>候选输入schema</x:v>
      </x:c>
      <x:c r="E1116" s="30" t="str">
        <x:v>按执行角色权限读取；策略只能使用可访问快照</x:v>
      </x:c>
    </x:row>
    <x:row r="1117" ht="32" customHeight="1">
      <x:c r="A1117" s="30" t="str">
        <x:v>A011</x:v>
      </x:c>
      <x:c r="B1117" s="30" t="str">
        <x:v>F335</x:v>
      </x:c>
      <x:c r="C1117" s="30" t="str">
        <x:v>job.output_tokens</x:v>
      </x:c>
      <x:c r="D1117" s="30" t="str">
        <x:v>候选输入schema</x:v>
      </x:c>
      <x:c r="E1117" s="30" t="str">
        <x:v>按执行角色权限读取；策略只能使用可访问快照</x:v>
      </x:c>
    </x:row>
    <x:row r="1118" ht="32" customHeight="1">
      <x:c r="A1118" s="30" t="str">
        <x:v>A011</x:v>
      </x:c>
      <x:c r="B1118" s="30" t="str">
        <x:v>F336</x:v>
      </x:c>
      <x:c r="C1118" s="30" t="str">
        <x:v>job.status</x:v>
      </x:c>
      <x:c r="D1118" s="30" t="str">
        <x:v>候选输入schema</x:v>
      </x:c>
      <x:c r="E1118" s="30" t="str">
        <x:v>按执行角色权限读取；策略只能使用可访问快照</x:v>
      </x:c>
    </x:row>
    <x:row r="1119" ht="32" customHeight="1">
      <x:c r="A1119" s="30" t="str">
        <x:v>A011</x:v>
      </x:c>
      <x:c r="B1119" s="30" t="str">
        <x:v>F337</x:v>
      </x:c>
      <x:c r="C1119" s="30" t="str">
        <x:v>job.queue_enter_s</x:v>
      </x:c>
      <x:c r="D1119" s="30" t="str">
        <x:v>候选输入schema</x:v>
      </x:c>
      <x:c r="E1119" s="30" t="str">
        <x:v>按执行角色权限读取；策略只能使用可访问快照</x:v>
      </x:c>
    </x:row>
    <x:row r="1120" ht="32" customHeight="1">
      <x:c r="A1120" s="30" t="str">
        <x:v>A011</x:v>
      </x:c>
      <x:c r="B1120" s="30" t="str">
        <x:v>F338</x:v>
      </x:c>
      <x:c r="C1120" s="30" t="str">
        <x:v>job.start_s</x:v>
      </x:c>
      <x:c r="D1120" s="30" t="str">
        <x:v>候选输入schema</x:v>
      </x:c>
      <x:c r="E1120" s="30" t="str">
        <x:v>按执行角色权限读取；策略只能使用可访问快照</x:v>
      </x:c>
    </x:row>
    <x:row r="1121" ht="32" customHeight="1">
      <x:c r="A1121" s="30" t="str">
        <x:v>A011</x:v>
      </x:c>
      <x:c r="B1121" s="30" t="str">
        <x:v>F339</x:v>
      </x:c>
      <x:c r="C1121" s="30" t="str">
        <x:v>job.finish_s</x:v>
      </x:c>
      <x:c r="D1121" s="30" t="str">
        <x:v>候选输入schema</x:v>
      </x:c>
      <x:c r="E1121" s="30" t="str">
        <x:v>按执行角色权限读取；策略只能使用可访问快照</x:v>
      </x:c>
    </x:row>
    <x:row r="1122" ht="32" customHeight="1">
      <x:c r="A1122" s="30" t="str">
        <x:v>A011</x:v>
      </x:c>
      <x:c r="B1122" s="30" t="str">
        <x:v>F340</x:v>
      </x:c>
      <x:c r="C1122" s="30" t="str">
        <x:v>job.deadline_s</x:v>
      </x:c>
      <x:c r="D1122" s="30" t="str">
        <x:v>候选输入schema</x:v>
      </x:c>
      <x:c r="E1122" s="30" t="str">
        <x:v>按执行角色权限读取；策略只能使用可访问快照</x:v>
      </x:c>
    </x:row>
    <x:row r="1123" ht="32" customHeight="1">
      <x:c r="A1123" s="30" t="str">
        <x:v>A011</x:v>
      </x:c>
      <x:c r="B1123" s="30" t="str">
        <x:v>F341</x:v>
      </x:c>
      <x:c r="C1123" s="30" t="str">
        <x:v>job.cpu_request</x:v>
      </x:c>
      <x:c r="D1123" s="30" t="str">
        <x:v>候选输入schema</x:v>
      </x:c>
      <x:c r="E1123" s="30" t="str">
        <x:v>按执行角色权限读取；策略只能使用可访问快照</x:v>
      </x:c>
    </x:row>
    <x:row r="1124" ht="32" customHeight="1">
      <x:c r="A1124" s="30" t="str">
        <x:v>A011</x:v>
      </x:c>
      <x:c r="B1124" s="30" t="str">
        <x:v>F342</x:v>
      </x:c>
      <x:c r="C1124" s="30" t="str">
        <x:v>job.memory_request_bytes</x:v>
      </x:c>
      <x:c r="D1124" s="30" t="str">
        <x:v>候选输入schema</x:v>
      </x:c>
      <x:c r="E1124" s="30" t="str">
        <x:v>按执行角色权限读取；策略只能使用可访问快照</x:v>
      </x:c>
    </x:row>
    <x:row r="1125" ht="32" customHeight="1">
      <x:c r="A1125" s="30" t="str">
        <x:v>A011</x:v>
      </x:c>
      <x:c r="B1125" s="30" t="str">
        <x:v>F343</x:v>
      </x:c>
      <x:c r="C1125" s="30" t="str">
        <x:v>job.prefill_s</x:v>
      </x:c>
      <x:c r="D1125" s="30" t="str">
        <x:v>候选输入schema</x:v>
      </x:c>
      <x:c r="E1125" s="30" t="str">
        <x:v>按执行角色权限读取；策略只能使用可访问快照</x:v>
      </x:c>
    </x:row>
    <x:row r="1126" ht="32" customHeight="1">
      <x:c r="A1126" s="30" t="str">
        <x:v>A011</x:v>
      </x:c>
      <x:c r="B1126" s="30" t="str">
        <x:v>F344</x:v>
      </x:c>
      <x:c r="C1126" s="30" t="str">
        <x:v>job.decode_s</x:v>
      </x:c>
      <x:c r="D1126" s="30" t="str">
        <x:v>候选输入schema</x:v>
      </x:c>
      <x:c r="E1126" s="30" t="str">
        <x:v>按执行角色权限读取；策略只能使用可访问快照</x:v>
      </x:c>
    </x:row>
    <x:row r="1127" ht="32" customHeight="1">
      <x:c r="A1127" s="30" t="str">
        <x:v>A011</x:v>
      </x:c>
      <x:c r="B1127" s="30" t="str">
        <x:v>F345</x:v>
      </x:c>
      <x:c r="C1127" s="30" t="str">
        <x:v>job.wall_time_s</x:v>
      </x:c>
      <x:c r="D1127" s="30" t="str">
        <x:v>候选输入schema</x:v>
      </x:c>
      <x:c r="E1127" s="30" t="str">
        <x:v>按执行角色权限读取；策略只能使用可访问快照</x:v>
      </x:c>
    </x:row>
    <x:row r="1128" ht="32" customHeight="1">
      <x:c r="A1128" s="30" t="str">
        <x:v>A011</x:v>
      </x:c>
      <x:c r="B1128" s="30" t="str">
        <x:v>F346</x:v>
      </x:c>
      <x:c r="C1128" s="30" t="str">
        <x:v>job.result_ref</x:v>
      </x:c>
      <x:c r="D1128" s="30" t="str">
        <x:v>候选输入schema</x:v>
      </x:c>
      <x:c r="E1128" s="30" t="str">
        <x:v>按执行角色权限读取；策略只能使用可访问快照</x:v>
      </x:c>
    </x:row>
    <x:row r="1129" ht="32" customHeight="1">
      <x:c r="A1129" s="30" t="str">
        <x:v>A011</x:v>
      </x:c>
      <x:c r="B1129" s="30" t="str">
        <x:v>F347</x:v>
      </x:c>
      <x:c r="C1129" s="30" t="str">
        <x:v>job.checkpoint_ref</x:v>
      </x:c>
      <x:c r="D1129" s="30" t="str">
        <x:v>候选输入schema</x:v>
      </x:c>
      <x:c r="E1129" s="30" t="str">
        <x:v>按执行角色权限读取；策略只能使用可访问快照</x:v>
      </x:c>
    </x:row>
    <x:row r="1130" ht="32" customHeight="1">
      <x:c r="A1130" s="30" t="str">
        <x:v>A011</x:v>
      </x:c>
      <x:c r="B1130" s="30" t="str">
        <x:v>F348</x:v>
      </x:c>
      <x:c r="C1130" s="30" t="str">
        <x:v>job.failure_reason</x:v>
      </x:c>
      <x:c r="D1130" s="30" t="str">
        <x:v>候选输入schema</x:v>
      </x:c>
      <x:c r="E1130" s="30" t="str">
        <x:v>按执行角色权限读取；策略只能使用可访问快照</x:v>
      </x:c>
    </x:row>
    <x:row r="1131" ht="32" customHeight="1">
      <x:c r="A1131" s="30" t="str">
        <x:v>A011</x:v>
      </x:c>
      <x:c r="B1131" s="30" t="str">
        <x:v>F186</x:v>
      </x:c>
      <x:c r="C1131" s="30" t="str">
        <x:v>belief.estimated_access</x:v>
      </x:c>
      <x:c r="D1131" s="30" t="str">
        <x:v>直接效果</x:v>
      </x:c>
      <x:c r="E1131" s="30" t="str">
        <x:v>经实际执行/回执提交；不是规划时提前修改</x:v>
      </x:c>
    </x:row>
    <x:row r="1132" ht="32" customHeight="1">
      <x:c r="A1132" s="30" t="str">
        <x:v>A011</x:v>
      </x:c>
      <x:c r="B1132" s="30" t="str">
        <x:v>F170</x:v>
      </x:c>
      <x:c r="C1132" s="30" t="str">
        <x:v>observation.payload_ref</x:v>
      </x:c>
      <x:c r="D1132" s="30" t="str">
        <x:v>直接效果</x:v>
      </x:c>
      <x:c r="E1132" s="30" t="str">
        <x:v>经实际执行/回执提交；不是规划时提前修改</x:v>
      </x:c>
    </x:row>
    <x:row r="1133" ht="32" customHeight="1">
      <x:c r="A1133" s="30" t="str">
        <x:v>A012</x:v>
      </x:c>
      <x:c r="B1133" s="30" t="str">
        <x:v>F044</x:v>
      </x:c>
      <x:c r="C1133" s="30" t="str">
        <x:v>road.centerline</x:v>
      </x:c>
      <x:c r="D1133" s="30" t="str">
        <x:v>候选输入schema</x:v>
      </x:c>
      <x:c r="E1133" s="30" t="str">
        <x:v>按执行角色权限读取；策略只能使用可访问快照</x:v>
      </x:c>
    </x:row>
    <x:row r="1134" ht="32" customHeight="1">
      <x:c r="A1134" s="30" t="str">
        <x:v>A012</x:v>
      </x:c>
      <x:c r="B1134" s="30" t="str">
        <x:v>F045</x:v>
      </x:c>
      <x:c r="C1134" s="30" t="str">
        <x:v>road.width_m</x:v>
      </x:c>
      <x:c r="D1134" s="30" t="str">
        <x:v>候选输入schema</x:v>
      </x:c>
      <x:c r="E1134" s="30" t="str">
        <x:v>按执行角色权限读取；策略只能使用可访问快照</x:v>
      </x:c>
    </x:row>
    <x:row r="1135" ht="32" customHeight="1">
      <x:c r="A1135" s="30" t="str">
        <x:v>A012</x:v>
      </x:c>
      <x:c r="B1135" s="30" t="str">
        <x:v>F046</x:v>
      </x:c>
      <x:c r="C1135" s="30" t="str">
        <x:v>road.surface</x:v>
      </x:c>
      <x:c r="D1135" s="30" t="str">
        <x:v>候选输入schema</x:v>
      </x:c>
      <x:c r="E1135" s="30" t="str">
        <x:v>按执行角色权限读取；策略只能使用可访问快照</x:v>
      </x:c>
    </x:row>
    <x:row r="1136" ht="32" customHeight="1">
      <x:c r="A1136" s="30" t="str">
        <x:v>A012</x:v>
      </x:c>
      <x:c r="B1136" s="30" t="str">
        <x:v>F047</x:v>
      </x:c>
      <x:c r="C1136" s="30" t="str">
        <x:v>road.from_node</x:v>
      </x:c>
      <x:c r="D1136" s="30" t="str">
        <x:v>候选输入schema</x:v>
      </x:c>
      <x:c r="E1136" s="30" t="str">
        <x:v>按执行角色权限读取；策略只能使用可访问快照</x:v>
      </x:c>
    </x:row>
    <x:row r="1137" ht="32" customHeight="1">
      <x:c r="A1137" s="30" t="str">
        <x:v>A012</x:v>
      </x:c>
      <x:c r="B1137" s="30" t="str">
        <x:v>F048</x:v>
      </x:c>
      <x:c r="C1137" s="30" t="str">
        <x:v>road.to_node</x:v>
      </x:c>
      <x:c r="D1137" s="30" t="str">
        <x:v>候选输入schema</x:v>
      </x:c>
      <x:c r="E1137" s="30" t="str">
        <x:v>按执行角色权限读取；策略只能使用可访问快照</x:v>
      </x:c>
    </x:row>
    <x:row r="1138" ht="32" customHeight="1">
      <x:c r="A1138" s="30" t="str">
        <x:v>A012</x:v>
      </x:c>
      <x:c r="B1138" s="30" t="str">
        <x:v>F049</x:v>
      </x:c>
      <x:c r="C1138" s="30" t="str">
        <x:v>road.obstacle_ids</x:v>
      </x:c>
      <x:c r="D1138" s="30" t="str">
        <x:v>候选输入schema</x:v>
      </x:c>
      <x:c r="E1138" s="30" t="str">
        <x:v>按执行角色权限读取；策略只能使用可访问快照</x:v>
      </x:c>
    </x:row>
    <x:row r="1139" ht="32" customHeight="1">
      <x:c r="A1139" s="30" t="str">
        <x:v>A012</x:v>
      </x:c>
      <x:c r="B1139" s="30" t="str">
        <x:v>F050</x:v>
      </x:c>
      <x:c r="C1139" s="30" t="str">
        <x:v>road.clear_width_m</x:v>
      </x:c>
      <x:c r="D1139" s="30" t="str">
        <x:v>候选输入schema</x:v>
      </x:c>
      <x:c r="E1139" s="30" t="str">
        <x:v>按执行角色权限读取；策略只能使用可访问快照</x:v>
      </x:c>
    </x:row>
    <x:row r="1140" ht="32" customHeight="1">
      <x:c r="A1140" s="30" t="str">
        <x:v>A012</x:v>
      </x:c>
      <x:c r="B1140" s="30" t="str">
        <x:v>F051</x:v>
      </x:c>
      <x:c r="C1140" s="30" t="str">
        <x:v>road.clear_height_m</x:v>
      </x:c>
      <x:c r="D1140" s="30" t="str">
        <x:v>候选输入schema</x:v>
      </x:c>
      <x:c r="E1140" s="30" t="str">
        <x:v>按执行角色权限读取；策略只能使用可访问快照</x:v>
      </x:c>
    </x:row>
    <x:row r="1141" ht="32" customHeight="1">
      <x:c r="A1141" s="30" t="str">
        <x:v>A012</x:v>
      </x:c>
      <x:c r="B1141" s="30" t="str">
        <x:v>F052</x:v>
      </x:c>
      <x:c r="C1141" s="30" t="str">
        <x:v>road.turn_radius_m</x:v>
      </x:c>
      <x:c r="D1141" s="30" t="str">
        <x:v>候选输入schema</x:v>
      </x:c>
      <x:c r="E1141" s="30" t="str">
        <x:v>按执行角色权限读取；策略只能使用可访问快照</x:v>
      </x:c>
    </x:row>
    <x:row r="1142" ht="32" customHeight="1">
      <x:c r="A1142" s="30" t="str">
        <x:v>A012</x:v>
      </x:c>
      <x:c r="B1142" s="30" t="str">
        <x:v>F053</x:v>
      </x:c>
      <x:c r="C1142" s="30" t="str">
        <x:v>road.step_height_m</x:v>
      </x:c>
      <x:c r="D1142" s="30" t="str">
        <x:v>候选输入schema</x:v>
      </x:c>
      <x:c r="E1142" s="30" t="str">
        <x:v>按执行角色权限读取；策略只能使用可访问快照</x:v>
      </x:c>
    </x:row>
    <x:row r="1143" ht="32" customHeight="1">
      <x:c r="A1143" s="30" t="str">
        <x:v>A012</x:v>
      </x:c>
      <x:c r="B1143" s="30" t="str">
        <x:v>F054</x:v>
      </x:c>
      <x:c r="C1143" s="30" t="str">
        <x:v>road.entry_state</x:v>
      </x:c>
      <x:c r="D1143" s="30" t="str">
        <x:v>候选输入schema</x:v>
      </x:c>
      <x:c r="E1143" s="30" t="str">
        <x:v>按执行角色权限读取；策略只能使用可访问快照</x:v>
      </x:c>
    </x:row>
    <x:row r="1144" ht="32" customHeight="1">
      <x:c r="A1144" s="30" t="str">
        <x:v>A012</x:v>
      </x:c>
      <x:c r="B1144" s="30" t="str">
        <x:v>F055</x:v>
      </x:c>
      <x:c r="C1144" s="30" t="str">
        <x:v>road.water_depth_m</x:v>
      </x:c>
      <x:c r="D1144" s="30" t="str">
        <x:v>候选输入schema</x:v>
      </x:c>
      <x:c r="E1144" s="30" t="str">
        <x:v>按执行角色权限读取；策略只能使用可访问快照</x:v>
      </x:c>
    </x:row>
    <x:row r="1145" ht="32" customHeight="1">
      <x:c r="A1145" s="30" t="str">
        <x:v>A012</x:v>
      </x:c>
      <x:c r="B1145" s="30" t="str">
        <x:v>F056</x:v>
      </x:c>
      <x:c r="C1145" s="30" t="str">
        <x:v>road.passability</x:v>
      </x:c>
      <x:c r="D1145" s="30" t="str">
        <x:v>候选输入schema</x:v>
      </x:c>
      <x:c r="E1145" s="30" t="str">
        <x:v>按执行角色权限读取；策略只能使用可访问快照</x:v>
      </x:c>
    </x:row>
    <x:row r="1146" ht="32" customHeight="1">
      <x:c r="A1146" s="30" t="str">
        <x:v>A012</x:v>
      </x:c>
      <x:c r="B1146" s="30" t="str">
        <x:v>F057</x:v>
      </x:c>
      <x:c r="C1146" s="30" t="str">
        <x:v>road.travel_cost</x:v>
      </x:c>
      <x:c r="D1146" s="30" t="str">
        <x:v>候选输入schema</x:v>
      </x:c>
      <x:c r="E1146" s="30" t="str">
        <x:v>按执行角色权限读取；策略只能使用可访问快照</x:v>
      </x:c>
    </x:row>
    <x:row r="1147" ht="32" customHeight="1">
      <x:c r="A1147" s="30" t="str">
        <x:v>A012</x:v>
      </x:c>
      <x:c r="B1147" s="30" t="str">
        <x:v>F058</x:v>
      </x:c>
      <x:c r="C1147" s="30" t="str">
        <x:v>road.topology_revision</x:v>
      </x:c>
      <x:c r="D1147" s="30" t="str">
        <x:v>候选输入schema</x:v>
      </x:c>
      <x:c r="E1147" s="30" t="str">
        <x:v>按执行角色权限读取；策略只能使用可访问快照</x:v>
      </x:c>
    </x:row>
    <x:row r="1148" ht="32" customHeight="1">
      <x:c r="A1148" s="30" t="str">
        <x:v>A012</x:v>
      </x:c>
      <x:c r="B1148" s="30" t="str">
        <x:v>F059</x:v>
      </x:c>
      <x:c r="C1148" s="30" t="str">
        <x:v>obstacle.kind</x:v>
      </x:c>
      <x:c r="D1148" s="30" t="str">
        <x:v>候选输入schema</x:v>
      </x:c>
      <x:c r="E1148" s="30" t="str">
        <x:v>按执行角色权限读取；策略只能使用可访问快照</x:v>
      </x:c>
    </x:row>
    <x:row r="1149" ht="32" customHeight="1">
      <x:c r="A1149" s="30" t="str">
        <x:v>A012</x:v>
      </x:c>
      <x:c r="B1149" s="30" t="str">
        <x:v>F060</x:v>
      </x:c>
      <x:c r="C1149" s="30" t="str">
        <x:v>obstacle.material</x:v>
      </x:c>
      <x:c r="D1149" s="30" t="str">
        <x:v>候选输入schema</x:v>
      </x:c>
      <x:c r="E1149" s="30" t="str">
        <x:v>按执行角色权限读取；策略只能使用可访问快照</x:v>
      </x:c>
    </x:row>
    <x:row r="1150" ht="32" customHeight="1">
      <x:c r="A1150" s="30" t="str">
        <x:v>A012</x:v>
      </x:c>
      <x:c r="B1150" s="30" t="str">
        <x:v>F061</x:v>
      </x:c>
      <x:c r="C1150" s="30" t="str">
        <x:v>obstacle.source_id</x:v>
      </x:c>
      <x:c r="D1150" s="30" t="str">
        <x:v>候选输入schema</x:v>
      </x:c>
      <x:c r="E1150" s="30" t="str">
        <x:v>按执行角色权限读取；策略只能使用可访问快照</x:v>
      </x:c>
    </x:row>
    <x:row r="1151" ht="32" customHeight="1">
      <x:c r="A1151" s="30" t="str">
        <x:v>A012</x:v>
      </x:c>
      <x:c r="B1151" s="30" t="str">
        <x:v>F062</x:v>
      </x:c>
      <x:c r="C1151" s="30" t="str">
        <x:v>obstacle.height_m</x:v>
      </x:c>
      <x:c r="D1151" s="30" t="str">
        <x:v>候选输入schema</x:v>
      </x:c>
      <x:c r="E1151" s="30" t="str">
        <x:v>按执行角色权限读取；策略只能使用可访问快照</x:v>
      </x:c>
    </x:row>
    <x:row r="1152" ht="32" customHeight="1">
      <x:c r="A1152" s="30" t="str">
        <x:v>A012</x:v>
      </x:c>
      <x:c r="B1152" s="30" t="str">
        <x:v>F063</x:v>
      </x:c>
      <x:c r="C1152" s="30" t="str">
        <x:v>obstacle.mass_kg</x:v>
      </x:c>
      <x:c r="D1152" s="30" t="str">
        <x:v>候选输入schema</x:v>
      </x:c>
      <x:c r="E1152" s="30" t="str">
        <x:v>按执行角色权限读取；策略只能使用可访问快照</x:v>
      </x:c>
    </x:row>
    <x:row r="1153" ht="32" customHeight="1">
      <x:c r="A1153" s="30" t="str">
        <x:v>A012</x:v>
      </x:c>
      <x:c r="B1153" s="30" t="str">
        <x:v>F064</x:v>
      </x:c>
      <x:c r="C1153" s="30" t="str">
        <x:v>obstacle.volume_m3</x:v>
      </x:c>
      <x:c r="D1153" s="30" t="str">
        <x:v>候选输入schema</x:v>
      </x:c>
      <x:c r="E1153" s="30" t="str">
        <x:v>按执行角色权限读取；策略只能使用可访问快照</x:v>
      </x:c>
    </x:row>
    <x:row r="1154" ht="32" customHeight="1">
      <x:c r="A1154" s="30" t="str">
        <x:v>A012</x:v>
      </x:c>
      <x:c r="B1154" s="30" t="str">
        <x:v>F065</x:v>
      </x:c>
      <x:c r="C1154" s="30" t="str">
        <x:v>obstacle.state</x:v>
      </x:c>
      <x:c r="D1154" s="30" t="str">
        <x:v>候选输入schema</x:v>
      </x:c>
      <x:c r="E1154" s="30" t="str">
        <x:v>按执行角色权限读取；策略只能使用可访问快照</x:v>
      </x:c>
    </x:row>
    <x:row r="1155" ht="32" customHeight="1">
      <x:c r="A1155" s="30" t="str">
        <x:v>A012</x:v>
      </x:c>
      <x:c r="B1155" s="30" t="str">
        <x:v>F066</x:v>
      </x:c>
      <x:c r="C1155" s="30" t="str">
        <x:v>obstacle.stability</x:v>
      </x:c>
      <x:c r="D1155" s="30" t="str">
        <x:v>候选输入schema</x:v>
      </x:c>
      <x:c r="E1155" s="30" t="str">
        <x:v>按执行角色权限读取；策略只能使用可访问快照</x:v>
      </x:c>
    </x:row>
    <x:row r="1156" ht="32" customHeight="1">
      <x:c r="A1156" s="30" t="str">
        <x:v>A012</x:v>
      </x:c>
      <x:c r="B1156" s="30" t="str">
        <x:v>F067</x:v>
      </x:c>
      <x:c r="C1156" s="30" t="str">
        <x:v>obstacle.clear_method</x:v>
      </x:c>
      <x:c r="D1156" s="30" t="str">
        <x:v>候选输入schema</x:v>
      </x:c>
      <x:c r="E1156" s="30" t="str">
        <x:v>按执行角色权限读取；策略只能使用可访问快照</x:v>
      </x:c>
    </x:row>
    <x:row r="1157" ht="32" customHeight="1">
      <x:c r="A1157" s="30" t="str">
        <x:v>A012</x:v>
      </x:c>
      <x:c r="B1157" s="30" t="str">
        <x:v>F068</x:v>
      </x:c>
      <x:c r="C1157" s="30" t="str">
        <x:v>obstacle.work_remaining</x:v>
      </x:c>
      <x:c r="D1157" s="30" t="str">
        <x:v>候选输入schema</x:v>
      </x:c>
      <x:c r="E1157" s="30" t="str">
        <x:v>按执行角色权限读取；策略只能使用可访问快照</x:v>
      </x:c>
    </x:row>
    <x:row r="1158" ht="32" customHeight="1">
      <x:c r="A1158" s="30" t="str">
        <x:v>A012</x:v>
      </x:c>
      <x:c r="B1158" s="30" t="str">
        <x:v>F069</x:v>
      </x:c>
      <x:c r="C1158" s="30" t="str">
        <x:v>obstacle.blocks_ids</x:v>
      </x:c>
      <x:c r="D1158" s="30" t="str">
        <x:v>候选输入schema</x:v>
      </x:c>
      <x:c r="E1158" s="30" t="str">
        <x:v>按执行角色权限读取；策略只能使用可访问快照</x:v>
      </x:c>
    </x:row>
    <x:row r="1159" ht="32" customHeight="1">
      <x:c r="A1159" s="30" t="str">
        <x:v>A012</x:v>
      </x:c>
      <x:c r="B1159" s="30" t="str">
        <x:v>F070</x:v>
      </x:c>
      <x:c r="C1159" s="30" t="str">
        <x:v>obstacle.disposal_location</x:v>
      </x:c>
      <x:c r="D1159" s="30" t="str">
        <x:v>候选输入schema</x:v>
      </x:c>
      <x:c r="E1159" s="30" t="str">
        <x:v>按执行角色权限读取；策略只能使用可访问快照</x:v>
      </x:c>
    </x:row>
    <x:row r="1160" ht="32" customHeight="1">
      <x:c r="A1160" s="30" t="str">
        <x:v>A012</x:v>
      </x:c>
      <x:c r="B1160" s="30" t="str">
        <x:v>F095</x:v>
      </x:c>
      <x:c r="C1160" s="30" t="str">
        <x:v>platform.kind</x:v>
      </x:c>
      <x:c r="D1160" s="30" t="str">
        <x:v>候选输入schema</x:v>
      </x:c>
      <x:c r="E1160" s="30" t="str">
        <x:v>按执行角色权限读取；策略只能使用可访问快照</x:v>
      </x:c>
    </x:row>
    <x:row r="1161" ht="32" customHeight="1">
      <x:c r="A1161" s="30" t="str">
        <x:v>A012</x:v>
      </x:c>
      <x:c r="B1161" s="30" t="str">
        <x:v>F096</x:v>
      </x:c>
      <x:c r="C1161" s="30" t="str">
        <x:v>platform.capability_ids</x:v>
      </x:c>
      <x:c r="D1161" s="30" t="str">
        <x:v>候选输入schema</x:v>
      </x:c>
      <x:c r="E1161" s="30" t="str">
        <x:v>按执行角色权限读取；策略只能使用可访问快照</x:v>
      </x:c>
    </x:row>
    <x:row r="1162" ht="32" customHeight="1">
      <x:c r="A1162" s="30" t="str">
        <x:v>A012</x:v>
      </x:c>
      <x:c r="B1162" s="30" t="str">
        <x:v>F097</x:v>
      </x:c>
      <x:c r="C1162" s="30" t="str">
        <x:v>platform.equipment_ids</x:v>
      </x:c>
      <x:c r="D1162" s="30" t="str">
        <x:v>候选输入schema</x:v>
      </x:c>
      <x:c r="E1162" s="30" t="str">
        <x:v>按执行角色权限读取；策略只能使用可访问快照</x:v>
      </x:c>
    </x:row>
    <x:row r="1163" ht="32" customHeight="1">
      <x:c r="A1163" s="30" t="str">
        <x:v>A012</x:v>
      </x:c>
      <x:c r="B1163" s="30" t="str">
        <x:v>F098</x:v>
      </x:c>
      <x:c r="C1163" s="30" t="str">
        <x:v>platform.width_m</x:v>
      </x:c>
      <x:c r="D1163" s="30" t="str">
        <x:v>候选输入schema</x:v>
      </x:c>
      <x:c r="E1163" s="30" t="str">
        <x:v>按执行角色权限读取；策略只能使用可访问快照</x:v>
      </x:c>
    </x:row>
    <x:row r="1164" ht="32" customHeight="1">
      <x:c r="A1164" s="30" t="str">
        <x:v>A012</x:v>
      </x:c>
      <x:c r="B1164" s="30" t="str">
        <x:v>F099</x:v>
      </x:c>
      <x:c r="C1164" s="30" t="str">
        <x:v>platform.height_m</x:v>
      </x:c>
      <x:c r="D1164" s="30" t="str">
        <x:v>候选输入schema</x:v>
      </x:c>
      <x:c r="E1164" s="30" t="str">
        <x:v>按执行角色权限读取；策略只能使用可访问快照</x:v>
      </x:c>
    </x:row>
    <x:row r="1165" ht="32" customHeight="1">
      <x:c r="A1165" s="30" t="str">
        <x:v>A012</x:v>
      </x:c>
      <x:c r="B1165" s="30" t="str">
        <x:v>F100</x:v>
      </x:c>
      <x:c r="C1165" s="30" t="str">
        <x:v>platform.swept_radius_m</x:v>
      </x:c>
      <x:c r="D1165" s="30" t="str">
        <x:v>候选输入schema</x:v>
      </x:c>
      <x:c r="E1165" s="30" t="str">
        <x:v>按执行角色权限读取；策略只能使用可访问快照</x:v>
      </x:c>
    </x:row>
    <x:row r="1166" ht="32" customHeight="1">
      <x:c r="A1166" s="30" t="str">
        <x:v>A012</x:v>
      </x:c>
      <x:c r="B1166" s="30" t="str">
        <x:v>F101</x:v>
      </x:c>
      <x:c r="C1166" s="30" t="str">
        <x:v>platform.payload_capacity_kg</x:v>
      </x:c>
      <x:c r="D1166" s="30" t="str">
        <x:v>候选输入schema</x:v>
      </x:c>
      <x:c r="E1166" s="30" t="str">
        <x:v>按执行角色权限读取；策略只能使用可访问快照</x:v>
      </x:c>
    </x:row>
    <x:row r="1167" ht="32" customHeight="1">
      <x:c r="A1167" s="30" t="str">
        <x:v>A012</x:v>
      </x:c>
      <x:c r="B1167" s="30" t="str">
        <x:v>F102</x:v>
      </x:c>
      <x:c r="C1167" s="30" t="str">
        <x:v>platform.payload_used_kg</x:v>
      </x:c>
      <x:c r="D1167" s="30" t="str">
        <x:v>候选输入schema</x:v>
      </x:c>
      <x:c r="E1167" s="30" t="str">
        <x:v>按执行角色权限读取；策略只能使用可访问快照</x:v>
      </x:c>
    </x:row>
    <x:row r="1168" ht="32" customHeight="1">
      <x:c r="A1168" s="30" t="str">
        <x:v>A012</x:v>
      </x:c>
      <x:c r="B1168" s="30" t="str">
        <x:v>F103</x:v>
      </x:c>
      <x:c r="C1168" s="30" t="str">
        <x:v>platform.payload_item_ids</x:v>
      </x:c>
      <x:c r="D1168" s="30" t="str">
        <x:v>候选输入schema</x:v>
      </x:c>
      <x:c r="E1168" s="30" t="str">
        <x:v>按执行角色权限读取；策略只能使用可访问快照</x:v>
      </x:c>
    </x:row>
    <x:row r="1169" ht="32" customHeight="1">
      <x:c r="A1169" s="30" t="str">
        <x:v>A012</x:v>
      </x:c>
      <x:c r="B1169" s="30" t="str">
        <x:v>F104</x:v>
      </x:c>
      <x:c r="C1169" s="30" t="str">
        <x:v>platform.battery_capacity_Wh</x:v>
      </x:c>
      <x:c r="D1169" s="30" t="str">
        <x:v>候选输入schema</x:v>
      </x:c>
      <x:c r="E1169" s="30" t="str">
        <x:v>按执行角色权限读取；策略只能使用可访问快照</x:v>
      </x:c>
    </x:row>
    <x:row r="1170" ht="32" customHeight="1">
      <x:c r="A1170" s="30" t="str">
        <x:v>A012</x:v>
      </x:c>
      <x:c r="B1170" s="30" t="str">
        <x:v>F105</x:v>
      </x:c>
      <x:c r="C1170" s="30" t="str">
        <x:v>platform.battery_remaining_Wh</x:v>
      </x:c>
      <x:c r="D1170" s="30" t="str">
        <x:v>候选输入schema</x:v>
      </x:c>
      <x:c r="E1170" s="30" t="str">
        <x:v>按执行角色权限读取；策略只能使用可访问快照</x:v>
      </x:c>
    </x:row>
    <x:row r="1171" ht="32" customHeight="1">
      <x:c r="A1171" s="30" t="str">
        <x:v>A012</x:v>
      </x:c>
      <x:c r="B1171" s="30" t="str">
        <x:v>F106</x:v>
      </x:c>
      <x:c r="C1171" s="30" t="str">
        <x:v>platform.reserve_Wh</x:v>
      </x:c>
      <x:c r="D1171" s="30" t="str">
        <x:v>候选输入schema</x:v>
      </x:c>
      <x:c r="E1171" s="30" t="str">
        <x:v>按执行角色权限读取；策略只能使用可访问快照</x:v>
      </x:c>
    </x:row>
    <x:row r="1172" ht="32" customHeight="1">
      <x:c r="A1172" s="30" t="str">
        <x:v>A012</x:v>
      </x:c>
      <x:c r="B1172" s="30" t="str">
        <x:v>F107</x:v>
      </x:c>
      <x:c r="C1172" s="30" t="str">
        <x:v>platform.speed_limit_mps</x:v>
      </x:c>
      <x:c r="D1172" s="30" t="str">
        <x:v>候选输入schema</x:v>
      </x:c>
      <x:c r="E1172" s="30" t="str">
        <x:v>按执行角色权限读取；策略只能使用可访问快照</x:v>
      </x:c>
    </x:row>
    <x:row r="1173" ht="32" customHeight="1">
      <x:c r="A1173" s="30" t="str">
        <x:v>A012</x:v>
      </x:c>
      <x:c r="B1173" s="30" t="str">
        <x:v>F108</x:v>
      </x:c>
      <x:c r="C1173" s="30" t="str">
        <x:v>platform.energy_model</x:v>
      </x:c>
      <x:c r="D1173" s="30" t="str">
        <x:v>候选输入schema</x:v>
      </x:c>
      <x:c r="E1173" s="30" t="str">
        <x:v>按执行角色权限读取；策略只能使用可访问快照</x:v>
      </x:c>
    </x:row>
    <x:row r="1174" ht="32" customHeight="1">
      <x:c r="A1174" s="30" t="str">
        <x:v>A012</x:v>
      </x:c>
      <x:c r="B1174" s="30" t="str">
        <x:v>F109</x:v>
      </x:c>
      <x:c r="C1174" s="30" t="str">
        <x:v>platform.motion_state</x:v>
      </x:c>
      <x:c r="D1174" s="30" t="str">
        <x:v>候选输入schema</x:v>
      </x:c>
      <x:c r="E1174" s="30" t="str">
        <x:v>按执行角色权限读取；策略只能使用可访问快照</x:v>
      </x:c>
    </x:row>
    <x:row r="1175" ht="32" customHeight="1">
      <x:c r="A1175" s="30" t="str">
        <x:v>A012</x:v>
      </x:c>
      <x:c r="B1175" s="30" t="str">
        <x:v>F110</x:v>
      </x:c>
      <x:c r="C1175" s="30" t="str">
        <x:v>platform.health_state</x:v>
      </x:c>
      <x:c r="D1175" s="30" t="str">
        <x:v>候选输入schema</x:v>
      </x:c>
      <x:c r="E1175" s="30" t="str">
        <x:v>按执行角色权限读取；策略只能使用可访问快照</x:v>
      </x:c>
    </x:row>
    <x:row r="1176" ht="32" customHeight="1">
      <x:c r="A1176" s="30" t="str">
        <x:v>A012</x:v>
      </x:c>
      <x:c r="B1176" s="30" t="str">
        <x:v>F111</x:v>
      </x:c>
      <x:c r="C1176" s="30" t="str">
        <x:v>platform.current_action_id</x:v>
      </x:c>
      <x:c r="D1176" s="30" t="str">
        <x:v>候选输入schema</x:v>
      </x:c>
      <x:c r="E1176" s="30" t="str">
        <x:v>按执行角色权限读取；策略只能使用可访问快照</x:v>
      </x:c>
    </x:row>
    <x:row r="1177" ht="32" customHeight="1">
      <x:c r="A1177" s="30" t="str">
        <x:v>A012</x:v>
      </x:c>
      <x:c r="B1177" s="30" t="str">
        <x:v>F112</x:v>
      </x:c>
      <x:c r="C1177" s="30" t="str">
        <x:v>platform.busy_until_est_s</x:v>
      </x:c>
      <x:c r="D1177" s="30" t="str">
        <x:v>候选输入schema</x:v>
      </x:c>
      <x:c r="E1177" s="30" t="str">
        <x:v>按执行角色权限读取；策略只能使用可访问快照</x:v>
      </x:c>
    </x:row>
    <x:row r="1178" ht="32" customHeight="1">
      <x:c r="A1178" s="30" t="str">
        <x:v>A012</x:v>
      </x:c>
      <x:c r="B1178" s="30" t="str">
        <x:v>F113</x:v>
      </x:c>
      <x:c r="C1178" s="30" t="str">
        <x:v>platform.return_site_id</x:v>
      </x:c>
      <x:c r="D1178" s="30" t="str">
        <x:v>候选输入schema</x:v>
      </x:c>
      <x:c r="E1178" s="30" t="str">
        <x:v>按执行角色权限读取；策略只能使用可访问快照</x:v>
      </x:c>
    </x:row>
    <x:row r="1179" ht="32" customHeight="1">
      <x:c r="A1179" s="30" t="str">
        <x:v>A012</x:v>
      </x:c>
      <x:c r="B1179" s="30" t="str">
        <x:v>F114</x:v>
      </x:c>
      <x:c r="C1179" s="30" t="str">
        <x:v>platform.water_tolerance_m</x:v>
      </x:c>
      <x:c r="D1179" s="30" t="str">
        <x:v>候选输入schema</x:v>
      </x:c>
      <x:c r="E1179" s="30" t="str">
        <x:v>按执行角色权限读取；策略只能使用可访问快照</x:v>
      </x:c>
    </x:row>
    <x:row r="1180" ht="32" customHeight="1">
      <x:c r="A1180" s="30" t="str">
        <x:v>A012</x:v>
      </x:c>
      <x:c r="B1180" s="30" t="str">
        <x:v>F115</x:v>
      </x:c>
      <x:c r="C1180" s="30" t="str">
        <x:v>platform.concurrency_policy</x:v>
      </x:c>
      <x:c r="D1180" s="30" t="str">
        <x:v>候选输入schema</x:v>
      </x:c>
      <x:c r="E1180" s="30" t="str">
        <x:v>按执行角色权限读取；策略只能使用可访问快照</x:v>
      </x:c>
    </x:row>
    <x:row r="1181" ht="32" customHeight="1">
      <x:c r="A1181" s="30" t="str">
        <x:v>A012</x:v>
      </x:c>
      <x:c r="B1181" s="30" t="str">
        <x:v>F116</x:v>
      </x:c>
      <x:c r="C1181" s="30" t="str">
        <x:v>equipment.kind</x:v>
      </x:c>
      <x:c r="D1181" s="30" t="str">
        <x:v>候选输入schema</x:v>
      </x:c>
      <x:c r="E1181" s="30" t="str">
        <x:v>按执行角色权限读取；策略只能使用可访问快照</x:v>
      </x:c>
    </x:row>
    <x:row r="1182" ht="32" customHeight="1">
      <x:c r="A1182" s="30" t="str">
        <x:v>A012</x:v>
      </x:c>
      <x:c r="B1182" s="30" t="str">
        <x:v>F117</x:v>
      </x:c>
      <x:c r="C1182" s="30" t="str">
        <x:v>equipment.enabled</x:v>
      </x:c>
      <x:c r="D1182" s="30" t="str">
        <x:v>候选输入schema</x:v>
      </x:c>
      <x:c r="E1182" s="30" t="str">
        <x:v>按执行角色权限读取；策略只能使用可访问快照</x:v>
      </x:c>
    </x:row>
    <x:row r="1183" ht="32" customHeight="1">
      <x:c r="A1183" s="30" t="str">
        <x:v>A012</x:v>
      </x:c>
      <x:c r="B1183" s="30" t="str">
        <x:v>F118</x:v>
      </x:c>
      <x:c r="C1183" s="30" t="str">
        <x:v>equipment.health</x:v>
      </x:c>
      <x:c r="D1183" s="30" t="str">
        <x:v>候选输入schema</x:v>
      </x:c>
      <x:c r="E1183" s="30" t="str">
        <x:v>按执行角色权限读取；策略只能使用可访问快照</x:v>
      </x:c>
    </x:row>
    <x:row r="1184" ht="32" customHeight="1">
      <x:c r="A1184" s="30" t="str">
        <x:v>A012</x:v>
      </x:c>
      <x:c r="B1184" s="30" t="str">
        <x:v>F119</x:v>
      </x:c>
      <x:c r="C1184" s="30" t="str">
        <x:v>equipment.rated_load_kg</x:v>
      </x:c>
      <x:c r="D1184" s="30" t="str">
        <x:v>候选输入schema</x:v>
      </x:c>
      <x:c r="E1184" s="30" t="str">
        <x:v>按执行角色权限读取；策略只能使用可访问快照</x:v>
      </x:c>
    </x:row>
    <x:row r="1185" ht="32" customHeight="1">
      <x:c r="A1185" s="30" t="str">
        <x:v>A012</x:v>
      </x:c>
      <x:c r="B1185" s="30" t="str">
        <x:v>F120</x:v>
      </x:c>
      <x:c r="C1185" s="30" t="str">
        <x:v>equipment.reach_m</x:v>
      </x:c>
      <x:c r="D1185" s="30" t="str">
        <x:v>候选输入schema</x:v>
      </x:c>
      <x:c r="E1185" s="30" t="str">
        <x:v>按执行角色权限读取；策略只能使用可访问快照</x:v>
      </x:c>
    </x:row>
    <x:row r="1186" ht="32" customHeight="1">
      <x:c r="A1186" s="30" t="str">
        <x:v>A012</x:v>
      </x:c>
      <x:c r="B1186" s="30" t="str">
        <x:v>F121</x:v>
      </x:c>
      <x:c r="C1186" s="30" t="str">
        <x:v>equipment.compatible_materials</x:v>
      </x:c>
      <x:c r="D1186" s="30" t="str">
        <x:v>候选输入schema</x:v>
      </x:c>
      <x:c r="E1186" s="30" t="str">
        <x:v>按执行角色权限读取；策略只能使用可访问快照</x:v>
      </x:c>
    </x:row>
    <x:row r="1187" ht="32" customHeight="1">
      <x:c r="A1187" s="30" t="str">
        <x:v>A012</x:v>
      </x:c>
      <x:c r="B1187" s="30" t="str">
        <x:v>F122</x:v>
      </x:c>
      <x:c r="C1187" s="30" t="str">
        <x:v>equipment.tool_size</x:v>
      </x:c>
      <x:c r="D1187" s="30" t="str">
        <x:v>候选输入schema</x:v>
      </x:c>
      <x:c r="E1187" s="30" t="str">
        <x:v>按执行角色权限读取；策略只能使用可访问快照</x:v>
      </x:c>
    </x:row>
    <x:row r="1188" ht="32" customHeight="1">
      <x:c r="A1188" s="30" t="str">
        <x:v>A012</x:v>
      </x:c>
      <x:c r="B1188" s="30" t="str">
        <x:v>F123</x:v>
      </x:c>
      <x:c r="C1188" s="30" t="str">
        <x:v>equipment.consumable_type</x:v>
      </x:c>
      <x:c r="D1188" s="30" t="str">
        <x:v>候选输入schema</x:v>
      </x:c>
      <x:c r="E1188" s="30" t="str">
        <x:v>按执行角色权限读取；策略只能使用可访问快照</x:v>
      </x:c>
    </x:row>
    <x:row r="1189" ht="32" customHeight="1">
      <x:c r="A1189" s="30" t="str">
        <x:v>A012</x:v>
      </x:c>
      <x:c r="B1189" s="30" t="str">
        <x:v>F124</x:v>
      </x:c>
      <x:c r="C1189" s="30" t="str">
        <x:v>equipment.consumable_remaining</x:v>
      </x:c>
      <x:c r="D1189" s="30" t="str">
        <x:v>候选输入schema</x:v>
      </x:c>
      <x:c r="E1189" s="30" t="str">
        <x:v>按执行角色权限读取；策略只能使用可访问快照</x:v>
      </x:c>
    </x:row>
    <x:row r="1190" ht="32" customHeight="1">
      <x:c r="A1190" s="30" t="str">
        <x:v>A012</x:v>
      </x:c>
      <x:c r="B1190" s="30" t="str">
        <x:v>F125</x:v>
      </x:c>
      <x:c r="C1190" s="30" t="str">
        <x:v>equipment.operator_authority</x:v>
      </x:c>
      <x:c r="D1190" s="30" t="str">
        <x:v>候选输入schema</x:v>
      </x:c>
      <x:c r="E1190" s="30" t="str">
        <x:v>按执行角色权限读取；策略只能使用可访问快照</x:v>
      </x:c>
    </x:row>
    <x:row r="1191" ht="32" customHeight="1">
      <x:c r="A1191" s="30" t="str">
        <x:v>A012</x:v>
      </x:c>
      <x:c r="B1191" s="30" t="str">
        <x:v>F126</x:v>
      </x:c>
      <x:c r="C1191" s="30" t="str">
        <x:v>equipment.setup_state</x:v>
      </x:c>
      <x:c r="D1191" s="30" t="str">
        <x:v>候选输入schema</x:v>
      </x:c>
      <x:c r="E1191" s="30" t="str">
        <x:v>按执行角色权限读取；策略只能使用可访问快照</x:v>
      </x:c>
    </x:row>
    <x:row r="1192" ht="32" customHeight="1">
      <x:c r="A1192" s="30" t="str">
        <x:v>A012</x:v>
      </x:c>
      <x:c r="B1192" s="30" t="str">
        <x:v>F127</x:v>
      </x:c>
      <x:c r="C1192" s="30" t="str">
        <x:v>equipment.busy_action_id</x:v>
      </x:c>
      <x:c r="D1192" s="30" t="str">
        <x:v>候选输入schema</x:v>
      </x:c>
      <x:c r="E1192" s="30" t="str">
        <x:v>按执行角色权限读取；策略只能使用可访问快照</x:v>
      </x:c>
    </x:row>
    <x:row r="1193" ht="32" customHeight="1">
      <x:c r="A1193" s="30" t="str">
        <x:v>A012</x:v>
      </x:c>
      <x:c r="B1193" s="30" t="str">
        <x:v>F196</x:v>
      </x:c>
      <x:c r="C1193" s="30" t="str">
        <x:v>task.type</x:v>
      </x:c>
      <x:c r="D1193" s="30" t="str">
        <x:v>候选输入schema</x:v>
      </x:c>
      <x:c r="E1193" s="30" t="str">
        <x:v>按执行角色权限读取；策略只能使用可访问快照</x:v>
      </x:c>
    </x:row>
    <x:row r="1194" ht="32" customHeight="1">
      <x:c r="A1194" s="30" t="str">
        <x:v>A012</x:v>
      </x:c>
      <x:c r="B1194" s="30" t="str">
        <x:v>F197</x:v>
      </x:c>
      <x:c r="C1194" s="30" t="str">
        <x:v>task.creator_id</x:v>
      </x:c>
      <x:c r="D1194" s="30" t="str">
        <x:v>候选输入schema</x:v>
      </x:c>
      <x:c r="E1194" s="30" t="str">
        <x:v>按执行角色权限读取；策略只能使用可访问快照</x:v>
      </x:c>
    </x:row>
    <x:row r="1195" ht="32" customHeight="1">
      <x:c r="A1195" s="30" t="str">
        <x:v>A012</x:v>
      </x:c>
      <x:c r="B1195" s="30" t="str">
        <x:v>F198</x:v>
      </x:c>
      <x:c r="C1195" s="30" t="str">
        <x:v>task.target_ref</x:v>
      </x:c>
      <x:c r="D1195" s="30" t="str">
        <x:v>候选输入schema</x:v>
      </x:c>
      <x:c r="E1195" s="30" t="str">
        <x:v>按执行角色权限读取；策略只能使用可访问快照</x:v>
      </x:c>
    </x:row>
    <x:row r="1196" ht="32" customHeight="1">
      <x:c r="A1196" s="30" t="str">
        <x:v>A012</x:v>
      </x:c>
      <x:c r="B1196" s="30" t="str">
        <x:v>F199</x:v>
      </x:c>
      <x:c r="C1196" s="30" t="str">
        <x:v>task.goal_predicate</x:v>
      </x:c>
      <x:c r="D1196" s="30" t="str">
        <x:v>候选输入schema</x:v>
      </x:c>
      <x:c r="E1196" s="30" t="str">
        <x:v>按执行角色权限读取；策略只能使用可访问快照</x:v>
      </x:c>
    </x:row>
    <x:row r="1197" ht="32" customHeight="1">
      <x:c r="A1197" s="30" t="str">
        <x:v>A012</x:v>
      </x:c>
      <x:c r="B1197" s="30" t="str">
        <x:v>F200</x:v>
      </x:c>
      <x:c r="C1197" s="30" t="str">
        <x:v>task.revision</x:v>
      </x:c>
      <x:c r="D1197" s="30" t="str">
        <x:v>候选输入schema</x:v>
      </x:c>
      <x:c r="E1197" s="30" t="str">
        <x:v>按执行角色权限读取；策略只能使用可访问快照</x:v>
      </x:c>
    </x:row>
    <x:row r="1198" ht="32" customHeight="1">
      <x:c r="A1198" s="30" t="str">
        <x:v>A012</x:v>
      </x:c>
      <x:c r="B1198" s="30" t="str">
        <x:v>F201</x:v>
      </x:c>
      <x:c r="C1198" s="30" t="str">
        <x:v>task.status</x:v>
      </x:c>
      <x:c r="D1198" s="30" t="str">
        <x:v>候选输入schema</x:v>
      </x:c>
      <x:c r="E1198" s="30" t="str">
        <x:v>按执行角色权限读取；策略只能使用可访问快照</x:v>
      </x:c>
    </x:row>
    <x:row r="1199" ht="32" customHeight="1">
      <x:c r="A1199" s="30" t="str">
        <x:v>A012</x:v>
      </x:c>
      <x:c r="B1199" s="30" t="str">
        <x:v>F202</x:v>
      </x:c>
      <x:c r="C1199" s="30" t="str">
        <x:v>task.priority</x:v>
      </x:c>
      <x:c r="D1199" s="30" t="str">
        <x:v>候选输入schema</x:v>
      </x:c>
      <x:c r="E1199" s="30" t="str">
        <x:v>按执行角色权限读取；策略只能使用可访问快照</x:v>
      </x:c>
    </x:row>
    <x:row r="1200" ht="32" customHeight="1">
      <x:c r="A1200" s="30" t="str">
        <x:v>A012</x:v>
      </x:c>
      <x:c r="B1200" s="30" t="str">
        <x:v>F203</x:v>
      </x:c>
      <x:c r="C1200" s="30" t="str">
        <x:v>task.deadline_s</x:v>
      </x:c>
      <x:c r="D1200" s="30" t="str">
        <x:v>候选输入schema</x:v>
      </x:c>
      <x:c r="E1200" s="30" t="str">
        <x:v>按执行角色权限读取；策略只能使用可访问快照</x:v>
      </x:c>
    </x:row>
    <x:row r="1201" ht="32" customHeight="1">
      <x:c r="A1201" s="30" t="str">
        <x:v>A012</x:v>
      </x:c>
      <x:c r="B1201" s="30" t="str">
        <x:v>F204</x:v>
      </x:c>
      <x:c r="C1201" s="30" t="str">
        <x:v>task.dependency_ids</x:v>
      </x:c>
      <x:c r="D1201" s="30" t="str">
        <x:v>候选输入schema</x:v>
      </x:c>
      <x:c r="E1201" s="30" t="str">
        <x:v>按执行角色权限读取；策略只能使用可访问快照</x:v>
      </x:c>
    </x:row>
    <x:row r="1202" ht="32" customHeight="1">
      <x:c r="A1202" s="30" t="str">
        <x:v>A012</x:v>
      </x:c>
      <x:c r="B1202" s="30" t="str">
        <x:v>F205</x:v>
      </x:c>
      <x:c r="C1202" s="30" t="str">
        <x:v>task.required_capability_ids</x:v>
      </x:c>
      <x:c r="D1202" s="30" t="str">
        <x:v>候选输入schema</x:v>
      </x:c>
      <x:c r="E1202" s="30" t="str">
        <x:v>按执行角色权限读取；策略只能使用可访问快照</x:v>
      </x:c>
    </x:row>
    <x:row r="1203" ht="32" customHeight="1">
      <x:c r="A1203" s="30" t="str">
        <x:v>A012</x:v>
      </x:c>
      <x:c r="B1203" s="30" t="str">
        <x:v>F206</x:v>
      </x:c>
      <x:c r="C1203" s="30" t="str">
        <x:v>task.resource_budget</x:v>
      </x:c>
      <x:c r="D1203" s="30" t="str">
        <x:v>候选输入schema</x:v>
      </x:c>
      <x:c r="E1203" s="30" t="str">
        <x:v>按执行角色权限读取；策略只能使用可访问快照</x:v>
      </x:c>
    </x:row>
    <x:row r="1204" ht="32" customHeight="1">
      <x:c r="A1204" s="30" t="str">
        <x:v>A012</x:v>
      </x:c>
      <x:c r="B1204" s="30" t="str">
        <x:v>F207</x:v>
      </x:c>
      <x:c r="C1204" s="30" t="str">
        <x:v>task.assigned_to</x:v>
      </x:c>
      <x:c r="D1204" s="30" t="str">
        <x:v>候选输入schema</x:v>
      </x:c>
      <x:c r="E1204" s="30" t="str">
        <x:v>按执行角色权限读取；策略只能使用可访问快照</x:v>
      </x:c>
    </x:row>
    <x:row r="1205" ht="32" customHeight="1">
      <x:c r="A1205" s="30" t="str">
        <x:v>A012</x:v>
      </x:c>
      <x:c r="B1205" s="30" t="str">
        <x:v>F208</x:v>
      </x:c>
      <x:c r="C1205" s="30" t="str">
        <x:v>task.accepted_by</x:v>
      </x:c>
      <x:c r="D1205" s="30" t="str">
        <x:v>候选输入schema</x:v>
      </x:c>
      <x:c r="E1205" s="30" t="str">
        <x:v>按执行角色权限读取；策略只能使用可访问快照</x:v>
      </x:c>
    </x:row>
    <x:row r="1206" ht="32" customHeight="1">
      <x:c r="A1206" s="30" t="str">
        <x:v>A012</x:v>
      </x:c>
      <x:c r="B1206" s="30" t="str">
        <x:v>F209</x:v>
      </x:c>
      <x:c r="C1206" s="30" t="str">
        <x:v>task.commitment_window</x:v>
      </x:c>
      <x:c r="D1206" s="30" t="str">
        <x:v>候选输入schema</x:v>
      </x:c>
      <x:c r="E1206" s="30" t="str">
        <x:v>按执行角色权限读取；策略只能使用可访问快照</x:v>
      </x:c>
    </x:row>
    <x:row r="1207" ht="32" customHeight="1">
      <x:c r="A1207" s="30" t="str">
        <x:v>A012</x:v>
      </x:c>
      <x:c r="B1207" s="30" t="str">
        <x:v>F210</x:v>
      </x:c>
      <x:c r="C1207" s="30" t="str">
        <x:v>task.progress</x:v>
      </x:c>
      <x:c r="D1207" s="30" t="str">
        <x:v>候选输入schema</x:v>
      </x:c>
      <x:c r="E1207" s="30" t="str">
        <x:v>按执行角色权限读取；策略只能使用可访问快照</x:v>
      </x:c>
    </x:row>
    <x:row r="1208" ht="32" customHeight="1">
      <x:c r="A1208" s="30" t="str">
        <x:v>A012</x:v>
      </x:c>
      <x:c r="B1208" s="30" t="str">
        <x:v>F211</x:v>
      </x:c>
      <x:c r="C1208" s="30" t="str">
        <x:v>task.active_action_ids</x:v>
      </x:c>
      <x:c r="D1208" s="30" t="str">
        <x:v>候选输入schema</x:v>
      </x:c>
      <x:c r="E1208" s="30" t="str">
        <x:v>按执行角色权限读取；策略只能使用可访问快照</x:v>
      </x:c>
    </x:row>
    <x:row r="1209" ht="32" customHeight="1">
      <x:c r="A1209" s="30" t="str">
        <x:v>A012</x:v>
      </x:c>
      <x:c r="B1209" s="30" t="str">
        <x:v>F212</x:v>
      </x:c>
      <x:c r="C1209" s="30" t="str">
        <x:v>task.interruptibility</x:v>
      </x:c>
      <x:c r="D1209" s="30" t="str">
        <x:v>候选输入schema</x:v>
      </x:c>
      <x:c r="E1209" s="30" t="str">
        <x:v>按执行角色权限读取；策略只能使用可访问快照</x:v>
      </x:c>
    </x:row>
    <x:row r="1210" ht="32" customHeight="1">
      <x:c r="A1210" s="30" t="str">
        <x:v>A012</x:v>
      </x:c>
      <x:c r="B1210" s="30" t="str">
        <x:v>F213</x:v>
      </x:c>
      <x:c r="C1210" s="30" t="str">
        <x:v>task.original_task_id</x:v>
      </x:c>
      <x:c r="D1210" s="30" t="str">
        <x:v>候选输入schema</x:v>
      </x:c>
      <x:c r="E1210" s="30" t="str">
        <x:v>按执行角色权限读取；策略只能使用可访问快照</x:v>
      </x:c>
    </x:row>
    <x:row r="1211" ht="32" customHeight="1">
      <x:c r="A1211" s="30" t="str">
        <x:v>A012</x:v>
      </x:c>
      <x:c r="B1211" s="30" t="str">
        <x:v>F214</x:v>
      </x:c>
      <x:c r="C1211" s="30" t="str">
        <x:v>task.resume_checkpoint</x:v>
      </x:c>
      <x:c r="D1211" s="30" t="str">
        <x:v>候选输入schema</x:v>
      </x:c>
      <x:c r="E1211" s="30" t="str">
        <x:v>按执行角色权限读取；策略只能使用可访问快照</x:v>
      </x:c>
    </x:row>
    <x:row r="1212" ht="32" customHeight="1">
      <x:c r="A1212" s="30" t="str">
        <x:v>A012</x:v>
      </x:c>
      <x:c r="B1212" s="30" t="str">
        <x:v>F215</x:v>
      </x:c>
      <x:c r="C1212" s="30" t="str">
        <x:v>task.handoff_target_id</x:v>
      </x:c>
      <x:c r="D1212" s="30" t="str">
        <x:v>候选输入schema</x:v>
      </x:c>
      <x:c r="E1212" s="30" t="str">
        <x:v>按执行角色权限读取；策略只能使用可访问快照</x:v>
      </x:c>
    </x:row>
    <x:row r="1213" ht="32" customHeight="1">
      <x:c r="A1213" s="30" t="str">
        <x:v>A012</x:v>
      </x:c>
      <x:c r="B1213" s="30" t="str">
        <x:v>F216</x:v>
      </x:c>
      <x:c r="C1213" s="30" t="str">
        <x:v>task.result_evidence_ids</x:v>
      </x:c>
      <x:c r="D1213" s="30" t="str">
        <x:v>候选输入schema</x:v>
      </x:c>
      <x:c r="E1213" s="30" t="str">
        <x:v>按执行角色权限读取；策略只能使用可访问快照</x:v>
      </x:c>
    </x:row>
    <x:row r="1214" ht="32" customHeight="1">
      <x:c r="A1214" s="30" t="str">
        <x:v>A012</x:v>
      </x:c>
      <x:c r="B1214" s="30" t="str">
        <x:v>F217</x:v>
      </x:c>
      <x:c r="C1214" s="30" t="str">
        <x:v>task.failure_reason</x:v>
      </x:c>
      <x:c r="D1214" s="30" t="str">
        <x:v>候选输入schema</x:v>
      </x:c>
      <x:c r="E1214" s="30" t="str">
        <x:v>按执行角色权限读取；策略只能使用可访问快照</x:v>
      </x:c>
    </x:row>
    <x:row r="1215" ht="32" customHeight="1">
      <x:c r="A1215" s="30" t="str">
        <x:v>A012</x:v>
      </x:c>
      <x:c r="B1215" s="30" t="str">
        <x:v>F218</x:v>
      </x:c>
      <x:c r="C1215" s="30" t="str">
        <x:v>task.last_event_s</x:v>
      </x:c>
      <x:c r="D1215" s="30" t="str">
        <x:v>候选输入schema</x:v>
      </x:c>
      <x:c r="E1215" s="30" t="str">
        <x:v>按执行角色权限读取；策略只能使用可访问快照</x:v>
      </x:c>
    </x:row>
    <x:row r="1216" ht="32" customHeight="1">
      <x:c r="A1216" s="30" t="str">
        <x:v>A012</x:v>
      </x:c>
      <x:c r="B1216" s="30" t="str">
        <x:v>F219</x:v>
      </x:c>
      <x:c r="C1216" s="30" t="str">
        <x:v>task.opportunity_cost</x:v>
      </x:c>
      <x:c r="D1216" s="30" t="str">
        <x:v>候选输入schema</x:v>
      </x:c>
      <x:c r="E1216" s="30" t="str">
        <x:v>按执行角色权限读取；策略只能使用可访问快照</x:v>
      </x:c>
    </x:row>
    <x:row r="1217" ht="32" customHeight="1">
      <x:c r="A1217" s="30" t="str">
        <x:v>A012</x:v>
      </x:c>
      <x:c r="B1217" s="30" t="str">
        <x:v>F230</x:v>
      </x:c>
      <x:c r="C1217" s="30" t="str">
        <x:v>action.type</x:v>
      </x:c>
      <x:c r="D1217" s="30" t="str">
        <x:v>候选输入schema</x:v>
      </x:c>
      <x:c r="E1217" s="30" t="str">
        <x:v>按执行角色权限读取；策略只能使用可访问快照</x:v>
      </x:c>
    </x:row>
    <x:row r="1218" ht="32" customHeight="1">
      <x:c r="A1218" s="30" t="str">
        <x:v>A012</x:v>
      </x:c>
      <x:c r="B1218" s="30" t="str">
        <x:v>F231</x:v>
      </x:c>
      <x:c r="C1218" s="30" t="str">
        <x:v>action.executor_id</x:v>
      </x:c>
      <x:c r="D1218" s="30" t="str">
        <x:v>候选输入schema</x:v>
      </x:c>
      <x:c r="E1218" s="30" t="str">
        <x:v>按执行角色权限读取；策略只能使用可访问快照</x:v>
      </x:c>
    </x:row>
    <x:row r="1219" ht="32" customHeight="1">
      <x:c r="A1219" s="30" t="str">
        <x:v>A012</x:v>
      </x:c>
      <x:c r="B1219" s="30" t="str">
        <x:v>F232</x:v>
      </x:c>
      <x:c r="C1219" s="30" t="str">
        <x:v>action.task_ref</x:v>
      </x:c>
      <x:c r="D1219" s="30" t="str">
        <x:v>候选输入schema</x:v>
      </x:c>
      <x:c r="E1219" s="30" t="str">
        <x:v>按执行角色权限读取；策略只能使用可访问快照</x:v>
      </x:c>
    </x:row>
    <x:row r="1220" ht="32" customHeight="1">
      <x:c r="A1220" s="30" t="str">
        <x:v>A012</x:v>
      </x:c>
      <x:c r="B1220" s="30" t="str">
        <x:v>F233</x:v>
      </x:c>
      <x:c r="C1220" s="30" t="str">
        <x:v>action.target_ref</x:v>
      </x:c>
      <x:c r="D1220" s="30" t="str">
        <x:v>候选输入schema</x:v>
      </x:c>
      <x:c r="E1220" s="30" t="str">
        <x:v>按执行角色权限读取；策略只能使用可访问快照</x:v>
      </x:c>
    </x:row>
    <x:row r="1221" ht="32" customHeight="1">
      <x:c r="A1221" s="30" t="str">
        <x:v>A012</x:v>
      </x:c>
      <x:c r="B1221" s="30" t="str">
        <x:v>F234</x:v>
      </x:c>
      <x:c r="C1221" s="30" t="str">
        <x:v>action.parameters</x:v>
      </x:c>
      <x:c r="D1221" s="30" t="str">
        <x:v>候选输入schema</x:v>
      </x:c>
      <x:c r="E1221" s="30" t="str">
        <x:v>按执行角色权限读取；策略只能使用可访问快照</x:v>
      </x:c>
    </x:row>
    <x:row r="1222" ht="32" customHeight="1">
      <x:c r="A1222" s="30" t="str">
        <x:v>A012</x:v>
      </x:c>
      <x:c r="B1222" s="30" t="str">
        <x:v>F235</x:v>
      </x:c>
      <x:c r="C1222" s="30" t="str">
        <x:v>action.status</x:v>
      </x:c>
      <x:c r="D1222" s="30" t="str">
        <x:v>候选输入schema</x:v>
      </x:c>
      <x:c r="E1222" s="30" t="str">
        <x:v>按执行角色权限读取；策略只能使用可访问快照</x:v>
      </x:c>
    </x:row>
    <x:row r="1223" ht="32" customHeight="1">
      <x:c r="A1223" s="30" t="str">
        <x:v>A012</x:v>
      </x:c>
      <x:c r="B1223" s="30" t="str">
        <x:v>F236</x:v>
      </x:c>
      <x:c r="C1223" s="30" t="str">
        <x:v>action.start_s</x:v>
      </x:c>
      <x:c r="D1223" s="30" t="str">
        <x:v>候选输入schema</x:v>
      </x:c>
      <x:c r="E1223" s="30" t="str">
        <x:v>按执行角色权限读取；策略只能使用可访问快照</x:v>
      </x:c>
    </x:row>
    <x:row r="1224" ht="32" customHeight="1">
      <x:c r="A1224" s="30" t="str">
        <x:v>A012</x:v>
      </x:c>
      <x:c r="B1224" s="30" t="str">
        <x:v>F237</x:v>
      </x:c>
      <x:c r="C1224" s="30" t="str">
        <x:v>action.finish_s</x:v>
      </x:c>
      <x:c r="D1224" s="30" t="str">
        <x:v>候选输入schema</x:v>
      </x:c>
      <x:c r="E1224" s="30" t="str">
        <x:v>按执行角色权限读取；策略只能使用可访问快照</x:v>
      </x:c>
    </x:row>
    <x:row r="1225" ht="32" customHeight="1">
      <x:c r="A1225" s="30" t="str">
        <x:v>A012</x:v>
      </x:c>
      <x:c r="B1225" s="30" t="str">
        <x:v>F238</x:v>
      </x:c>
      <x:c r="C1225" s="30" t="str">
        <x:v>action.reserved_resources</x:v>
      </x:c>
      <x:c r="D1225" s="30" t="str">
        <x:v>候选输入schema</x:v>
      </x:c>
      <x:c r="E1225" s="30" t="str">
        <x:v>按执行角色权限读取；策略只能使用可访问快照</x:v>
      </x:c>
    </x:row>
    <x:row r="1226" ht="32" customHeight="1">
      <x:c r="A1226" s="30" t="str">
        <x:v>A012</x:v>
      </x:c>
      <x:c r="B1226" s="30" t="str">
        <x:v>F239</x:v>
      </x:c>
      <x:c r="C1226" s="30" t="str">
        <x:v>action.consumed_resources</x:v>
      </x:c>
      <x:c r="D1226" s="30" t="str">
        <x:v>候选输入schema</x:v>
      </x:c>
      <x:c r="E1226" s="30" t="str">
        <x:v>按执行角色权限读取；策略只能使用可访问快照</x:v>
      </x:c>
    </x:row>
    <x:row r="1227" ht="32" customHeight="1">
      <x:c r="A1227" s="30" t="str">
        <x:v>A012</x:v>
      </x:c>
      <x:c r="B1227" s="30" t="str">
        <x:v>F240</x:v>
      </x:c>
      <x:c r="C1227" s="30" t="str">
        <x:v>action.feedback</x:v>
      </x:c>
      <x:c r="D1227" s="30" t="str">
        <x:v>候选输入schema</x:v>
      </x:c>
      <x:c r="E1227" s="30" t="str">
        <x:v>按执行角色权限读取；策略只能使用可访问快照</x:v>
      </x:c>
    </x:row>
    <x:row r="1228" ht="32" customHeight="1">
      <x:c r="A1228" s="30" t="str">
        <x:v>A012</x:v>
      </x:c>
      <x:c r="B1228" s="30" t="str">
        <x:v>F241</x:v>
      </x:c>
      <x:c r="C1228" s="30" t="str">
        <x:v>action.result</x:v>
      </x:c>
      <x:c r="D1228" s="30" t="str">
        <x:v>候选输入schema</x:v>
      </x:c>
      <x:c r="E1228" s="30" t="str">
        <x:v>按执行角色权限读取；策略只能使用可访问快照</x:v>
      </x:c>
    </x:row>
    <x:row r="1229" ht="32" customHeight="1">
      <x:c r="A1229" s="30" t="str">
        <x:v>A012</x:v>
      </x:c>
      <x:c r="B1229" s="30" t="str">
        <x:v>F242</x:v>
      </x:c>
      <x:c r="C1229" s="30" t="str">
        <x:v>action.rejection_code</x:v>
      </x:c>
      <x:c r="D1229" s="30" t="str">
        <x:v>候选输入schema</x:v>
      </x:c>
      <x:c r="E1229" s="30" t="str">
        <x:v>按执行角色权限读取；策略只能使用可访问快照</x:v>
      </x:c>
    </x:row>
    <x:row r="1230" ht="32" customHeight="1">
      <x:c r="A1230" s="30" t="str">
        <x:v>A012</x:v>
      </x:c>
      <x:c r="B1230" s="30" t="str">
        <x:v>F243</x:v>
      </x:c>
      <x:c r="C1230" s="30" t="str">
        <x:v>action.failure_code</x:v>
      </x:c>
      <x:c r="D1230" s="30" t="str">
        <x:v>候选输入schema</x:v>
      </x:c>
      <x:c r="E1230" s="30" t="str">
        <x:v>按执行角色权限读取；策略只能使用可访问快照</x:v>
      </x:c>
    </x:row>
    <x:row r="1231" ht="32" customHeight="1">
      <x:c r="A1231" s="30" t="str">
        <x:v>A012</x:v>
      </x:c>
      <x:c r="B1231" s="30" t="str">
        <x:v>F244</x:v>
      </x:c>
      <x:c r="C1231" s="30" t="str">
        <x:v>action.cancel_requested</x:v>
      </x:c>
      <x:c r="D1231" s="30" t="str">
        <x:v>候选输入schema</x:v>
      </x:c>
      <x:c r="E1231" s="30" t="str">
        <x:v>按执行角色权限读取；策略只能使用可访问快照</x:v>
      </x:c>
    </x:row>
    <x:row r="1232" ht="32" customHeight="1">
      <x:c r="A1232" s="30" t="str">
        <x:v>A012</x:v>
      </x:c>
      <x:c r="B1232" s="30" t="str">
        <x:v>F245</x:v>
      </x:c>
      <x:c r="C1232" s="30" t="str">
        <x:v>action.backend_mode</x:v>
      </x:c>
      <x:c r="D1232" s="30" t="str">
        <x:v>候选输入schema</x:v>
      </x:c>
      <x:c r="E1232" s="30" t="str">
        <x:v>按执行角色权限读取；策略只能使用可访问快照</x:v>
      </x:c>
    </x:row>
    <x:row r="1233" ht="32" customHeight="1">
      <x:c r="A1233" s="30" t="str">
        <x:v>A012</x:v>
      </x:c>
      <x:c r="B1233" s="30" t="str">
        <x:v>F065</x:v>
      </x:c>
      <x:c r="C1233" s="30" t="str">
        <x:v>obstacle.state</x:v>
      </x:c>
      <x:c r="D1233" s="30" t="str">
        <x:v>直接效果</x:v>
      </x:c>
      <x:c r="E1233" s="30" t="str">
        <x:v>经实际执行/回执提交；不是规划时提前修改</x:v>
      </x:c>
    </x:row>
    <x:row r="1234" ht="32" customHeight="1">
      <x:c r="A1234" s="30" t="str">
        <x:v>A012</x:v>
      </x:c>
      <x:c r="B1234" s="30" t="str">
        <x:v>F068</x:v>
      </x:c>
      <x:c r="C1234" s="30" t="str">
        <x:v>obstacle.work_remaining</x:v>
      </x:c>
      <x:c r="D1234" s="30" t="str">
        <x:v>直接效果</x:v>
      </x:c>
      <x:c r="E1234" s="30" t="str">
        <x:v>经实际执行/回执提交；不是规划时提前修改</x:v>
      </x:c>
    </x:row>
    <x:row r="1235" ht="32" customHeight="1">
      <x:c r="A1235" s="30" t="str">
        <x:v>A012</x:v>
      </x:c>
      <x:c r="B1235" s="30" t="str">
        <x:v>F070</x:v>
      </x:c>
      <x:c r="C1235" s="30" t="str">
        <x:v>obstacle.disposal_location</x:v>
      </x:c>
      <x:c r="D1235" s="30" t="str">
        <x:v>直接效果</x:v>
      </x:c>
      <x:c r="E1235" s="30" t="str">
        <x:v>经实际执行/回执提交；不是规划时提前修改</x:v>
      </x:c>
    </x:row>
    <x:row r="1236" ht="32" customHeight="1">
      <x:c r="A1236" s="30" t="str">
        <x:v>A013</x:v>
      </x:c>
      <x:c r="B1236" s="30" t="str">
        <x:v>F044</x:v>
      </x:c>
      <x:c r="C1236" s="30" t="str">
        <x:v>road.centerline</x:v>
      </x:c>
      <x:c r="D1236" s="30" t="str">
        <x:v>候选输入schema</x:v>
      </x:c>
      <x:c r="E1236" s="30" t="str">
        <x:v>按执行角色权限读取；策略只能使用可访问快照</x:v>
      </x:c>
    </x:row>
    <x:row r="1237" ht="32" customHeight="1">
      <x:c r="A1237" s="30" t="str">
        <x:v>A013</x:v>
      </x:c>
      <x:c r="B1237" s="30" t="str">
        <x:v>F045</x:v>
      </x:c>
      <x:c r="C1237" s="30" t="str">
        <x:v>road.width_m</x:v>
      </x:c>
      <x:c r="D1237" s="30" t="str">
        <x:v>候选输入schema</x:v>
      </x:c>
      <x:c r="E1237" s="30" t="str">
        <x:v>按执行角色权限读取；策略只能使用可访问快照</x:v>
      </x:c>
    </x:row>
    <x:row r="1238" ht="32" customHeight="1">
      <x:c r="A1238" s="30" t="str">
        <x:v>A013</x:v>
      </x:c>
      <x:c r="B1238" s="30" t="str">
        <x:v>F046</x:v>
      </x:c>
      <x:c r="C1238" s="30" t="str">
        <x:v>road.surface</x:v>
      </x:c>
      <x:c r="D1238" s="30" t="str">
        <x:v>候选输入schema</x:v>
      </x:c>
      <x:c r="E1238" s="30" t="str">
        <x:v>按执行角色权限读取；策略只能使用可访问快照</x:v>
      </x:c>
    </x:row>
    <x:row r="1239" ht="32" customHeight="1">
      <x:c r="A1239" s="30" t="str">
        <x:v>A013</x:v>
      </x:c>
      <x:c r="B1239" s="30" t="str">
        <x:v>F047</x:v>
      </x:c>
      <x:c r="C1239" s="30" t="str">
        <x:v>road.from_node</x:v>
      </x:c>
      <x:c r="D1239" s="30" t="str">
        <x:v>候选输入schema</x:v>
      </x:c>
      <x:c r="E1239" s="30" t="str">
        <x:v>按执行角色权限读取；策略只能使用可访问快照</x:v>
      </x:c>
    </x:row>
    <x:row r="1240" ht="32" customHeight="1">
      <x:c r="A1240" s="30" t="str">
        <x:v>A013</x:v>
      </x:c>
      <x:c r="B1240" s="30" t="str">
        <x:v>F048</x:v>
      </x:c>
      <x:c r="C1240" s="30" t="str">
        <x:v>road.to_node</x:v>
      </x:c>
      <x:c r="D1240" s="30" t="str">
        <x:v>候选输入schema</x:v>
      </x:c>
      <x:c r="E1240" s="30" t="str">
        <x:v>按执行角色权限读取；策略只能使用可访问快照</x:v>
      </x:c>
    </x:row>
    <x:row r="1241" ht="32" customHeight="1">
      <x:c r="A1241" s="30" t="str">
        <x:v>A013</x:v>
      </x:c>
      <x:c r="B1241" s="30" t="str">
        <x:v>F049</x:v>
      </x:c>
      <x:c r="C1241" s="30" t="str">
        <x:v>road.obstacle_ids</x:v>
      </x:c>
      <x:c r="D1241" s="30" t="str">
        <x:v>候选输入schema</x:v>
      </x:c>
      <x:c r="E1241" s="30" t="str">
        <x:v>按执行角色权限读取；策略只能使用可访问快照</x:v>
      </x:c>
    </x:row>
    <x:row r="1242" ht="32" customHeight="1">
      <x:c r="A1242" s="30" t="str">
        <x:v>A013</x:v>
      </x:c>
      <x:c r="B1242" s="30" t="str">
        <x:v>F050</x:v>
      </x:c>
      <x:c r="C1242" s="30" t="str">
        <x:v>road.clear_width_m</x:v>
      </x:c>
      <x:c r="D1242" s="30" t="str">
        <x:v>候选输入schema</x:v>
      </x:c>
      <x:c r="E1242" s="30" t="str">
        <x:v>按执行角色权限读取；策略只能使用可访问快照</x:v>
      </x:c>
    </x:row>
    <x:row r="1243" ht="32" customHeight="1">
      <x:c r="A1243" s="30" t="str">
        <x:v>A013</x:v>
      </x:c>
      <x:c r="B1243" s="30" t="str">
        <x:v>F051</x:v>
      </x:c>
      <x:c r="C1243" s="30" t="str">
        <x:v>road.clear_height_m</x:v>
      </x:c>
      <x:c r="D1243" s="30" t="str">
        <x:v>候选输入schema</x:v>
      </x:c>
      <x:c r="E1243" s="30" t="str">
        <x:v>按执行角色权限读取；策略只能使用可访问快照</x:v>
      </x:c>
    </x:row>
    <x:row r="1244" ht="32" customHeight="1">
      <x:c r="A1244" s="30" t="str">
        <x:v>A013</x:v>
      </x:c>
      <x:c r="B1244" s="30" t="str">
        <x:v>F052</x:v>
      </x:c>
      <x:c r="C1244" s="30" t="str">
        <x:v>road.turn_radius_m</x:v>
      </x:c>
      <x:c r="D1244" s="30" t="str">
        <x:v>候选输入schema</x:v>
      </x:c>
      <x:c r="E1244" s="30" t="str">
        <x:v>按执行角色权限读取；策略只能使用可访问快照</x:v>
      </x:c>
    </x:row>
    <x:row r="1245" ht="32" customHeight="1">
      <x:c r="A1245" s="30" t="str">
        <x:v>A013</x:v>
      </x:c>
      <x:c r="B1245" s="30" t="str">
        <x:v>F053</x:v>
      </x:c>
      <x:c r="C1245" s="30" t="str">
        <x:v>road.step_height_m</x:v>
      </x:c>
      <x:c r="D1245" s="30" t="str">
        <x:v>候选输入schema</x:v>
      </x:c>
      <x:c r="E1245" s="30" t="str">
        <x:v>按执行角色权限读取；策略只能使用可访问快照</x:v>
      </x:c>
    </x:row>
    <x:row r="1246" ht="32" customHeight="1">
      <x:c r="A1246" s="30" t="str">
        <x:v>A013</x:v>
      </x:c>
      <x:c r="B1246" s="30" t="str">
        <x:v>F054</x:v>
      </x:c>
      <x:c r="C1246" s="30" t="str">
        <x:v>road.entry_state</x:v>
      </x:c>
      <x:c r="D1246" s="30" t="str">
        <x:v>候选输入schema</x:v>
      </x:c>
      <x:c r="E1246" s="30" t="str">
        <x:v>按执行角色权限读取；策略只能使用可访问快照</x:v>
      </x:c>
    </x:row>
    <x:row r="1247" ht="32" customHeight="1">
      <x:c r="A1247" s="30" t="str">
        <x:v>A013</x:v>
      </x:c>
      <x:c r="B1247" s="30" t="str">
        <x:v>F055</x:v>
      </x:c>
      <x:c r="C1247" s="30" t="str">
        <x:v>road.water_depth_m</x:v>
      </x:c>
      <x:c r="D1247" s="30" t="str">
        <x:v>候选输入schema</x:v>
      </x:c>
      <x:c r="E1247" s="30" t="str">
        <x:v>按执行角色权限读取；策略只能使用可访问快照</x:v>
      </x:c>
    </x:row>
    <x:row r="1248" ht="32" customHeight="1">
      <x:c r="A1248" s="30" t="str">
        <x:v>A013</x:v>
      </x:c>
      <x:c r="B1248" s="30" t="str">
        <x:v>F056</x:v>
      </x:c>
      <x:c r="C1248" s="30" t="str">
        <x:v>road.passability</x:v>
      </x:c>
      <x:c r="D1248" s="30" t="str">
        <x:v>候选输入schema</x:v>
      </x:c>
      <x:c r="E1248" s="30" t="str">
        <x:v>按执行角色权限读取；策略只能使用可访问快照</x:v>
      </x:c>
    </x:row>
    <x:row r="1249" ht="32" customHeight="1">
      <x:c r="A1249" s="30" t="str">
        <x:v>A013</x:v>
      </x:c>
      <x:c r="B1249" s="30" t="str">
        <x:v>F057</x:v>
      </x:c>
      <x:c r="C1249" s="30" t="str">
        <x:v>road.travel_cost</x:v>
      </x:c>
      <x:c r="D1249" s="30" t="str">
        <x:v>候选输入schema</x:v>
      </x:c>
      <x:c r="E1249" s="30" t="str">
        <x:v>按执行角色权限读取；策略只能使用可访问快照</x:v>
      </x:c>
    </x:row>
    <x:row r="1250" ht="32" customHeight="1">
      <x:c r="A1250" s="30" t="str">
        <x:v>A013</x:v>
      </x:c>
      <x:c r="B1250" s="30" t="str">
        <x:v>F058</x:v>
      </x:c>
      <x:c r="C1250" s="30" t="str">
        <x:v>road.topology_revision</x:v>
      </x:c>
      <x:c r="D1250" s="30" t="str">
        <x:v>候选输入schema</x:v>
      </x:c>
      <x:c r="E1250" s="30" t="str">
        <x:v>按执行角色权限读取；策略只能使用可访问快照</x:v>
      </x:c>
    </x:row>
    <x:row r="1251" ht="32" customHeight="1">
      <x:c r="A1251" s="30" t="str">
        <x:v>A013</x:v>
      </x:c>
      <x:c r="B1251" s="30" t="str">
        <x:v>F059</x:v>
      </x:c>
      <x:c r="C1251" s="30" t="str">
        <x:v>obstacle.kind</x:v>
      </x:c>
      <x:c r="D1251" s="30" t="str">
        <x:v>候选输入schema</x:v>
      </x:c>
      <x:c r="E1251" s="30" t="str">
        <x:v>按执行角色权限读取；策略只能使用可访问快照</x:v>
      </x:c>
    </x:row>
    <x:row r="1252" ht="32" customHeight="1">
      <x:c r="A1252" s="30" t="str">
        <x:v>A013</x:v>
      </x:c>
      <x:c r="B1252" s="30" t="str">
        <x:v>F060</x:v>
      </x:c>
      <x:c r="C1252" s="30" t="str">
        <x:v>obstacle.material</x:v>
      </x:c>
      <x:c r="D1252" s="30" t="str">
        <x:v>候选输入schema</x:v>
      </x:c>
      <x:c r="E1252" s="30" t="str">
        <x:v>按执行角色权限读取；策略只能使用可访问快照</x:v>
      </x:c>
    </x:row>
    <x:row r="1253" ht="32" customHeight="1">
      <x:c r="A1253" s="30" t="str">
        <x:v>A013</x:v>
      </x:c>
      <x:c r="B1253" s="30" t="str">
        <x:v>F061</x:v>
      </x:c>
      <x:c r="C1253" s="30" t="str">
        <x:v>obstacle.source_id</x:v>
      </x:c>
      <x:c r="D1253" s="30" t="str">
        <x:v>候选输入schema</x:v>
      </x:c>
      <x:c r="E1253" s="30" t="str">
        <x:v>按执行角色权限读取；策略只能使用可访问快照</x:v>
      </x:c>
    </x:row>
    <x:row r="1254" ht="32" customHeight="1">
      <x:c r="A1254" s="30" t="str">
        <x:v>A013</x:v>
      </x:c>
      <x:c r="B1254" s="30" t="str">
        <x:v>F062</x:v>
      </x:c>
      <x:c r="C1254" s="30" t="str">
        <x:v>obstacle.height_m</x:v>
      </x:c>
      <x:c r="D1254" s="30" t="str">
        <x:v>候选输入schema</x:v>
      </x:c>
      <x:c r="E1254" s="30" t="str">
        <x:v>按执行角色权限读取；策略只能使用可访问快照</x:v>
      </x:c>
    </x:row>
    <x:row r="1255" ht="32" customHeight="1">
      <x:c r="A1255" s="30" t="str">
        <x:v>A013</x:v>
      </x:c>
      <x:c r="B1255" s="30" t="str">
        <x:v>F063</x:v>
      </x:c>
      <x:c r="C1255" s="30" t="str">
        <x:v>obstacle.mass_kg</x:v>
      </x:c>
      <x:c r="D1255" s="30" t="str">
        <x:v>候选输入schema</x:v>
      </x:c>
      <x:c r="E1255" s="30" t="str">
        <x:v>按执行角色权限读取；策略只能使用可访问快照</x:v>
      </x:c>
    </x:row>
    <x:row r="1256" ht="32" customHeight="1">
      <x:c r="A1256" s="30" t="str">
        <x:v>A013</x:v>
      </x:c>
      <x:c r="B1256" s="30" t="str">
        <x:v>F064</x:v>
      </x:c>
      <x:c r="C1256" s="30" t="str">
        <x:v>obstacle.volume_m3</x:v>
      </x:c>
      <x:c r="D1256" s="30" t="str">
        <x:v>候选输入schema</x:v>
      </x:c>
      <x:c r="E1256" s="30" t="str">
        <x:v>按执行角色权限读取；策略只能使用可访问快照</x:v>
      </x:c>
    </x:row>
    <x:row r="1257" ht="32" customHeight="1">
      <x:c r="A1257" s="30" t="str">
        <x:v>A013</x:v>
      </x:c>
      <x:c r="B1257" s="30" t="str">
        <x:v>F065</x:v>
      </x:c>
      <x:c r="C1257" s="30" t="str">
        <x:v>obstacle.state</x:v>
      </x:c>
      <x:c r="D1257" s="30" t="str">
        <x:v>候选输入schema</x:v>
      </x:c>
      <x:c r="E1257" s="30" t="str">
        <x:v>按执行角色权限读取；策略只能使用可访问快照</x:v>
      </x:c>
    </x:row>
    <x:row r="1258" ht="32" customHeight="1">
      <x:c r="A1258" s="30" t="str">
        <x:v>A013</x:v>
      </x:c>
      <x:c r="B1258" s="30" t="str">
        <x:v>F066</x:v>
      </x:c>
      <x:c r="C1258" s="30" t="str">
        <x:v>obstacle.stability</x:v>
      </x:c>
      <x:c r="D1258" s="30" t="str">
        <x:v>候选输入schema</x:v>
      </x:c>
      <x:c r="E1258" s="30" t="str">
        <x:v>按执行角色权限读取；策略只能使用可访问快照</x:v>
      </x:c>
    </x:row>
    <x:row r="1259" ht="32" customHeight="1">
      <x:c r="A1259" s="30" t="str">
        <x:v>A013</x:v>
      </x:c>
      <x:c r="B1259" s="30" t="str">
        <x:v>F067</x:v>
      </x:c>
      <x:c r="C1259" s="30" t="str">
        <x:v>obstacle.clear_method</x:v>
      </x:c>
      <x:c r="D1259" s="30" t="str">
        <x:v>候选输入schema</x:v>
      </x:c>
      <x:c r="E1259" s="30" t="str">
        <x:v>按执行角色权限读取；策略只能使用可访问快照</x:v>
      </x:c>
    </x:row>
    <x:row r="1260" ht="32" customHeight="1">
      <x:c r="A1260" s="30" t="str">
        <x:v>A013</x:v>
      </x:c>
      <x:c r="B1260" s="30" t="str">
        <x:v>F068</x:v>
      </x:c>
      <x:c r="C1260" s="30" t="str">
        <x:v>obstacle.work_remaining</x:v>
      </x:c>
      <x:c r="D1260" s="30" t="str">
        <x:v>候选输入schema</x:v>
      </x:c>
      <x:c r="E1260" s="30" t="str">
        <x:v>按执行角色权限读取；策略只能使用可访问快照</x:v>
      </x:c>
    </x:row>
    <x:row r="1261" ht="32" customHeight="1">
      <x:c r="A1261" s="30" t="str">
        <x:v>A013</x:v>
      </x:c>
      <x:c r="B1261" s="30" t="str">
        <x:v>F069</x:v>
      </x:c>
      <x:c r="C1261" s="30" t="str">
        <x:v>obstacle.blocks_ids</x:v>
      </x:c>
      <x:c r="D1261" s="30" t="str">
        <x:v>候选输入schema</x:v>
      </x:c>
      <x:c r="E1261" s="30" t="str">
        <x:v>按执行角色权限读取；策略只能使用可访问快照</x:v>
      </x:c>
    </x:row>
    <x:row r="1262" ht="32" customHeight="1">
      <x:c r="A1262" s="30" t="str">
        <x:v>A013</x:v>
      </x:c>
      <x:c r="B1262" s="30" t="str">
        <x:v>F070</x:v>
      </x:c>
      <x:c r="C1262" s="30" t="str">
        <x:v>obstacle.disposal_location</x:v>
      </x:c>
      <x:c r="D1262" s="30" t="str">
        <x:v>候选输入schema</x:v>
      </x:c>
      <x:c r="E1262" s="30" t="str">
        <x:v>按执行角色权限读取；策略只能使用可访问快照</x:v>
      </x:c>
    </x:row>
    <x:row r="1263" ht="32" customHeight="1">
      <x:c r="A1263" s="30" t="str">
        <x:v>A013</x:v>
      </x:c>
      <x:c r="B1263" s="30" t="str">
        <x:v>F095</x:v>
      </x:c>
      <x:c r="C1263" s="30" t="str">
        <x:v>platform.kind</x:v>
      </x:c>
      <x:c r="D1263" s="30" t="str">
        <x:v>候选输入schema</x:v>
      </x:c>
      <x:c r="E1263" s="30" t="str">
        <x:v>按执行角色权限读取；策略只能使用可访问快照</x:v>
      </x:c>
    </x:row>
    <x:row r="1264" ht="32" customHeight="1">
      <x:c r="A1264" s="30" t="str">
        <x:v>A013</x:v>
      </x:c>
      <x:c r="B1264" s="30" t="str">
        <x:v>F096</x:v>
      </x:c>
      <x:c r="C1264" s="30" t="str">
        <x:v>platform.capability_ids</x:v>
      </x:c>
      <x:c r="D1264" s="30" t="str">
        <x:v>候选输入schema</x:v>
      </x:c>
      <x:c r="E1264" s="30" t="str">
        <x:v>按执行角色权限读取；策略只能使用可访问快照</x:v>
      </x:c>
    </x:row>
    <x:row r="1265" ht="32" customHeight="1">
      <x:c r="A1265" s="30" t="str">
        <x:v>A013</x:v>
      </x:c>
      <x:c r="B1265" s="30" t="str">
        <x:v>F097</x:v>
      </x:c>
      <x:c r="C1265" s="30" t="str">
        <x:v>platform.equipment_ids</x:v>
      </x:c>
      <x:c r="D1265" s="30" t="str">
        <x:v>候选输入schema</x:v>
      </x:c>
      <x:c r="E1265" s="30" t="str">
        <x:v>按执行角色权限读取；策略只能使用可访问快照</x:v>
      </x:c>
    </x:row>
    <x:row r="1266" ht="32" customHeight="1">
      <x:c r="A1266" s="30" t="str">
        <x:v>A013</x:v>
      </x:c>
      <x:c r="B1266" s="30" t="str">
        <x:v>F098</x:v>
      </x:c>
      <x:c r="C1266" s="30" t="str">
        <x:v>platform.width_m</x:v>
      </x:c>
      <x:c r="D1266" s="30" t="str">
        <x:v>候选输入schema</x:v>
      </x:c>
      <x:c r="E1266" s="30" t="str">
        <x:v>按执行角色权限读取；策略只能使用可访问快照</x:v>
      </x:c>
    </x:row>
    <x:row r="1267" ht="32" customHeight="1">
      <x:c r="A1267" s="30" t="str">
        <x:v>A013</x:v>
      </x:c>
      <x:c r="B1267" s="30" t="str">
        <x:v>F099</x:v>
      </x:c>
      <x:c r="C1267" s="30" t="str">
        <x:v>platform.height_m</x:v>
      </x:c>
      <x:c r="D1267" s="30" t="str">
        <x:v>候选输入schema</x:v>
      </x:c>
      <x:c r="E1267" s="30" t="str">
        <x:v>按执行角色权限读取；策略只能使用可访问快照</x:v>
      </x:c>
    </x:row>
    <x:row r="1268" ht="32" customHeight="1">
      <x:c r="A1268" s="30" t="str">
        <x:v>A013</x:v>
      </x:c>
      <x:c r="B1268" s="30" t="str">
        <x:v>F100</x:v>
      </x:c>
      <x:c r="C1268" s="30" t="str">
        <x:v>platform.swept_radius_m</x:v>
      </x:c>
      <x:c r="D1268" s="30" t="str">
        <x:v>候选输入schema</x:v>
      </x:c>
      <x:c r="E1268" s="30" t="str">
        <x:v>按执行角色权限读取；策略只能使用可访问快照</x:v>
      </x:c>
    </x:row>
    <x:row r="1269" ht="32" customHeight="1">
      <x:c r="A1269" s="30" t="str">
        <x:v>A013</x:v>
      </x:c>
      <x:c r="B1269" s="30" t="str">
        <x:v>F101</x:v>
      </x:c>
      <x:c r="C1269" s="30" t="str">
        <x:v>platform.payload_capacity_kg</x:v>
      </x:c>
      <x:c r="D1269" s="30" t="str">
        <x:v>候选输入schema</x:v>
      </x:c>
      <x:c r="E1269" s="30" t="str">
        <x:v>按执行角色权限读取；策略只能使用可访问快照</x:v>
      </x:c>
    </x:row>
    <x:row r="1270" ht="32" customHeight="1">
      <x:c r="A1270" s="30" t="str">
        <x:v>A013</x:v>
      </x:c>
      <x:c r="B1270" s="30" t="str">
        <x:v>F102</x:v>
      </x:c>
      <x:c r="C1270" s="30" t="str">
        <x:v>platform.payload_used_kg</x:v>
      </x:c>
      <x:c r="D1270" s="30" t="str">
        <x:v>候选输入schema</x:v>
      </x:c>
      <x:c r="E1270" s="30" t="str">
        <x:v>按执行角色权限读取；策略只能使用可访问快照</x:v>
      </x:c>
    </x:row>
    <x:row r="1271" ht="32" customHeight="1">
      <x:c r="A1271" s="30" t="str">
        <x:v>A013</x:v>
      </x:c>
      <x:c r="B1271" s="30" t="str">
        <x:v>F103</x:v>
      </x:c>
      <x:c r="C1271" s="30" t="str">
        <x:v>platform.payload_item_ids</x:v>
      </x:c>
      <x:c r="D1271" s="30" t="str">
        <x:v>候选输入schema</x:v>
      </x:c>
      <x:c r="E1271" s="30" t="str">
        <x:v>按执行角色权限读取；策略只能使用可访问快照</x:v>
      </x:c>
    </x:row>
    <x:row r="1272" ht="32" customHeight="1">
      <x:c r="A1272" s="30" t="str">
        <x:v>A013</x:v>
      </x:c>
      <x:c r="B1272" s="30" t="str">
        <x:v>F104</x:v>
      </x:c>
      <x:c r="C1272" s="30" t="str">
        <x:v>platform.battery_capacity_Wh</x:v>
      </x:c>
      <x:c r="D1272" s="30" t="str">
        <x:v>候选输入schema</x:v>
      </x:c>
      <x:c r="E1272" s="30" t="str">
        <x:v>按执行角色权限读取；策略只能使用可访问快照</x:v>
      </x:c>
    </x:row>
    <x:row r="1273" ht="32" customHeight="1">
      <x:c r="A1273" s="30" t="str">
        <x:v>A013</x:v>
      </x:c>
      <x:c r="B1273" s="30" t="str">
        <x:v>F105</x:v>
      </x:c>
      <x:c r="C1273" s="30" t="str">
        <x:v>platform.battery_remaining_Wh</x:v>
      </x:c>
      <x:c r="D1273" s="30" t="str">
        <x:v>候选输入schema</x:v>
      </x:c>
      <x:c r="E1273" s="30" t="str">
        <x:v>按执行角色权限读取；策略只能使用可访问快照</x:v>
      </x:c>
    </x:row>
    <x:row r="1274" ht="32" customHeight="1">
      <x:c r="A1274" s="30" t="str">
        <x:v>A013</x:v>
      </x:c>
      <x:c r="B1274" s="30" t="str">
        <x:v>F106</x:v>
      </x:c>
      <x:c r="C1274" s="30" t="str">
        <x:v>platform.reserve_Wh</x:v>
      </x:c>
      <x:c r="D1274" s="30" t="str">
        <x:v>候选输入schema</x:v>
      </x:c>
      <x:c r="E1274" s="30" t="str">
        <x:v>按执行角色权限读取；策略只能使用可访问快照</x:v>
      </x:c>
    </x:row>
    <x:row r="1275" ht="32" customHeight="1">
      <x:c r="A1275" s="30" t="str">
        <x:v>A013</x:v>
      </x:c>
      <x:c r="B1275" s="30" t="str">
        <x:v>F107</x:v>
      </x:c>
      <x:c r="C1275" s="30" t="str">
        <x:v>platform.speed_limit_mps</x:v>
      </x:c>
      <x:c r="D1275" s="30" t="str">
        <x:v>候选输入schema</x:v>
      </x:c>
      <x:c r="E1275" s="30" t="str">
        <x:v>按执行角色权限读取；策略只能使用可访问快照</x:v>
      </x:c>
    </x:row>
    <x:row r="1276" ht="32" customHeight="1">
      <x:c r="A1276" s="30" t="str">
        <x:v>A013</x:v>
      </x:c>
      <x:c r="B1276" s="30" t="str">
        <x:v>F108</x:v>
      </x:c>
      <x:c r="C1276" s="30" t="str">
        <x:v>platform.energy_model</x:v>
      </x:c>
      <x:c r="D1276" s="30" t="str">
        <x:v>候选输入schema</x:v>
      </x:c>
      <x:c r="E1276" s="30" t="str">
        <x:v>按执行角色权限读取；策略只能使用可访问快照</x:v>
      </x:c>
    </x:row>
    <x:row r="1277" ht="32" customHeight="1">
      <x:c r="A1277" s="30" t="str">
        <x:v>A013</x:v>
      </x:c>
      <x:c r="B1277" s="30" t="str">
        <x:v>F109</x:v>
      </x:c>
      <x:c r="C1277" s="30" t="str">
        <x:v>platform.motion_state</x:v>
      </x:c>
      <x:c r="D1277" s="30" t="str">
        <x:v>候选输入schema</x:v>
      </x:c>
      <x:c r="E1277" s="30" t="str">
        <x:v>按执行角色权限读取；策略只能使用可访问快照</x:v>
      </x:c>
    </x:row>
    <x:row r="1278" ht="32" customHeight="1">
      <x:c r="A1278" s="30" t="str">
        <x:v>A013</x:v>
      </x:c>
      <x:c r="B1278" s="30" t="str">
        <x:v>F110</x:v>
      </x:c>
      <x:c r="C1278" s="30" t="str">
        <x:v>platform.health_state</x:v>
      </x:c>
      <x:c r="D1278" s="30" t="str">
        <x:v>候选输入schema</x:v>
      </x:c>
      <x:c r="E1278" s="30" t="str">
        <x:v>按执行角色权限读取；策略只能使用可访问快照</x:v>
      </x:c>
    </x:row>
    <x:row r="1279" ht="32" customHeight="1">
      <x:c r="A1279" s="30" t="str">
        <x:v>A013</x:v>
      </x:c>
      <x:c r="B1279" s="30" t="str">
        <x:v>F111</x:v>
      </x:c>
      <x:c r="C1279" s="30" t="str">
        <x:v>platform.current_action_id</x:v>
      </x:c>
      <x:c r="D1279" s="30" t="str">
        <x:v>候选输入schema</x:v>
      </x:c>
      <x:c r="E1279" s="30" t="str">
        <x:v>按执行角色权限读取；策略只能使用可访问快照</x:v>
      </x:c>
    </x:row>
    <x:row r="1280" ht="32" customHeight="1">
      <x:c r="A1280" s="30" t="str">
        <x:v>A013</x:v>
      </x:c>
      <x:c r="B1280" s="30" t="str">
        <x:v>F112</x:v>
      </x:c>
      <x:c r="C1280" s="30" t="str">
        <x:v>platform.busy_until_est_s</x:v>
      </x:c>
      <x:c r="D1280" s="30" t="str">
        <x:v>候选输入schema</x:v>
      </x:c>
      <x:c r="E1280" s="30" t="str">
        <x:v>按执行角色权限读取；策略只能使用可访问快照</x:v>
      </x:c>
    </x:row>
    <x:row r="1281" ht="32" customHeight="1">
      <x:c r="A1281" s="30" t="str">
        <x:v>A013</x:v>
      </x:c>
      <x:c r="B1281" s="30" t="str">
        <x:v>F113</x:v>
      </x:c>
      <x:c r="C1281" s="30" t="str">
        <x:v>platform.return_site_id</x:v>
      </x:c>
      <x:c r="D1281" s="30" t="str">
        <x:v>候选输入schema</x:v>
      </x:c>
      <x:c r="E1281" s="30" t="str">
        <x:v>按执行角色权限读取；策略只能使用可访问快照</x:v>
      </x:c>
    </x:row>
    <x:row r="1282" ht="32" customHeight="1">
      <x:c r="A1282" s="30" t="str">
        <x:v>A013</x:v>
      </x:c>
      <x:c r="B1282" s="30" t="str">
        <x:v>F114</x:v>
      </x:c>
      <x:c r="C1282" s="30" t="str">
        <x:v>platform.water_tolerance_m</x:v>
      </x:c>
      <x:c r="D1282" s="30" t="str">
        <x:v>候选输入schema</x:v>
      </x:c>
      <x:c r="E1282" s="30" t="str">
        <x:v>按执行角色权限读取；策略只能使用可访问快照</x:v>
      </x:c>
    </x:row>
    <x:row r="1283" ht="32" customHeight="1">
      <x:c r="A1283" s="30" t="str">
        <x:v>A013</x:v>
      </x:c>
      <x:c r="B1283" s="30" t="str">
        <x:v>F115</x:v>
      </x:c>
      <x:c r="C1283" s="30" t="str">
        <x:v>platform.concurrency_policy</x:v>
      </x:c>
      <x:c r="D1283" s="30" t="str">
        <x:v>候选输入schema</x:v>
      </x:c>
      <x:c r="E1283" s="30" t="str">
        <x:v>按执行角色权限读取；策略只能使用可访问快照</x:v>
      </x:c>
    </x:row>
    <x:row r="1284" ht="32" customHeight="1">
      <x:c r="A1284" s="30" t="str">
        <x:v>A013</x:v>
      </x:c>
      <x:c r="B1284" s="30" t="str">
        <x:v>F116</x:v>
      </x:c>
      <x:c r="C1284" s="30" t="str">
        <x:v>equipment.kind</x:v>
      </x:c>
      <x:c r="D1284" s="30" t="str">
        <x:v>候选输入schema</x:v>
      </x:c>
      <x:c r="E1284" s="30" t="str">
        <x:v>按执行角色权限读取；策略只能使用可访问快照</x:v>
      </x:c>
    </x:row>
    <x:row r="1285" ht="32" customHeight="1">
      <x:c r="A1285" s="30" t="str">
        <x:v>A013</x:v>
      </x:c>
      <x:c r="B1285" s="30" t="str">
        <x:v>F117</x:v>
      </x:c>
      <x:c r="C1285" s="30" t="str">
        <x:v>equipment.enabled</x:v>
      </x:c>
      <x:c r="D1285" s="30" t="str">
        <x:v>候选输入schema</x:v>
      </x:c>
      <x:c r="E1285" s="30" t="str">
        <x:v>按执行角色权限读取；策略只能使用可访问快照</x:v>
      </x:c>
    </x:row>
    <x:row r="1286" ht="32" customHeight="1">
      <x:c r="A1286" s="30" t="str">
        <x:v>A013</x:v>
      </x:c>
      <x:c r="B1286" s="30" t="str">
        <x:v>F118</x:v>
      </x:c>
      <x:c r="C1286" s="30" t="str">
        <x:v>equipment.health</x:v>
      </x:c>
      <x:c r="D1286" s="30" t="str">
        <x:v>候选输入schema</x:v>
      </x:c>
      <x:c r="E1286" s="30" t="str">
        <x:v>按执行角色权限读取；策略只能使用可访问快照</x:v>
      </x:c>
    </x:row>
    <x:row r="1287" ht="32" customHeight="1">
      <x:c r="A1287" s="30" t="str">
        <x:v>A013</x:v>
      </x:c>
      <x:c r="B1287" s="30" t="str">
        <x:v>F119</x:v>
      </x:c>
      <x:c r="C1287" s="30" t="str">
        <x:v>equipment.rated_load_kg</x:v>
      </x:c>
      <x:c r="D1287" s="30" t="str">
        <x:v>候选输入schema</x:v>
      </x:c>
      <x:c r="E1287" s="30" t="str">
        <x:v>按执行角色权限读取；策略只能使用可访问快照</x:v>
      </x:c>
    </x:row>
    <x:row r="1288" ht="32" customHeight="1">
      <x:c r="A1288" s="30" t="str">
        <x:v>A013</x:v>
      </x:c>
      <x:c r="B1288" s="30" t="str">
        <x:v>F120</x:v>
      </x:c>
      <x:c r="C1288" s="30" t="str">
        <x:v>equipment.reach_m</x:v>
      </x:c>
      <x:c r="D1288" s="30" t="str">
        <x:v>候选输入schema</x:v>
      </x:c>
      <x:c r="E1288" s="30" t="str">
        <x:v>按执行角色权限读取；策略只能使用可访问快照</x:v>
      </x:c>
    </x:row>
    <x:row r="1289" ht="32" customHeight="1">
      <x:c r="A1289" s="30" t="str">
        <x:v>A013</x:v>
      </x:c>
      <x:c r="B1289" s="30" t="str">
        <x:v>F121</x:v>
      </x:c>
      <x:c r="C1289" s="30" t="str">
        <x:v>equipment.compatible_materials</x:v>
      </x:c>
      <x:c r="D1289" s="30" t="str">
        <x:v>候选输入schema</x:v>
      </x:c>
      <x:c r="E1289" s="30" t="str">
        <x:v>按执行角色权限读取；策略只能使用可访问快照</x:v>
      </x:c>
    </x:row>
    <x:row r="1290" ht="32" customHeight="1">
      <x:c r="A1290" s="30" t="str">
        <x:v>A013</x:v>
      </x:c>
      <x:c r="B1290" s="30" t="str">
        <x:v>F122</x:v>
      </x:c>
      <x:c r="C1290" s="30" t="str">
        <x:v>equipment.tool_size</x:v>
      </x:c>
      <x:c r="D1290" s="30" t="str">
        <x:v>候选输入schema</x:v>
      </x:c>
      <x:c r="E1290" s="30" t="str">
        <x:v>按执行角色权限读取；策略只能使用可访问快照</x:v>
      </x:c>
    </x:row>
    <x:row r="1291" ht="32" customHeight="1">
      <x:c r="A1291" s="30" t="str">
        <x:v>A013</x:v>
      </x:c>
      <x:c r="B1291" s="30" t="str">
        <x:v>F123</x:v>
      </x:c>
      <x:c r="C1291" s="30" t="str">
        <x:v>equipment.consumable_type</x:v>
      </x:c>
      <x:c r="D1291" s="30" t="str">
        <x:v>候选输入schema</x:v>
      </x:c>
      <x:c r="E1291" s="30" t="str">
        <x:v>按执行角色权限读取；策略只能使用可访问快照</x:v>
      </x:c>
    </x:row>
    <x:row r="1292" ht="32" customHeight="1">
      <x:c r="A1292" s="30" t="str">
        <x:v>A013</x:v>
      </x:c>
      <x:c r="B1292" s="30" t="str">
        <x:v>F124</x:v>
      </x:c>
      <x:c r="C1292" s="30" t="str">
        <x:v>equipment.consumable_remaining</x:v>
      </x:c>
      <x:c r="D1292" s="30" t="str">
        <x:v>候选输入schema</x:v>
      </x:c>
      <x:c r="E1292" s="30" t="str">
        <x:v>按执行角色权限读取；策略只能使用可访问快照</x:v>
      </x:c>
    </x:row>
    <x:row r="1293" ht="32" customHeight="1">
      <x:c r="A1293" s="30" t="str">
        <x:v>A013</x:v>
      </x:c>
      <x:c r="B1293" s="30" t="str">
        <x:v>F125</x:v>
      </x:c>
      <x:c r="C1293" s="30" t="str">
        <x:v>equipment.operator_authority</x:v>
      </x:c>
      <x:c r="D1293" s="30" t="str">
        <x:v>候选输入schema</x:v>
      </x:c>
      <x:c r="E1293" s="30" t="str">
        <x:v>按执行角色权限读取；策略只能使用可访问快照</x:v>
      </x:c>
    </x:row>
    <x:row r="1294" ht="32" customHeight="1">
      <x:c r="A1294" s="30" t="str">
        <x:v>A013</x:v>
      </x:c>
      <x:c r="B1294" s="30" t="str">
        <x:v>F126</x:v>
      </x:c>
      <x:c r="C1294" s="30" t="str">
        <x:v>equipment.setup_state</x:v>
      </x:c>
      <x:c r="D1294" s="30" t="str">
        <x:v>候选输入schema</x:v>
      </x:c>
      <x:c r="E1294" s="30" t="str">
        <x:v>按执行角色权限读取；策略只能使用可访问快照</x:v>
      </x:c>
    </x:row>
    <x:row r="1295" ht="32" customHeight="1">
      <x:c r="A1295" s="30" t="str">
        <x:v>A013</x:v>
      </x:c>
      <x:c r="B1295" s="30" t="str">
        <x:v>F127</x:v>
      </x:c>
      <x:c r="C1295" s="30" t="str">
        <x:v>equipment.busy_action_id</x:v>
      </x:c>
      <x:c r="D1295" s="30" t="str">
        <x:v>候选输入schema</x:v>
      </x:c>
      <x:c r="E1295" s="30" t="str">
        <x:v>按执行角色权限读取；策略只能使用可访问快照</x:v>
      </x:c>
    </x:row>
    <x:row r="1296" ht="32" customHeight="1">
      <x:c r="A1296" s="30" t="str">
        <x:v>A013</x:v>
      </x:c>
      <x:c r="B1296" s="30" t="str">
        <x:v>F196</x:v>
      </x:c>
      <x:c r="C1296" s="30" t="str">
        <x:v>task.type</x:v>
      </x:c>
      <x:c r="D1296" s="30" t="str">
        <x:v>候选输入schema</x:v>
      </x:c>
      <x:c r="E1296" s="30" t="str">
        <x:v>按执行角色权限读取；策略只能使用可访问快照</x:v>
      </x:c>
    </x:row>
    <x:row r="1297" ht="32" customHeight="1">
      <x:c r="A1297" s="30" t="str">
        <x:v>A013</x:v>
      </x:c>
      <x:c r="B1297" s="30" t="str">
        <x:v>F197</x:v>
      </x:c>
      <x:c r="C1297" s="30" t="str">
        <x:v>task.creator_id</x:v>
      </x:c>
      <x:c r="D1297" s="30" t="str">
        <x:v>候选输入schema</x:v>
      </x:c>
      <x:c r="E1297" s="30" t="str">
        <x:v>按执行角色权限读取；策略只能使用可访问快照</x:v>
      </x:c>
    </x:row>
    <x:row r="1298" ht="32" customHeight="1">
      <x:c r="A1298" s="30" t="str">
        <x:v>A013</x:v>
      </x:c>
      <x:c r="B1298" s="30" t="str">
        <x:v>F198</x:v>
      </x:c>
      <x:c r="C1298" s="30" t="str">
        <x:v>task.target_ref</x:v>
      </x:c>
      <x:c r="D1298" s="30" t="str">
        <x:v>候选输入schema</x:v>
      </x:c>
      <x:c r="E1298" s="30" t="str">
        <x:v>按执行角色权限读取；策略只能使用可访问快照</x:v>
      </x:c>
    </x:row>
    <x:row r="1299" ht="32" customHeight="1">
      <x:c r="A1299" s="30" t="str">
        <x:v>A013</x:v>
      </x:c>
      <x:c r="B1299" s="30" t="str">
        <x:v>F199</x:v>
      </x:c>
      <x:c r="C1299" s="30" t="str">
        <x:v>task.goal_predicate</x:v>
      </x:c>
      <x:c r="D1299" s="30" t="str">
        <x:v>候选输入schema</x:v>
      </x:c>
      <x:c r="E1299" s="30" t="str">
        <x:v>按执行角色权限读取；策略只能使用可访问快照</x:v>
      </x:c>
    </x:row>
    <x:row r="1300" ht="32" customHeight="1">
      <x:c r="A1300" s="30" t="str">
        <x:v>A013</x:v>
      </x:c>
      <x:c r="B1300" s="30" t="str">
        <x:v>F200</x:v>
      </x:c>
      <x:c r="C1300" s="30" t="str">
        <x:v>task.revision</x:v>
      </x:c>
      <x:c r="D1300" s="30" t="str">
        <x:v>候选输入schema</x:v>
      </x:c>
      <x:c r="E1300" s="30" t="str">
        <x:v>按执行角色权限读取；策略只能使用可访问快照</x:v>
      </x:c>
    </x:row>
    <x:row r="1301" ht="32" customHeight="1">
      <x:c r="A1301" s="30" t="str">
        <x:v>A013</x:v>
      </x:c>
      <x:c r="B1301" s="30" t="str">
        <x:v>F201</x:v>
      </x:c>
      <x:c r="C1301" s="30" t="str">
        <x:v>task.status</x:v>
      </x:c>
      <x:c r="D1301" s="30" t="str">
        <x:v>候选输入schema</x:v>
      </x:c>
      <x:c r="E1301" s="30" t="str">
        <x:v>按执行角色权限读取；策略只能使用可访问快照</x:v>
      </x:c>
    </x:row>
    <x:row r="1302" ht="32" customHeight="1">
      <x:c r="A1302" s="30" t="str">
        <x:v>A013</x:v>
      </x:c>
      <x:c r="B1302" s="30" t="str">
        <x:v>F202</x:v>
      </x:c>
      <x:c r="C1302" s="30" t="str">
        <x:v>task.priority</x:v>
      </x:c>
      <x:c r="D1302" s="30" t="str">
        <x:v>候选输入schema</x:v>
      </x:c>
      <x:c r="E1302" s="30" t="str">
        <x:v>按执行角色权限读取；策略只能使用可访问快照</x:v>
      </x:c>
    </x:row>
    <x:row r="1303" ht="32" customHeight="1">
      <x:c r="A1303" s="30" t="str">
        <x:v>A013</x:v>
      </x:c>
      <x:c r="B1303" s="30" t="str">
        <x:v>F203</x:v>
      </x:c>
      <x:c r="C1303" s="30" t="str">
        <x:v>task.deadline_s</x:v>
      </x:c>
      <x:c r="D1303" s="30" t="str">
        <x:v>候选输入schema</x:v>
      </x:c>
      <x:c r="E1303" s="30" t="str">
        <x:v>按执行角色权限读取；策略只能使用可访问快照</x:v>
      </x:c>
    </x:row>
    <x:row r="1304" ht="32" customHeight="1">
      <x:c r="A1304" s="30" t="str">
        <x:v>A013</x:v>
      </x:c>
      <x:c r="B1304" s="30" t="str">
        <x:v>F204</x:v>
      </x:c>
      <x:c r="C1304" s="30" t="str">
        <x:v>task.dependency_ids</x:v>
      </x:c>
      <x:c r="D1304" s="30" t="str">
        <x:v>候选输入schema</x:v>
      </x:c>
      <x:c r="E1304" s="30" t="str">
        <x:v>按执行角色权限读取；策略只能使用可访问快照</x:v>
      </x:c>
    </x:row>
    <x:row r="1305" ht="32" customHeight="1">
      <x:c r="A1305" s="30" t="str">
        <x:v>A013</x:v>
      </x:c>
      <x:c r="B1305" s="30" t="str">
        <x:v>F205</x:v>
      </x:c>
      <x:c r="C1305" s="30" t="str">
        <x:v>task.required_capability_ids</x:v>
      </x:c>
      <x:c r="D1305" s="30" t="str">
        <x:v>候选输入schema</x:v>
      </x:c>
      <x:c r="E1305" s="30" t="str">
        <x:v>按执行角色权限读取；策略只能使用可访问快照</x:v>
      </x:c>
    </x:row>
    <x:row r="1306" ht="32" customHeight="1">
      <x:c r="A1306" s="30" t="str">
        <x:v>A013</x:v>
      </x:c>
      <x:c r="B1306" s="30" t="str">
        <x:v>F206</x:v>
      </x:c>
      <x:c r="C1306" s="30" t="str">
        <x:v>task.resource_budget</x:v>
      </x:c>
      <x:c r="D1306" s="30" t="str">
        <x:v>候选输入schema</x:v>
      </x:c>
      <x:c r="E1306" s="30" t="str">
        <x:v>按执行角色权限读取；策略只能使用可访问快照</x:v>
      </x:c>
    </x:row>
    <x:row r="1307" ht="32" customHeight="1">
      <x:c r="A1307" s="30" t="str">
        <x:v>A013</x:v>
      </x:c>
      <x:c r="B1307" s="30" t="str">
        <x:v>F207</x:v>
      </x:c>
      <x:c r="C1307" s="30" t="str">
        <x:v>task.assigned_to</x:v>
      </x:c>
      <x:c r="D1307" s="30" t="str">
        <x:v>候选输入schema</x:v>
      </x:c>
      <x:c r="E1307" s="30" t="str">
        <x:v>按执行角色权限读取；策略只能使用可访问快照</x:v>
      </x:c>
    </x:row>
    <x:row r="1308" ht="32" customHeight="1">
      <x:c r="A1308" s="30" t="str">
        <x:v>A013</x:v>
      </x:c>
      <x:c r="B1308" s="30" t="str">
        <x:v>F208</x:v>
      </x:c>
      <x:c r="C1308" s="30" t="str">
        <x:v>task.accepted_by</x:v>
      </x:c>
      <x:c r="D1308" s="30" t="str">
        <x:v>候选输入schema</x:v>
      </x:c>
      <x:c r="E1308" s="30" t="str">
        <x:v>按执行角色权限读取；策略只能使用可访问快照</x:v>
      </x:c>
    </x:row>
    <x:row r="1309" ht="32" customHeight="1">
      <x:c r="A1309" s="30" t="str">
        <x:v>A013</x:v>
      </x:c>
      <x:c r="B1309" s="30" t="str">
        <x:v>F209</x:v>
      </x:c>
      <x:c r="C1309" s="30" t="str">
        <x:v>task.commitment_window</x:v>
      </x:c>
      <x:c r="D1309" s="30" t="str">
        <x:v>候选输入schema</x:v>
      </x:c>
      <x:c r="E1309" s="30" t="str">
        <x:v>按执行角色权限读取；策略只能使用可访问快照</x:v>
      </x:c>
    </x:row>
    <x:row r="1310" ht="32" customHeight="1">
      <x:c r="A1310" s="30" t="str">
        <x:v>A013</x:v>
      </x:c>
      <x:c r="B1310" s="30" t="str">
        <x:v>F210</x:v>
      </x:c>
      <x:c r="C1310" s="30" t="str">
        <x:v>task.progress</x:v>
      </x:c>
      <x:c r="D1310" s="30" t="str">
        <x:v>候选输入schema</x:v>
      </x:c>
      <x:c r="E1310" s="30" t="str">
        <x:v>按执行角色权限读取；策略只能使用可访问快照</x:v>
      </x:c>
    </x:row>
    <x:row r="1311" ht="32" customHeight="1">
      <x:c r="A1311" s="30" t="str">
        <x:v>A013</x:v>
      </x:c>
      <x:c r="B1311" s="30" t="str">
        <x:v>F211</x:v>
      </x:c>
      <x:c r="C1311" s="30" t="str">
        <x:v>task.active_action_ids</x:v>
      </x:c>
      <x:c r="D1311" s="30" t="str">
        <x:v>候选输入schema</x:v>
      </x:c>
      <x:c r="E1311" s="30" t="str">
        <x:v>按执行角色权限读取；策略只能使用可访问快照</x:v>
      </x:c>
    </x:row>
    <x:row r="1312" ht="32" customHeight="1">
      <x:c r="A1312" s="30" t="str">
        <x:v>A013</x:v>
      </x:c>
      <x:c r="B1312" s="30" t="str">
        <x:v>F212</x:v>
      </x:c>
      <x:c r="C1312" s="30" t="str">
        <x:v>task.interruptibility</x:v>
      </x:c>
      <x:c r="D1312" s="30" t="str">
        <x:v>候选输入schema</x:v>
      </x:c>
      <x:c r="E1312" s="30" t="str">
        <x:v>按执行角色权限读取；策略只能使用可访问快照</x:v>
      </x:c>
    </x:row>
    <x:row r="1313" ht="32" customHeight="1">
      <x:c r="A1313" s="30" t="str">
        <x:v>A013</x:v>
      </x:c>
      <x:c r="B1313" s="30" t="str">
        <x:v>F213</x:v>
      </x:c>
      <x:c r="C1313" s="30" t="str">
        <x:v>task.original_task_id</x:v>
      </x:c>
      <x:c r="D1313" s="30" t="str">
        <x:v>候选输入schema</x:v>
      </x:c>
      <x:c r="E1313" s="30" t="str">
        <x:v>按执行角色权限读取；策略只能使用可访问快照</x:v>
      </x:c>
    </x:row>
    <x:row r="1314" ht="32" customHeight="1">
      <x:c r="A1314" s="30" t="str">
        <x:v>A013</x:v>
      </x:c>
      <x:c r="B1314" s="30" t="str">
        <x:v>F214</x:v>
      </x:c>
      <x:c r="C1314" s="30" t="str">
        <x:v>task.resume_checkpoint</x:v>
      </x:c>
      <x:c r="D1314" s="30" t="str">
        <x:v>候选输入schema</x:v>
      </x:c>
      <x:c r="E1314" s="30" t="str">
        <x:v>按执行角色权限读取；策略只能使用可访问快照</x:v>
      </x:c>
    </x:row>
    <x:row r="1315" ht="32" customHeight="1">
      <x:c r="A1315" s="30" t="str">
        <x:v>A013</x:v>
      </x:c>
      <x:c r="B1315" s="30" t="str">
        <x:v>F215</x:v>
      </x:c>
      <x:c r="C1315" s="30" t="str">
        <x:v>task.handoff_target_id</x:v>
      </x:c>
      <x:c r="D1315" s="30" t="str">
        <x:v>候选输入schema</x:v>
      </x:c>
      <x:c r="E1315" s="30" t="str">
        <x:v>按执行角色权限读取；策略只能使用可访问快照</x:v>
      </x:c>
    </x:row>
    <x:row r="1316" ht="32" customHeight="1">
      <x:c r="A1316" s="30" t="str">
        <x:v>A013</x:v>
      </x:c>
      <x:c r="B1316" s="30" t="str">
        <x:v>F216</x:v>
      </x:c>
      <x:c r="C1316" s="30" t="str">
        <x:v>task.result_evidence_ids</x:v>
      </x:c>
      <x:c r="D1316" s="30" t="str">
        <x:v>候选输入schema</x:v>
      </x:c>
      <x:c r="E1316" s="30" t="str">
        <x:v>按执行角色权限读取；策略只能使用可访问快照</x:v>
      </x:c>
    </x:row>
    <x:row r="1317" ht="32" customHeight="1">
      <x:c r="A1317" s="30" t="str">
        <x:v>A013</x:v>
      </x:c>
      <x:c r="B1317" s="30" t="str">
        <x:v>F217</x:v>
      </x:c>
      <x:c r="C1317" s="30" t="str">
        <x:v>task.failure_reason</x:v>
      </x:c>
      <x:c r="D1317" s="30" t="str">
        <x:v>候选输入schema</x:v>
      </x:c>
      <x:c r="E1317" s="30" t="str">
        <x:v>按执行角色权限读取；策略只能使用可访问快照</x:v>
      </x:c>
    </x:row>
    <x:row r="1318" ht="32" customHeight="1">
      <x:c r="A1318" s="30" t="str">
        <x:v>A013</x:v>
      </x:c>
      <x:c r="B1318" s="30" t="str">
        <x:v>F218</x:v>
      </x:c>
      <x:c r="C1318" s="30" t="str">
        <x:v>task.last_event_s</x:v>
      </x:c>
      <x:c r="D1318" s="30" t="str">
        <x:v>候选输入schema</x:v>
      </x:c>
      <x:c r="E1318" s="30" t="str">
        <x:v>按执行角色权限读取；策略只能使用可访问快照</x:v>
      </x:c>
    </x:row>
    <x:row r="1319" ht="32" customHeight="1">
      <x:c r="A1319" s="30" t="str">
        <x:v>A013</x:v>
      </x:c>
      <x:c r="B1319" s="30" t="str">
        <x:v>F219</x:v>
      </x:c>
      <x:c r="C1319" s="30" t="str">
        <x:v>task.opportunity_cost</x:v>
      </x:c>
      <x:c r="D1319" s="30" t="str">
        <x:v>候选输入schema</x:v>
      </x:c>
      <x:c r="E1319" s="30" t="str">
        <x:v>按执行角色权限读取；策略只能使用可访问快照</x:v>
      </x:c>
    </x:row>
    <x:row r="1320" ht="32" customHeight="1">
      <x:c r="A1320" s="30" t="str">
        <x:v>A013</x:v>
      </x:c>
      <x:c r="B1320" s="30" t="str">
        <x:v>F230</x:v>
      </x:c>
      <x:c r="C1320" s="30" t="str">
        <x:v>action.type</x:v>
      </x:c>
      <x:c r="D1320" s="30" t="str">
        <x:v>候选输入schema</x:v>
      </x:c>
      <x:c r="E1320" s="30" t="str">
        <x:v>按执行角色权限读取；策略只能使用可访问快照</x:v>
      </x:c>
    </x:row>
    <x:row r="1321" ht="32" customHeight="1">
      <x:c r="A1321" s="30" t="str">
        <x:v>A013</x:v>
      </x:c>
      <x:c r="B1321" s="30" t="str">
        <x:v>F231</x:v>
      </x:c>
      <x:c r="C1321" s="30" t="str">
        <x:v>action.executor_id</x:v>
      </x:c>
      <x:c r="D1321" s="30" t="str">
        <x:v>候选输入schema</x:v>
      </x:c>
      <x:c r="E1321" s="30" t="str">
        <x:v>按执行角色权限读取；策略只能使用可访问快照</x:v>
      </x:c>
    </x:row>
    <x:row r="1322" ht="32" customHeight="1">
      <x:c r="A1322" s="30" t="str">
        <x:v>A013</x:v>
      </x:c>
      <x:c r="B1322" s="30" t="str">
        <x:v>F232</x:v>
      </x:c>
      <x:c r="C1322" s="30" t="str">
        <x:v>action.task_ref</x:v>
      </x:c>
      <x:c r="D1322" s="30" t="str">
        <x:v>候选输入schema</x:v>
      </x:c>
      <x:c r="E1322" s="30" t="str">
        <x:v>按执行角色权限读取；策略只能使用可访问快照</x:v>
      </x:c>
    </x:row>
    <x:row r="1323" ht="32" customHeight="1">
      <x:c r="A1323" s="30" t="str">
        <x:v>A013</x:v>
      </x:c>
      <x:c r="B1323" s="30" t="str">
        <x:v>F233</x:v>
      </x:c>
      <x:c r="C1323" s="30" t="str">
        <x:v>action.target_ref</x:v>
      </x:c>
      <x:c r="D1323" s="30" t="str">
        <x:v>候选输入schema</x:v>
      </x:c>
      <x:c r="E1323" s="30" t="str">
        <x:v>按执行角色权限读取；策略只能使用可访问快照</x:v>
      </x:c>
    </x:row>
    <x:row r="1324" ht="32" customHeight="1">
      <x:c r="A1324" s="30" t="str">
        <x:v>A013</x:v>
      </x:c>
      <x:c r="B1324" s="30" t="str">
        <x:v>F234</x:v>
      </x:c>
      <x:c r="C1324" s="30" t="str">
        <x:v>action.parameters</x:v>
      </x:c>
      <x:c r="D1324" s="30" t="str">
        <x:v>候选输入schema</x:v>
      </x:c>
      <x:c r="E1324" s="30" t="str">
        <x:v>按执行角色权限读取；策略只能使用可访问快照</x:v>
      </x:c>
    </x:row>
    <x:row r="1325" ht="32" customHeight="1">
      <x:c r="A1325" s="30" t="str">
        <x:v>A013</x:v>
      </x:c>
      <x:c r="B1325" s="30" t="str">
        <x:v>F235</x:v>
      </x:c>
      <x:c r="C1325" s="30" t="str">
        <x:v>action.status</x:v>
      </x:c>
      <x:c r="D1325" s="30" t="str">
        <x:v>候选输入schema</x:v>
      </x:c>
      <x:c r="E1325" s="30" t="str">
        <x:v>按执行角色权限读取；策略只能使用可访问快照</x:v>
      </x:c>
    </x:row>
    <x:row r="1326" ht="32" customHeight="1">
      <x:c r="A1326" s="30" t="str">
        <x:v>A013</x:v>
      </x:c>
      <x:c r="B1326" s="30" t="str">
        <x:v>F236</x:v>
      </x:c>
      <x:c r="C1326" s="30" t="str">
        <x:v>action.start_s</x:v>
      </x:c>
      <x:c r="D1326" s="30" t="str">
        <x:v>候选输入schema</x:v>
      </x:c>
      <x:c r="E1326" s="30" t="str">
        <x:v>按执行角色权限读取；策略只能使用可访问快照</x:v>
      </x:c>
    </x:row>
    <x:row r="1327" ht="32" customHeight="1">
      <x:c r="A1327" s="30" t="str">
        <x:v>A013</x:v>
      </x:c>
      <x:c r="B1327" s="30" t="str">
        <x:v>F237</x:v>
      </x:c>
      <x:c r="C1327" s="30" t="str">
        <x:v>action.finish_s</x:v>
      </x:c>
      <x:c r="D1327" s="30" t="str">
        <x:v>候选输入schema</x:v>
      </x:c>
      <x:c r="E1327" s="30" t="str">
        <x:v>按执行角色权限读取；策略只能使用可访问快照</x:v>
      </x:c>
    </x:row>
    <x:row r="1328" ht="32" customHeight="1">
      <x:c r="A1328" s="30" t="str">
        <x:v>A013</x:v>
      </x:c>
      <x:c r="B1328" s="30" t="str">
        <x:v>F238</x:v>
      </x:c>
      <x:c r="C1328" s="30" t="str">
        <x:v>action.reserved_resources</x:v>
      </x:c>
      <x:c r="D1328" s="30" t="str">
        <x:v>候选输入schema</x:v>
      </x:c>
      <x:c r="E1328" s="30" t="str">
        <x:v>按执行角色权限读取；策略只能使用可访问快照</x:v>
      </x:c>
    </x:row>
    <x:row r="1329" ht="32" customHeight="1">
      <x:c r="A1329" s="30" t="str">
        <x:v>A013</x:v>
      </x:c>
      <x:c r="B1329" s="30" t="str">
        <x:v>F239</x:v>
      </x:c>
      <x:c r="C1329" s="30" t="str">
        <x:v>action.consumed_resources</x:v>
      </x:c>
      <x:c r="D1329" s="30" t="str">
        <x:v>候选输入schema</x:v>
      </x:c>
      <x:c r="E1329" s="30" t="str">
        <x:v>按执行角色权限读取；策略只能使用可访问快照</x:v>
      </x:c>
    </x:row>
    <x:row r="1330" ht="32" customHeight="1">
      <x:c r="A1330" s="30" t="str">
        <x:v>A013</x:v>
      </x:c>
      <x:c r="B1330" s="30" t="str">
        <x:v>F240</x:v>
      </x:c>
      <x:c r="C1330" s="30" t="str">
        <x:v>action.feedback</x:v>
      </x:c>
      <x:c r="D1330" s="30" t="str">
        <x:v>候选输入schema</x:v>
      </x:c>
      <x:c r="E1330" s="30" t="str">
        <x:v>按执行角色权限读取；策略只能使用可访问快照</x:v>
      </x:c>
    </x:row>
    <x:row r="1331" ht="32" customHeight="1">
      <x:c r="A1331" s="30" t="str">
        <x:v>A013</x:v>
      </x:c>
      <x:c r="B1331" s="30" t="str">
        <x:v>F241</x:v>
      </x:c>
      <x:c r="C1331" s="30" t="str">
        <x:v>action.result</x:v>
      </x:c>
      <x:c r="D1331" s="30" t="str">
        <x:v>候选输入schema</x:v>
      </x:c>
      <x:c r="E1331" s="30" t="str">
        <x:v>按执行角色权限读取；策略只能使用可访问快照</x:v>
      </x:c>
    </x:row>
    <x:row r="1332" ht="32" customHeight="1">
      <x:c r="A1332" s="30" t="str">
        <x:v>A013</x:v>
      </x:c>
      <x:c r="B1332" s="30" t="str">
        <x:v>F242</x:v>
      </x:c>
      <x:c r="C1332" s="30" t="str">
        <x:v>action.rejection_code</x:v>
      </x:c>
      <x:c r="D1332" s="30" t="str">
        <x:v>候选输入schema</x:v>
      </x:c>
      <x:c r="E1332" s="30" t="str">
        <x:v>按执行角色权限读取；策略只能使用可访问快照</x:v>
      </x:c>
    </x:row>
    <x:row r="1333" ht="32" customHeight="1">
      <x:c r="A1333" s="30" t="str">
        <x:v>A013</x:v>
      </x:c>
      <x:c r="B1333" s="30" t="str">
        <x:v>F243</x:v>
      </x:c>
      <x:c r="C1333" s="30" t="str">
        <x:v>action.failure_code</x:v>
      </x:c>
      <x:c r="D1333" s="30" t="str">
        <x:v>候选输入schema</x:v>
      </x:c>
      <x:c r="E1333" s="30" t="str">
        <x:v>按执行角色权限读取；策略只能使用可访问快照</x:v>
      </x:c>
    </x:row>
    <x:row r="1334" ht="32" customHeight="1">
      <x:c r="A1334" s="30" t="str">
        <x:v>A013</x:v>
      </x:c>
      <x:c r="B1334" s="30" t="str">
        <x:v>F244</x:v>
      </x:c>
      <x:c r="C1334" s="30" t="str">
        <x:v>action.cancel_requested</x:v>
      </x:c>
      <x:c r="D1334" s="30" t="str">
        <x:v>候选输入schema</x:v>
      </x:c>
      <x:c r="E1334" s="30" t="str">
        <x:v>按执行角色权限读取；策略只能使用可访问快照</x:v>
      </x:c>
    </x:row>
    <x:row r="1335" ht="32" customHeight="1">
      <x:c r="A1335" s="30" t="str">
        <x:v>A013</x:v>
      </x:c>
      <x:c r="B1335" s="30" t="str">
        <x:v>F245</x:v>
      </x:c>
      <x:c r="C1335" s="30" t="str">
        <x:v>action.backend_mode</x:v>
      </x:c>
      <x:c r="D1335" s="30" t="str">
        <x:v>候选输入schema</x:v>
      </x:c>
      <x:c r="E1335" s="30" t="str">
        <x:v>按执行角色权限读取；策略只能使用可访问快照</x:v>
      </x:c>
    </x:row>
    <x:row r="1336" ht="32" customHeight="1">
      <x:c r="A1336" s="30" t="str">
        <x:v>A013</x:v>
      </x:c>
      <x:c r="B1336" s="30" t="str">
        <x:v>F065</x:v>
      </x:c>
      <x:c r="C1336" s="30" t="str">
        <x:v>obstacle.state</x:v>
      </x:c>
      <x:c r="D1336" s="30" t="str">
        <x:v>直接效果</x:v>
      </x:c>
      <x:c r="E1336" s="30" t="str">
        <x:v>经实际执行/回执提交；不是规划时提前修改</x:v>
      </x:c>
    </x:row>
    <x:row r="1337" ht="32" customHeight="1">
      <x:c r="A1337" s="30" t="str">
        <x:v>A013</x:v>
      </x:c>
      <x:c r="B1337" s="30" t="str">
        <x:v>F064</x:v>
      </x:c>
      <x:c r="C1337" s="30" t="str">
        <x:v>obstacle.volume_m3</x:v>
      </x:c>
      <x:c r="D1337" s="30" t="str">
        <x:v>直接效果</x:v>
      </x:c>
      <x:c r="E1337" s="30" t="str">
        <x:v>经实际执行/回执提交；不是规划时提前修改</x:v>
      </x:c>
    </x:row>
    <x:row r="1338" ht="32" customHeight="1">
      <x:c r="A1338" s="30" t="str">
        <x:v>A013</x:v>
      </x:c>
      <x:c r="B1338" s="30" t="str">
        <x:v>F068</x:v>
      </x:c>
      <x:c r="C1338" s="30" t="str">
        <x:v>obstacle.work_remaining</x:v>
      </x:c>
      <x:c r="D1338" s="30" t="str">
        <x:v>直接效果</x:v>
      </x:c>
      <x:c r="E1338" s="30" t="str">
        <x:v>经实际执行/回执提交；不是规划时提前修改</x:v>
      </x:c>
    </x:row>
    <x:row r="1339" ht="32" customHeight="1">
      <x:c r="A1339" s="30" t="str">
        <x:v>A014</x:v>
      </x:c>
      <x:c r="B1339" s="30" t="str">
        <x:v>F026</x:v>
      </x:c>
      <x:c r="C1339" s="30" t="str">
        <x:v>building.use</x:v>
      </x:c>
      <x:c r="D1339" s="30" t="str">
        <x:v>候选输入schema</x:v>
      </x:c>
      <x:c r="E1339" s="30" t="str">
        <x:v>按执行角色权限读取；策略只能使用可访问快照</x:v>
      </x:c>
    </x:row>
    <x:row r="1340" ht="32" customHeight="1">
      <x:c r="A1340" s="30" t="str">
        <x:v>A014</x:v>
      </x:c>
      <x:c r="B1340" s="30" t="str">
        <x:v>F027</x:v>
      </x:c>
      <x:c r="C1340" s="30" t="str">
        <x:v>building.structure</x:v>
      </x:c>
      <x:c r="D1340" s="30" t="str">
        <x:v>候选输入schema</x:v>
      </x:c>
      <x:c r="E1340" s="30" t="str">
        <x:v>按执行角色权限读取；策略只能使用可访问快照</x:v>
      </x:c>
    </x:row>
    <x:row r="1341" ht="32" customHeight="1">
      <x:c r="A1341" s="30" t="str">
        <x:v>A014</x:v>
      </x:c>
      <x:c r="B1341" s="30" t="str">
        <x:v>F028</x:v>
      </x:c>
      <x:c r="C1341" s="30" t="str">
        <x:v>building.floors</x:v>
      </x:c>
      <x:c r="D1341" s="30" t="str">
        <x:v>候选输入schema</x:v>
      </x:c>
      <x:c r="E1341" s="30" t="str">
        <x:v>按执行角色权限读取；策略只能使用可访问快照</x:v>
      </x:c>
    </x:row>
    <x:row r="1342" ht="32" customHeight="1">
      <x:c r="A1342" s="30" t="str">
        <x:v>A014</x:v>
      </x:c>
      <x:c r="B1342" s="30" t="str">
        <x:v>F029</x:v>
      </x:c>
      <x:c r="C1342" s="30" t="str">
        <x:v>building.capacity</x:v>
      </x:c>
      <x:c r="D1342" s="30" t="str">
        <x:v>候选输入schema</x:v>
      </x:c>
      <x:c r="E1342" s="30" t="str">
        <x:v>按执行角色权限读取；策略只能使用可访问快照</x:v>
      </x:c>
    </x:row>
    <x:row r="1343" ht="32" customHeight="1">
      <x:c r="A1343" s="30" t="str">
        <x:v>A014</x:v>
      </x:c>
      <x:c r="B1343" s="30" t="str">
        <x:v>F030</x:v>
      </x:c>
      <x:c r="C1343" s="30" t="str">
        <x:v>building.visual_damage</x:v>
      </x:c>
      <x:c r="D1343" s="30" t="str">
        <x:v>候选输入schema</x:v>
      </x:c>
      <x:c r="E1343" s="30" t="str">
        <x:v>按执行角色权限读取；策略只能使用可访问快照</x:v>
      </x:c>
    </x:row>
    <x:row r="1344" ht="32" customHeight="1">
      <x:c r="A1344" s="30" t="str">
        <x:v>A014</x:v>
      </x:c>
      <x:c r="B1344" s="30" t="str">
        <x:v>F031</x:v>
      </x:c>
      <x:c r="C1344" s="30" t="str">
        <x:v>building.structural_condition</x:v>
      </x:c>
      <x:c r="D1344" s="30" t="str">
        <x:v>候选输入schema</x:v>
      </x:c>
      <x:c r="E1344" s="30" t="str">
        <x:v>按执行角色权限读取；策略只能使用可访问快照</x:v>
      </x:c>
    </x:row>
    <x:row r="1345" ht="32" customHeight="1">
      <x:c r="A1345" s="30" t="str">
        <x:v>A014</x:v>
      </x:c>
      <x:c r="B1345" s="30" t="str">
        <x:v>F032</x:v>
      </x:c>
      <x:c r="C1345" s="30" t="str">
        <x:v>building.roof_loss_ratio</x:v>
      </x:c>
      <x:c r="D1345" s="30" t="str">
        <x:v>候选输入schema</x:v>
      </x:c>
      <x:c r="E1345" s="30" t="str">
        <x:v>按执行角色权限读取；策略只能使用可访问快照</x:v>
      </x:c>
    </x:row>
    <x:row r="1346" ht="32" customHeight="1">
      <x:c r="A1346" s="30" t="str">
        <x:v>A014</x:v>
      </x:c>
      <x:c r="B1346" s="30" t="str">
        <x:v>F033</x:v>
      </x:c>
      <x:c r="C1346" s="30" t="str">
        <x:v>building.wall_damage</x:v>
      </x:c>
      <x:c r="D1346" s="30" t="str">
        <x:v>候选输入schema</x:v>
      </x:c>
      <x:c r="E1346" s="30" t="str">
        <x:v>按执行角色权限读取；策略只能使用可访问快照</x:v>
      </x:c>
    </x:row>
    <x:row r="1347" ht="32" customHeight="1">
      <x:c r="A1347" s="30" t="str">
        <x:v>A014</x:v>
      </x:c>
      <x:c r="B1347" s="30" t="str">
        <x:v>F034</x:v>
      </x:c>
      <x:c r="C1347" s="30" t="str">
        <x:v>building.flood_exposure</x:v>
      </x:c>
      <x:c r="D1347" s="30" t="str">
        <x:v>候选输入schema</x:v>
      </x:c>
      <x:c r="E1347" s="30" t="str">
        <x:v>按执行角色权限读取；策略只能使用可访问快照</x:v>
      </x:c>
    </x:row>
    <x:row r="1348" ht="32" customHeight="1">
      <x:c r="A1348" s="30" t="str">
        <x:v>A014</x:v>
      </x:c>
      <x:c r="B1348" s="30" t="str">
        <x:v>F035</x:v>
      </x:c>
      <x:c r="C1348" s="30" t="str">
        <x:v>building.entrance_ids</x:v>
      </x:c>
      <x:c r="D1348" s="30" t="str">
        <x:v>候选输入schema</x:v>
      </x:c>
      <x:c r="E1348" s="30" t="str">
        <x:v>按执行角色权限读取；策略只能使用可访问快照</x:v>
      </x:c>
    </x:row>
    <x:row r="1349" ht="32" customHeight="1">
      <x:c r="A1349" s="30" t="str">
        <x:v>A014</x:v>
      </x:c>
      <x:c r="B1349" s="30" t="str">
        <x:v>F036</x:v>
      </x:c>
      <x:c r="C1349" s="30" t="str">
        <x:v>building.interior_area_m2</x:v>
      </x:c>
      <x:c r="D1349" s="30" t="str">
        <x:v>候选输入schema</x:v>
      </x:c>
      <x:c r="E1349" s="30" t="str">
        <x:v>按执行角色权限读取；策略只能使用可访问快照</x:v>
      </x:c>
    </x:row>
    <x:row r="1350" ht="32" customHeight="1">
      <x:c r="A1350" s="30" t="str">
        <x:v>A014</x:v>
      </x:c>
      <x:c r="B1350" s="30" t="str">
        <x:v>F037</x:v>
      </x:c>
      <x:c r="C1350" s="30" t="str">
        <x:v>building.interior_mode</x:v>
      </x:c>
      <x:c r="D1350" s="30" t="str">
        <x:v>候选输入schema</x:v>
      </x:c>
      <x:c r="E1350" s="30" t="str">
        <x:v>按执行角色权限读取；策略只能使用可访问快照</x:v>
      </x:c>
    </x:row>
    <x:row r="1351" ht="32" customHeight="1">
      <x:c r="A1351" s="30" t="str">
        <x:v>A014</x:v>
      </x:c>
      <x:c r="B1351" s="30" t="str">
        <x:v>F038</x:v>
      </x:c>
      <x:c r="C1351" s="30" t="str">
        <x:v>building.search_difficulty</x:v>
      </x:c>
      <x:c r="D1351" s="30" t="str">
        <x:v>候选输入schema</x:v>
      </x:c>
      <x:c r="E1351" s="30" t="str">
        <x:v>按执行角色权限读取；策略只能使用可访问快照</x:v>
      </x:c>
    </x:row>
    <x:row r="1352" ht="32" customHeight="1">
      <x:c r="A1352" s="30" t="str">
        <x:v>A014</x:v>
      </x:c>
      <x:c r="B1352" s="30" t="str">
        <x:v>F039</x:v>
      </x:c>
      <x:c r="C1352" s="30" t="str">
        <x:v>building.occupant_ids</x:v>
      </x:c>
      <x:c r="D1352" s="30" t="str">
        <x:v>候选输入schema</x:v>
      </x:c>
      <x:c r="E1352" s="30" t="str">
        <x:v>按执行角色权限读取；策略只能使用可访问快照</x:v>
      </x:c>
    </x:row>
    <x:row r="1353" ht="32" customHeight="1">
      <x:c r="A1353" s="30" t="str">
        <x:v>A014</x:v>
      </x:c>
      <x:c r="B1353" s="30" t="str">
        <x:v>F040</x:v>
      </x:c>
      <x:c r="C1353" s="30" t="str">
        <x:v>building.search_coverage_truth</x:v>
      </x:c>
      <x:c r="D1353" s="30" t="str">
        <x:v>候选输入schema</x:v>
      </x:c>
      <x:c r="E1353" s="30" t="str">
        <x:v>按执行角色权限读取；策略只能使用可访问快照</x:v>
      </x:c>
    </x:row>
    <x:row r="1354" ht="32" customHeight="1">
      <x:c r="A1354" s="30" t="str">
        <x:v>A014</x:v>
      </x:c>
      <x:c r="B1354" s="30" t="str">
        <x:v>F041</x:v>
      </x:c>
      <x:c r="C1354" s="30" t="str">
        <x:v>building.worksite_record</x:v>
      </x:c>
      <x:c r="D1354" s="30" t="str">
        <x:v>候选输入schema</x:v>
      </x:c>
      <x:c r="E1354" s="30" t="str">
        <x:v>按执行角色权限读取；策略只能使用可访问快照</x:v>
      </x:c>
    </x:row>
    <x:row r="1355" ht="32" customHeight="1">
      <x:c r="A1355" s="30" t="str">
        <x:v>A014</x:v>
      </x:c>
      <x:c r="B1355" s="30" t="str">
        <x:v>F042</x:v>
      </x:c>
      <x:c r="C1355" s="30" t="str">
        <x:v>building.remaining_hazard</x:v>
      </x:c>
      <x:c r="D1355" s="30" t="str">
        <x:v>候选输入schema</x:v>
      </x:c>
      <x:c r="E1355" s="30" t="str">
        <x:v>按执行角色权限读取；策略只能使用可访问快照</x:v>
      </x:c>
    </x:row>
    <x:row r="1356" ht="32" customHeight="1">
      <x:c r="A1356" s="30" t="str">
        <x:v>A014</x:v>
      </x:c>
      <x:c r="B1356" s="30" t="str">
        <x:v>F043</x:v>
      </x:c>
      <x:c r="C1356" s="30" t="str">
        <x:v>building.render_variant</x:v>
      </x:c>
      <x:c r="D1356" s="30" t="str">
        <x:v>候选输入schema</x:v>
      </x:c>
      <x:c r="E1356" s="30" t="str">
        <x:v>按执行角色权限读取；策略只能使用可访问快照</x:v>
      </x:c>
    </x:row>
    <x:row r="1357" ht="32" customHeight="1">
      <x:c r="A1357" s="30" t="str">
        <x:v>A014</x:v>
      </x:c>
      <x:c r="B1357" s="30" t="str">
        <x:v>F044</x:v>
      </x:c>
      <x:c r="C1357" s="30" t="str">
        <x:v>road.centerline</x:v>
      </x:c>
      <x:c r="D1357" s="30" t="str">
        <x:v>候选输入schema</x:v>
      </x:c>
      <x:c r="E1357" s="30" t="str">
        <x:v>按执行角色权限读取；策略只能使用可访问快照</x:v>
      </x:c>
    </x:row>
    <x:row r="1358" ht="32" customHeight="1">
      <x:c r="A1358" s="30" t="str">
        <x:v>A014</x:v>
      </x:c>
      <x:c r="B1358" s="30" t="str">
        <x:v>F045</x:v>
      </x:c>
      <x:c r="C1358" s="30" t="str">
        <x:v>road.width_m</x:v>
      </x:c>
      <x:c r="D1358" s="30" t="str">
        <x:v>候选输入schema</x:v>
      </x:c>
      <x:c r="E1358" s="30" t="str">
        <x:v>按执行角色权限读取；策略只能使用可访问快照</x:v>
      </x:c>
    </x:row>
    <x:row r="1359" ht="32" customHeight="1">
      <x:c r="A1359" s="30" t="str">
        <x:v>A014</x:v>
      </x:c>
      <x:c r="B1359" s="30" t="str">
        <x:v>F046</x:v>
      </x:c>
      <x:c r="C1359" s="30" t="str">
        <x:v>road.surface</x:v>
      </x:c>
      <x:c r="D1359" s="30" t="str">
        <x:v>候选输入schema</x:v>
      </x:c>
      <x:c r="E1359" s="30" t="str">
        <x:v>按执行角色权限读取；策略只能使用可访问快照</x:v>
      </x:c>
    </x:row>
    <x:row r="1360" ht="32" customHeight="1">
      <x:c r="A1360" s="30" t="str">
        <x:v>A014</x:v>
      </x:c>
      <x:c r="B1360" s="30" t="str">
        <x:v>F047</x:v>
      </x:c>
      <x:c r="C1360" s="30" t="str">
        <x:v>road.from_node</x:v>
      </x:c>
      <x:c r="D1360" s="30" t="str">
        <x:v>候选输入schema</x:v>
      </x:c>
      <x:c r="E1360" s="30" t="str">
        <x:v>按执行角色权限读取；策略只能使用可访问快照</x:v>
      </x:c>
    </x:row>
    <x:row r="1361" ht="32" customHeight="1">
      <x:c r="A1361" s="30" t="str">
        <x:v>A014</x:v>
      </x:c>
      <x:c r="B1361" s="30" t="str">
        <x:v>F048</x:v>
      </x:c>
      <x:c r="C1361" s="30" t="str">
        <x:v>road.to_node</x:v>
      </x:c>
      <x:c r="D1361" s="30" t="str">
        <x:v>候选输入schema</x:v>
      </x:c>
      <x:c r="E1361" s="30" t="str">
        <x:v>按执行角色权限读取；策略只能使用可访问快照</x:v>
      </x:c>
    </x:row>
    <x:row r="1362" ht="32" customHeight="1">
      <x:c r="A1362" s="30" t="str">
        <x:v>A014</x:v>
      </x:c>
      <x:c r="B1362" s="30" t="str">
        <x:v>F049</x:v>
      </x:c>
      <x:c r="C1362" s="30" t="str">
        <x:v>road.obstacle_ids</x:v>
      </x:c>
      <x:c r="D1362" s="30" t="str">
        <x:v>候选输入schema</x:v>
      </x:c>
      <x:c r="E1362" s="30" t="str">
        <x:v>按执行角色权限读取；策略只能使用可访问快照</x:v>
      </x:c>
    </x:row>
    <x:row r="1363" ht="32" customHeight="1">
      <x:c r="A1363" s="30" t="str">
        <x:v>A014</x:v>
      </x:c>
      <x:c r="B1363" s="30" t="str">
        <x:v>F050</x:v>
      </x:c>
      <x:c r="C1363" s="30" t="str">
        <x:v>road.clear_width_m</x:v>
      </x:c>
      <x:c r="D1363" s="30" t="str">
        <x:v>候选输入schema</x:v>
      </x:c>
      <x:c r="E1363" s="30" t="str">
        <x:v>按执行角色权限读取；策略只能使用可访问快照</x:v>
      </x:c>
    </x:row>
    <x:row r="1364" ht="32" customHeight="1">
      <x:c r="A1364" s="30" t="str">
        <x:v>A014</x:v>
      </x:c>
      <x:c r="B1364" s="30" t="str">
        <x:v>F051</x:v>
      </x:c>
      <x:c r="C1364" s="30" t="str">
        <x:v>road.clear_height_m</x:v>
      </x:c>
      <x:c r="D1364" s="30" t="str">
        <x:v>候选输入schema</x:v>
      </x:c>
      <x:c r="E1364" s="30" t="str">
        <x:v>按执行角色权限读取；策略只能使用可访问快照</x:v>
      </x:c>
    </x:row>
    <x:row r="1365" ht="32" customHeight="1">
      <x:c r="A1365" s="30" t="str">
        <x:v>A014</x:v>
      </x:c>
      <x:c r="B1365" s="30" t="str">
        <x:v>F052</x:v>
      </x:c>
      <x:c r="C1365" s="30" t="str">
        <x:v>road.turn_radius_m</x:v>
      </x:c>
      <x:c r="D1365" s="30" t="str">
        <x:v>候选输入schema</x:v>
      </x:c>
      <x:c r="E1365" s="30" t="str">
        <x:v>按执行角色权限读取；策略只能使用可访问快照</x:v>
      </x:c>
    </x:row>
    <x:row r="1366" ht="32" customHeight="1">
      <x:c r="A1366" s="30" t="str">
        <x:v>A014</x:v>
      </x:c>
      <x:c r="B1366" s="30" t="str">
        <x:v>F053</x:v>
      </x:c>
      <x:c r="C1366" s="30" t="str">
        <x:v>road.step_height_m</x:v>
      </x:c>
      <x:c r="D1366" s="30" t="str">
        <x:v>候选输入schema</x:v>
      </x:c>
      <x:c r="E1366" s="30" t="str">
        <x:v>按执行角色权限读取；策略只能使用可访问快照</x:v>
      </x:c>
    </x:row>
    <x:row r="1367" ht="32" customHeight="1">
      <x:c r="A1367" s="30" t="str">
        <x:v>A014</x:v>
      </x:c>
      <x:c r="B1367" s="30" t="str">
        <x:v>F054</x:v>
      </x:c>
      <x:c r="C1367" s="30" t="str">
        <x:v>road.entry_state</x:v>
      </x:c>
      <x:c r="D1367" s="30" t="str">
        <x:v>候选输入schema</x:v>
      </x:c>
      <x:c r="E1367" s="30" t="str">
        <x:v>按执行角色权限读取；策略只能使用可访问快照</x:v>
      </x:c>
    </x:row>
    <x:row r="1368" ht="32" customHeight="1">
      <x:c r="A1368" s="30" t="str">
        <x:v>A014</x:v>
      </x:c>
      <x:c r="B1368" s="30" t="str">
        <x:v>F055</x:v>
      </x:c>
      <x:c r="C1368" s="30" t="str">
        <x:v>road.water_depth_m</x:v>
      </x:c>
      <x:c r="D1368" s="30" t="str">
        <x:v>候选输入schema</x:v>
      </x:c>
      <x:c r="E1368" s="30" t="str">
        <x:v>按执行角色权限读取；策略只能使用可访问快照</x:v>
      </x:c>
    </x:row>
    <x:row r="1369" ht="32" customHeight="1">
      <x:c r="A1369" s="30" t="str">
        <x:v>A014</x:v>
      </x:c>
      <x:c r="B1369" s="30" t="str">
        <x:v>F056</x:v>
      </x:c>
      <x:c r="C1369" s="30" t="str">
        <x:v>road.passability</x:v>
      </x:c>
      <x:c r="D1369" s="30" t="str">
        <x:v>候选输入schema</x:v>
      </x:c>
      <x:c r="E1369" s="30" t="str">
        <x:v>按执行角色权限读取；策略只能使用可访问快照</x:v>
      </x:c>
    </x:row>
    <x:row r="1370" ht="32" customHeight="1">
      <x:c r="A1370" s="30" t="str">
        <x:v>A014</x:v>
      </x:c>
      <x:c r="B1370" s="30" t="str">
        <x:v>F057</x:v>
      </x:c>
      <x:c r="C1370" s="30" t="str">
        <x:v>road.travel_cost</x:v>
      </x:c>
      <x:c r="D1370" s="30" t="str">
        <x:v>候选输入schema</x:v>
      </x:c>
      <x:c r="E1370" s="30" t="str">
        <x:v>按执行角色权限读取；策略只能使用可访问快照</x:v>
      </x:c>
    </x:row>
    <x:row r="1371" ht="32" customHeight="1">
      <x:c r="A1371" s="30" t="str">
        <x:v>A014</x:v>
      </x:c>
      <x:c r="B1371" s="30" t="str">
        <x:v>F058</x:v>
      </x:c>
      <x:c r="C1371" s="30" t="str">
        <x:v>road.topology_revision</x:v>
      </x:c>
      <x:c r="D1371" s="30" t="str">
        <x:v>候选输入schema</x:v>
      </x:c>
      <x:c r="E1371" s="30" t="str">
        <x:v>按执行角色权限读取；策略只能使用可访问快照</x:v>
      </x:c>
    </x:row>
    <x:row r="1372" ht="32" customHeight="1">
      <x:c r="A1372" s="30" t="str">
        <x:v>A014</x:v>
      </x:c>
      <x:c r="B1372" s="30" t="str">
        <x:v>F059</x:v>
      </x:c>
      <x:c r="C1372" s="30" t="str">
        <x:v>obstacle.kind</x:v>
      </x:c>
      <x:c r="D1372" s="30" t="str">
        <x:v>候选输入schema</x:v>
      </x:c>
      <x:c r="E1372" s="30" t="str">
        <x:v>按执行角色权限读取；策略只能使用可访问快照</x:v>
      </x:c>
    </x:row>
    <x:row r="1373" ht="32" customHeight="1">
      <x:c r="A1373" s="30" t="str">
        <x:v>A014</x:v>
      </x:c>
      <x:c r="B1373" s="30" t="str">
        <x:v>F060</x:v>
      </x:c>
      <x:c r="C1373" s="30" t="str">
        <x:v>obstacle.material</x:v>
      </x:c>
      <x:c r="D1373" s="30" t="str">
        <x:v>候选输入schema</x:v>
      </x:c>
      <x:c r="E1373" s="30" t="str">
        <x:v>按执行角色权限读取；策略只能使用可访问快照</x:v>
      </x:c>
    </x:row>
    <x:row r="1374" ht="32" customHeight="1">
      <x:c r="A1374" s="30" t="str">
        <x:v>A014</x:v>
      </x:c>
      <x:c r="B1374" s="30" t="str">
        <x:v>F061</x:v>
      </x:c>
      <x:c r="C1374" s="30" t="str">
        <x:v>obstacle.source_id</x:v>
      </x:c>
      <x:c r="D1374" s="30" t="str">
        <x:v>候选输入schema</x:v>
      </x:c>
      <x:c r="E1374" s="30" t="str">
        <x:v>按执行角色权限读取；策略只能使用可访问快照</x:v>
      </x:c>
    </x:row>
    <x:row r="1375" ht="32" customHeight="1">
      <x:c r="A1375" s="30" t="str">
        <x:v>A014</x:v>
      </x:c>
      <x:c r="B1375" s="30" t="str">
        <x:v>F062</x:v>
      </x:c>
      <x:c r="C1375" s="30" t="str">
        <x:v>obstacle.height_m</x:v>
      </x:c>
      <x:c r="D1375" s="30" t="str">
        <x:v>候选输入schema</x:v>
      </x:c>
      <x:c r="E1375" s="30" t="str">
        <x:v>按执行角色权限读取；策略只能使用可访问快照</x:v>
      </x:c>
    </x:row>
    <x:row r="1376" ht="32" customHeight="1">
      <x:c r="A1376" s="30" t="str">
        <x:v>A014</x:v>
      </x:c>
      <x:c r="B1376" s="30" t="str">
        <x:v>F063</x:v>
      </x:c>
      <x:c r="C1376" s="30" t="str">
        <x:v>obstacle.mass_kg</x:v>
      </x:c>
      <x:c r="D1376" s="30" t="str">
        <x:v>候选输入schema</x:v>
      </x:c>
      <x:c r="E1376" s="30" t="str">
        <x:v>按执行角色权限读取；策略只能使用可访问快照</x:v>
      </x:c>
    </x:row>
    <x:row r="1377" ht="32" customHeight="1">
      <x:c r="A1377" s="30" t="str">
        <x:v>A014</x:v>
      </x:c>
      <x:c r="B1377" s="30" t="str">
        <x:v>F064</x:v>
      </x:c>
      <x:c r="C1377" s="30" t="str">
        <x:v>obstacle.volume_m3</x:v>
      </x:c>
      <x:c r="D1377" s="30" t="str">
        <x:v>候选输入schema</x:v>
      </x:c>
      <x:c r="E1377" s="30" t="str">
        <x:v>按执行角色权限读取；策略只能使用可访问快照</x:v>
      </x:c>
    </x:row>
    <x:row r="1378" ht="32" customHeight="1">
      <x:c r="A1378" s="30" t="str">
        <x:v>A014</x:v>
      </x:c>
      <x:c r="B1378" s="30" t="str">
        <x:v>F065</x:v>
      </x:c>
      <x:c r="C1378" s="30" t="str">
        <x:v>obstacle.state</x:v>
      </x:c>
      <x:c r="D1378" s="30" t="str">
        <x:v>候选输入schema</x:v>
      </x:c>
      <x:c r="E1378" s="30" t="str">
        <x:v>按执行角色权限读取；策略只能使用可访问快照</x:v>
      </x:c>
    </x:row>
    <x:row r="1379" ht="32" customHeight="1">
      <x:c r="A1379" s="30" t="str">
        <x:v>A014</x:v>
      </x:c>
      <x:c r="B1379" s="30" t="str">
        <x:v>F066</x:v>
      </x:c>
      <x:c r="C1379" s="30" t="str">
        <x:v>obstacle.stability</x:v>
      </x:c>
      <x:c r="D1379" s="30" t="str">
        <x:v>候选输入schema</x:v>
      </x:c>
      <x:c r="E1379" s="30" t="str">
        <x:v>按执行角色权限读取；策略只能使用可访问快照</x:v>
      </x:c>
    </x:row>
    <x:row r="1380" ht="32" customHeight="1">
      <x:c r="A1380" s="30" t="str">
        <x:v>A014</x:v>
      </x:c>
      <x:c r="B1380" s="30" t="str">
        <x:v>F067</x:v>
      </x:c>
      <x:c r="C1380" s="30" t="str">
        <x:v>obstacle.clear_method</x:v>
      </x:c>
      <x:c r="D1380" s="30" t="str">
        <x:v>候选输入schema</x:v>
      </x:c>
      <x:c r="E1380" s="30" t="str">
        <x:v>按执行角色权限读取；策略只能使用可访问快照</x:v>
      </x:c>
    </x:row>
    <x:row r="1381" ht="32" customHeight="1">
      <x:c r="A1381" s="30" t="str">
        <x:v>A014</x:v>
      </x:c>
      <x:c r="B1381" s="30" t="str">
        <x:v>F068</x:v>
      </x:c>
      <x:c r="C1381" s="30" t="str">
        <x:v>obstacle.work_remaining</x:v>
      </x:c>
      <x:c r="D1381" s="30" t="str">
        <x:v>候选输入schema</x:v>
      </x:c>
      <x:c r="E1381" s="30" t="str">
        <x:v>按执行角色权限读取；策略只能使用可访问快照</x:v>
      </x:c>
    </x:row>
    <x:row r="1382" ht="32" customHeight="1">
      <x:c r="A1382" s="30" t="str">
        <x:v>A014</x:v>
      </x:c>
      <x:c r="B1382" s="30" t="str">
        <x:v>F069</x:v>
      </x:c>
      <x:c r="C1382" s="30" t="str">
        <x:v>obstacle.blocks_ids</x:v>
      </x:c>
      <x:c r="D1382" s="30" t="str">
        <x:v>候选输入schema</x:v>
      </x:c>
      <x:c r="E1382" s="30" t="str">
        <x:v>按执行角色权限读取；策略只能使用可访问快照</x:v>
      </x:c>
    </x:row>
    <x:row r="1383" ht="32" customHeight="1">
      <x:c r="A1383" s="30" t="str">
        <x:v>A014</x:v>
      </x:c>
      <x:c r="B1383" s="30" t="str">
        <x:v>F070</x:v>
      </x:c>
      <x:c r="C1383" s="30" t="str">
        <x:v>obstacle.disposal_location</x:v>
      </x:c>
      <x:c r="D1383" s="30" t="str">
        <x:v>候选输入schema</x:v>
      </x:c>
      <x:c r="E1383" s="30" t="str">
        <x:v>按执行角色权限读取；策略只能使用可访问快照</x:v>
      </x:c>
    </x:row>
    <x:row r="1384" ht="32" customHeight="1">
      <x:c r="A1384" s="30" t="str">
        <x:v>A014</x:v>
      </x:c>
      <x:c r="B1384" s="30" t="str">
        <x:v>F116</x:v>
      </x:c>
      <x:c r="C1384" s="30" t="str">
        <x:v>equipment.kind</x:v>
      </x:c>
      <x:c r="D1384" s="30" t="str">
        <x:v>候选输入schema</x:v>
      </x:c>
      <x:c r="E1384" s="30" t="str">
        <x:v>按执行角色权限读取；策略只能使用可访问快照</x:v>
      </x:c>
    </x:row>
    <x:row r="1385" ht="32" customHeight="1">
      <x:c r="A1385" s="30" t="str">
        <x:v>A014</x:v>
      </x:c>
      <x:c r="B1385" s="30" t="str">
        <x:v>F117</x:v>
      </x:c>
      <x:c r="C1385" s="30" t="str">
        <x:v>equipment.enabled</x:v>
      </x:c>
      <x:c r="D1385" s="30" t="str">
        <x:v>候选输入schema</x:v>
      </x:c>
      <x:c r="E1385" s="30" t="str">
        <x:v>按执行角色权限读取；策略只能使用可访问快照</x:v>
      </x:c>
    </x:row>
    <x:row r="1386" ht="32" customHeight="1">
      <x:c r="A1386" s="30" t="str">
        <x:v>A014</x:v>
      </x:c>
      <x:c r="B1386" s="30" t="str">
        <x:v>F118</x:v>
      </x:c>
      <x:c r="C1386" s="30" t="str">
        <x:v>equipment.health</x:v>
      </x:c>
      <x:c r="D1386" s="30" t="str">
        <x:v>候选输入schema</x:v>
      </x:c>
      <x:c r="E1386" s="30" t="str">
        <x:v>按执行角色权限读取；策略只能使用可访问快照</x:v>
      </x:c>
    </x:row>
    <x:row r="1387" ht="32" customHeight="1">
      <x:c r="A1387" s="30" t="str">
        <x:v>A014</x:v>
      </x:c>
      <x:c r="B1387" s="30" t="str">
        <x:v>F119</x:v>
      </x:c>
      <x:c r="C1387" s="30" t="str">
        <x:v>equipment.rated_load_kg</x:v>
      </x:c>
      <x:c r="D1387" s="30" t="str">
        <x:v>候选输入schema</x:v>
      </x:c>
      <x:c r="E1387" s="30" t="str">
        <x:v>按执行角色权限读取；策略只能使用可访问快照</x:v>
      </x:c>
    </x:row>
    <x:row r="1388" ht="32" customHeight="1">
      <x:c r="A1388" s="30" t="str">
        <x:v>A014</x:v>
      </x:c>
      <x:c r="B1388" s="30" t="str">
        <x:v>F120</x:v>
      </x:c>
      <x:c r="C1388" s="30" t="str">
        <x:v>equipment.reach_m</x:v>
      </x:c>
      <x:c r="D1388" s="30" t="str">
        <x:v>候选输入schema</x:v>
      </x:c>
      <x:c r="E1388" s="30" t="str">
        <x:v>按执行角色权限读取；策略只能使用可访问快照</x:v>
      </x:c>
    </x:row>
    <x:row r="1389" ht="32" customHeight="1">
      <x:c r="A1389" s="30" t="str">
        <x:v>A014</x:v>
      </x:c>
      <x:c r="B1389" s="30" t="str">
        <x:v>F121</x:v>
      </x:c>
      <x:c r="C1389" s="30" t="str">
        <x:v>equipment.compatible_materials</x:v>
      </x:c>
      <x:c r="D1389" s="30" t="str">
        <x:v>候选输入schema</x:v>
      </x:c>
      <x:c r="E1389" s="30" t="str">
        <x:v>按执行角色权限读取；策略只能使用可访问快照</x:v>
      </x:c>
    </x:row>
    <x:row r="1390" ht="32" customHeight="1">
      <x:c r="A1390" s="30" t="str">
        <x:v>A014</x:v>
      </x:c>
      <x:c r="B1390" s="30" t="str">
        <x:v>F122</x:v>
      </x:c>
      <x:c r="C1390" s="30" t="str">
        <x:v>equipment.tool_size</x:v>
      </x:c>
      <x:c r="D1390" s="30" t="str">
        <x:v>候选输入schema</x:v>
      </x:c>
      <x:c r="E1390" s="30" t="str">
        <x:v>按执行角色权限读取；策略只能使用可访问快照</x:v>
      </x:c>
    </x:row>
    <x:row r="1391" ht="32" customHeight="1">
      <x:c r="A1391" s="30" t="str">
        <x:v>A014</x:v>
      </x:c>
      <x:c r="B1391" s="30" t="str">
        <x:v>F123</x:v>
      </x:c>
      <x:c r="C1391" s="30" t="str">
        <x:v>equipment.consumable_type</x:v>
      </x:c>
      <x:c r="D1391" s="30" t="str">
        <x:v>候选输入schema</x:v>
      </x:c>
      <x:c r="E1391" s="30" t="str">
        <x:v>按执行角色权限读取；策略只能使用可访问快照</x:v>
      </x:c>
    </x:row>
    <x:row r="1392" ht="32" customHeight="1">
      <x:c r="A1392" s="30" t="str">
        <x:v>A014</x:v>
      </x:c>
      <x:c r="B1392" s="30" t="str">
        <x:v>F124</x:v>
      </x:c>
      <x:c r="C1392" s="30" t="str">
        <x:v>equipment.consumable_remaining</x:v>
      </x:c>
      <x:c r="D1392" s="30" t="str">
        <x:v>候选输入schema</x:v>
      </x:c>
      <x:c r="E1392" s="30" t="str">
        <x:v>按执行角色权限读取；策略只能使用可访问快照</x:v>
      </x:c>
    </x:row>
    <x:row r="1393" ht="32" customHeight="1">
      <x:c r="A1393" s="30" t="str">
        <x:v>A014</x:v>
      </x:c>
      <x:c r="B1393" s="30" t="str">
        <x:v>F125</x:v>
      </x:c>
      <x:c r="C1393" s="30" t="str">
        <x:v>equipment.operator_authority</x:v>
      </x:c>
      <x:c r="D1393" s="30" t="str">
        <x:v>候选输入schema</x:v>
      </x:c>
      <x:c r="E1393" s="30" t="str">
        <x:v>按执行角色权限读取；策略只能使用可访问快照</x:v>
      </x:c>
    </x:row>
    <x:row r="1394" ht="32" customHeight="1">
      <x:c r="A1394" s="30" t="str">
        <x:v>A014</x:v>
      </x:c>
      <x:c r="B1394" s="30" t="str">
        <x:v>F126</x:v>
      </x:c>
      <x:c r="C1394" s="30" t="str">
        <x:v>equipment.setup_state</x:v>
      </x:c>
      <x:c r="D1394" s="30" t="str">
        <x:v>候选输入schema</x:v>
      </x:c>
      <x:c r="E1394" s="30" t="str">
        <x:v>按执行角色权限读取；策略只能使用可访问快照</x:v>
      </x:c>
    </x:row>
    <x:row r="1395" ht="32" customHeight="1">
      <x:c r="A1395" s="30" t="str">
        <x:v>A014</x:v>
      </x:c>
      <x:c r="B1395" s="30" t="str">
        <x:v>F127</x:v>
      </x:c>
      <x:c r="C1395" s="30" t="str">
        <x:v>equipment.busy_action_id</x:v>
      </x:c>
      <x:c r="D1395" s="30" t="str">
        <x:v>候选输入schema</x:v>
      </x:c>
      <x:c r="E1395" s="30" t="str">
        <x:v>按执行角色权限读取；策略只能使用可访问快照</x:v>
      </x:c>
    </x:row>
    <x:row r="1396" ht="32" customHeight="1">
      <x:c r="A1396" s="30" t="str">
        <x:v>A014</x:v>
      </x:c>
      <x:c r="B1396" s="30" t="str">
        <x:v>F230</x:v>
      </x:c>
      <x:c r="C1396" s="30" t="str">
        <x:v>action.type</x:v>
      </x:c>
      <x:c r="D1396" s="30" t="str">
        <x:v>候选输入schema</x:v>
      </x:c>
      <x:c r="E1396" s="30" t="str">
        <x:v>按执行角色权限读取；策略只能使用可访问快照</x:v>
      </x:c>
    </x:row>
    <x:row r="1397" ht="32" customHeight="1">
      <x:c r="A1397" s="30" t="str">
        <x:v>A014</x:v>
      </x:c>
      <x:c r="B1397" s="30" t="str">
        <x:v>F231</x:v>
      </x:c>
      <x:c r="C1397" s="30" t="str">
        <x:v>action.executor_id</x:v>
      </x:c>
      <x:c r="D1397" s="30" t="str">
        <x:v>候选输入schema</x:v>
      </x:c>
      <x:c r="E1397" s="30" t="str">
        <x:v>按执行角色权限读取；策略只能使用可访问快照</x:v>
      </x:c>
    </x:row>
    <x:row r="1398" ht="32" customHeight="1">
      <x:c r="A1398" s="30" t="str">
        <x:v>A014</x:v>
      </x:c>
      <x:c r="B1398" s="30" t="str">
        <x:v>F232</x:v>
      </x:c>
      <x:c r="C1398" s="30" t="str">
        <x:v>action.task_ref</x:v>
      </x:c>
      <x:c r="D1398" s="30" t="str">
        <x:v>候选输入schema</x:v>
      </x:c>
      <x:c r="E1398" s="30" t="str">
        <x:v>按执行角色权限读取；策略只能使用可访问快照</x:v>
      </x:c>
    </x:row>
    <x:row r="1399" ht="32" customHeight="1">
      <x:c r="A1399" s="30" t="str">
        <x:v>A014</x:v>
      </x:c>
      <x:c r="B1399" s="30" t="str">
        <x:v>F233</x:v>
      </x:c>
      <x:c r="C1399" s="30" t="str">
        <x:v>action.target_ref</x:v>
      </x:c>
      <x:c r="D1399" s="30" t="str">
        <x:v>候选输入schema</x:v>
      </x:c>
      <x:c r="E1399" s="30" t="str">
        <x:v>按执行角色权限读取；策略只能使用可访问快照</x:v>
      </x:c>
    </x:row>
    <x:row r="1400" ht="32" customHeight="1">
      <x:c r="A1400" s="30" t="str">
        <x:v>A014</x:v>
      </x:c>
      <x:c r="B1400" s="30" t="str">
        <x:v>F234</x:v>
      </x:c>
      <x:c r="C1400" s="30" t="str">
        <x:v>action.parameters</x:v>
      </x:c>
      <x:c r="D1400" s="30" t="str">
        <x:v>候选输入schema</x:v>
      </x:c>
      <x:c r="E1400" s="30" t="str">
        <x:v>按执行角色权限读取；策略只能使用可访问快照</x:v>
      </x:c>
    </x:row>
    <x:row r="1401" ht="32" customHeight="1">
      <x:c r="A1401" s="30" t="str">
        <x:v>A014</x:v>
      </x:c>
      <x:c r="B1401" s="30" t="str">
        <x:v>F235</x:v>
      </x:c>
      <x:c r="C1401" s="30" t="str">
        <x:v>action.status</x:v>
      </x:c>
      <x:c r="D1401" s="30" t="str">
        <x:v>候选输入schema</x:v>
      </x:c>
      <x:c r="E1401" s="30" t="str">
        <x:v>按执行角色权限读取；策略只能使用可访问快照</x:v>
      </x:c>
    </x:row>
    <x:row r="1402" ht="32" customHeight="1">
      <x:c r="A1402" s="30" t="str">
        <x:v>A014</x:v>
      </x:c>
      <x:c r="B1402" s="30" t="str">
        <x:v>F236</x:v>
      </x:c>
      <x:c r="C1402" s="30" t="str">
        <x:v>action.start_s</x:v>
      </x:c>
      <x:c r="D1402" s="30" t="str">
        <x:v>候选输入schema</x:v>
      </x:c>
      <x:c r="E1402" s="30" t="str">
        <x:v>按执行角色权限读取；策略只能使用可访问快照</x:v>
      </x:c>
    </x:row>
    <x:row r="1403" ht="32" customHeight="1">
      <x:c r="A1403" s="30" t="str">
        <x:v>A014</x:v>
      </x:c>
      <x:c r="B1403" s="30" t="str">
        <x:v>F237</x:v>
      </x:c>
      <x:c r="C1403" s="30" t="str">
        <x:v>action.finish_s</x:v>
      </x:c>
      <x:c r="D1403" s="30" t="str">
        <x:v>候选输入schema</x:v>
      </x:c>
      <x:c r="E1403" s="30" t="str">
        <x:v>按执行角色权限读取；策略只能使用可访问快照</x:v>
      </x:c>
    </x:row>
    <x:row r="1404" ht="32" customHeight="1">
      <x:c r="A1404" s="30" t="str">
        <x:v>A014</x:v>
      </x:c>
      <x:c r="B1404" s="30" t="str">
        <x:v>F238</x:v>
      </x:c>
      <x:c r="C1404" s="30" t="str">
        <x:v>action.reserved_resources</x:v>
      </x:c>
      <x:c r="D1404" s="30" t="str">
        <x:v>候选输入schema</x:v>
      </x:c>
      <x:c r="E1404" s="30" t="str">
        <x:v>按执行角色权限读取；策略只能使用可访问快照</x:v>
      </x:c>
    </x:row>
    <x:row r="1405" ht="32" customHeight="1">
      <x:c r="A1405" s="30" t="str">
        <x:v>A014</x:v>
      </x:c>
      <x:c r="B1405" s="30" t="str">
        <x:v>F239</x:v>
      </x:c>
      <x:c r="C1405" s="30" t="str">
        <x:v>action.consumed_resources</x:v>
      </x:c>
      <x:c r="D1405" s="30" t="str">
        <x:v>候选输入schema</x:v>
      </x:c>
      <x:c r="E1405" s="30" t="str">
        <x:v>按执行角色权限读取；策略只能使用可访问快照</x:v>
      </x:c>
    </x:row>
    <x:row r="1406" ht="32" customHeight="1">
      <x:c r="A1406" s="30" t="str">
        <x:v>A014</x:v>
      </x:c>
      <x:c r="B1406" s="30" t="str">
        <x:v>F240</x:v>
      </x:c>
      <x:c r="C1406" s="30" t="str">
        <x:v>action.feedback</x:v>
      </x:c>
      <x:c r="D1406" s="30" t="str">
        <x:v>候选输入schema</x:v>
      </x:c>
      <x:c r="E1406" s="30" t="str">
        <x:v>按执行角色权限读取；策略只能使用可访问快照</x:v>
      </x:c>
    </x:row>
    <x:row r="1407" ht="32" customHeight="1">
      <x:c r="A1407" s="30" t="str">
        <x:v>A014</x:v>
      </x:c>
      <x:c r="B1407" s="30" t="str">
        <x:v>F241</x:v>
      </x:c>
      <x:c r="C1407" s="30" t="str">
        <x:v>action.result</x:v>
      </x:c>
      <x:c r="D1407" s="30" t="str">
        <x:v>候选输入schema</x:v>
      </x:c>
      <x:c r="E1407" s="30" t="str">
        <x:v>按执行角色权限读取；策略只能使用可访问快照</x:v>
      </x:c>
    </x:row>
    <x:row r="1408" ht="32" customHeight="1">
      <x:c r="A1408" s="30" t="str">
        <x:v>A014</x:v>
      </x:c>
      <x:c r="B1408" s="30" t="str">
        <x:v>F242</x:v>
      </x:c>
      <x:c r="C1408" s="30" t="str">
        <x:v>action.rejection_code</x:v>
      </x:c>
      <x:c r="D1408" s="30" t="str">
        <x:v>候选输入schema</x:v>
      </x:c>
      <x:c r="E1408" s="30" t="str">
        <x:v>按执行角色权限读取；策略只能使用可访问快照</x:v>
      </x:c>
    </x:row>
    <x:row r="1409" ht="32" customHeight="1">
      <x:c r="A1409" s="30" t="str">
        <x:v>A014</x:v>
      </x:c>
      <x:c r="B1409" s="30" t="str">
        <x:v>F243</x:v>
      </x:c>
      <x:c r="C1409" s="30" t="str">
        <x:v>action.failure_code</x:v>
      </x:c>
      <x:c r="D1409" s="30" t="str">
        <x:v>候选输入schema</x:v>
      </x:c>
      <x:c r="E1409" s="30" t="str">
        <x:v>按执行角色权限读取；策略只能使用可访问快照</x:v>
      </x:c>
    </x:row>
    <x:row r="1410" ht="32" customHeight="1">
      <x:c r="A1410" s="30" t="str">
        <x:v>A014</x:v>
      </x:c>
      <x:c r="B1410" s="30" t="str">
        <x:v>F244</x:v>
      </x:c>
      <x:c r="C1410" s="30" t="str">
        <x:v>action.cancel_requested</x:v>
      </x:c>
      <x:c r="D1410" s="30" t="str">
        <x:v>候选输入schema</x:v>
      </x:c>
      <x:c r="E1410" s="30" t="str">
        <x:v>按执行角色权限读取；策略只能使用可访问快照</x:v>
      </x:c>
    </x:row>
    <x:row r="1411" ht="32" customHeight="1">
      <x:c r="A1411" s="30" t="str">
        <x:v>A014</x:v>
      </x:c>
      <x:c r="B1411" s="30" t="str">
        <x:v>F245</x:v>
      </x:c>
      <x:c r="C1411" s="30" t="str">
        <x:v>action.backend_mode</x:v>
      </x:c>
      <x:c r="D1411" s="30" t="str">
        <x:v>候选输入schema</x:v>
      </x:c>
      <x:c r="E1411" s="30" t="str">
        <x:v>按执行角色权限读取；策略只能使用可访问快照</x:v>
      </x:c>
    </x:row>
    <x:row r="1412" ht="32" customHeight="1">
      <x:c r="A1412" s="30" t="str">
        <x:v>A014</x:v>
      </x:c>
      <x:c r="B1412" s="30" t="str">
        <x:v>F054</x:v>
      </x:c>
      <x:c r="C1412" s="30" t="str">
        <x:v>road.entry_state</x:v>
      </x:c>
      <x:c r="D1412" s="30" t="str">
        <x:v>直接效果</x:v>
      </x:c>
      <x:c r="E1412" s="30" t="str">
        <x:v>经实际执行/回执提交；不是规划时提前修改</x:v>
      </x:c>
    </x:row>
    <x:row r="1413" ht="32" customHeight="1">
      <x:c r="A1413" s="30" t="str">
        <x:v>A014</x:v>
      </x:c>
      <x:c r="B1413" s="30" t="str">
        <x:v>F033</x:v>
      </x:c>
      <x:c r="C1413" s="30" t="str">
        <x:v>building.wall_damage</x:v>
      </x:c>
      <x:c r="D1413" s="30" t="str">
        <x:v>直接效果</x:v>
      </x:c>
      <x:c r="E1413" s="30" t="str">
        <x:v>经实际执行/回执提交；不是规划时提前修改</x:v>
      </x:c>
    </x:row>
    <x:row r="1414" ht="32" customHeight="1">
      <x:c r="A1414" s="30" t="str">
        <x:v>A015</x:v>
      </x:c>
      <x:c r="B1414" s="30" t="str">
        <x:v>F026</x:v>
      </x:c>
      <x:c r="C1414" s="30" t="str">
        <x:v>building.use</x:v>
      </x:c>
      <x:c r="D1414" s="30" t="str">
        <x:v>候选输入schema</x:v>
      </x:c>
      <x:c r="E1414" s="30" t="str">
        <x:v>按执行角色权限读取；策略只能使用可访问快照</x:v>
      </x:c>
    </x:row>
    <x:row r="1415" ht="32" customHeight="1">
      <x:c r="A1415" s="30" t="str">
        <x:v>A015</x:v>
      </x:c>
      <x:c r="B1415" s="30" t="str">
        <x:v>F027</x:v>
      </x:c>
      <x:c r="C1415" s="30" t="str">
        <x:v>building.structure</x:v>
      </x:c>
      <x:c r="D1415" s="30" t="str">
        <x:v>候选输入schema</x:v>
      </x:c>
      <x:c r="E1415" s="30" t="str">
        <x:v>按执行角色权限读取；策略只能使用可访问快照</x:v>
      </x:c>
    </x:row>
    <x:row r="1416" ht="32" customHeight="1">
      <x:c r="A1416" s="30" t="str">
        <x:v>A015</x:v>
      </x:c>
      <x:c r="B1416" s="30" t="str">
        <x:v>F028</x:v>
      </x:c>
      <x:c r="C1416" s="30" t="str">
        <x:v>building.floors</x:v>
      </x:c>
      <x:c r="D1416" s="30" t="str">
        <x:v>候选输入schema</x:v>
      </x:c>
      <x:c r="E1416" s="30" t="str">
        <x:v>按执行角色权限读取；策略只能使用可访问快照</x:v>
      </x:c>
    </x:row>
    <x:row r="1417" ht="32" customHeight="1">
      <x:c r="A1417" s="30" t="str">
        <x:v>A015</x:v>
      </x:c>
      <x:c r="B1417" s="30" t="str">
        <x:v>F029</x:v>
      </x:c>
      <x:c r="C1417" s="30" t="str">
        <x:v>building.capacity</x:v>
      </x:c>
      <x:c r="D1417" s="30" t="str">
        <x:v>候选输入schema</x:v>
      </x:c>
      <x:c r="E1417" s="30" t="str">
        <x:v>按执行角色权限读取；策略只能使用可访问快照</x:v>
      </x:c>
    </x:row>
    <x:row r="1418" ht="32" customHeight="1">
      <x:c r="A1418" s="30" t="str">
        <x:v>A015</x:v>
      </x:c>
      <x:c r="B1418" s="30" t="str">
        <x:v>F030</x:v>
      </x:c>
      <x:c r="C1418" s="30" t="str">
        <x:v>building.visual_damage</x:v>
      </x:c>
      <x:c r="D1418" s="30" t="str">
        <x:v>候选输入schema</x:v>
      </x:c>
      <x:c r="E1418" s="30" t="str">
        <x:v>按执行角色权限读取；策略只能使用可访问快照</x:v>
      </x:c>
    </x:row>
    <x:row r="1419" ht="32" customHeight="1">
      <x:c r="A1419" s="30" t="str">
        <x:v>A015</x:v>
      </x:c>
      <x:c r="B1419" s="30" t="str">
        <x:v>F031</x:v>
      </x:c>
      <x:c r="C1419" s="30" t="str">
        <x:v>building.structural_condition</x:v>
      </x:c>
      <x:c r="D1419" s="30" t="str">
        <x:v>候选输入schema</x:v>
      </x:c>
      <x:c r="E1419" s="30" t="str">
        <x:v>按执行角色权限读取；策略只能使用可访问快照</x:v>
      </x:c>
    </x:row>
    <x:row r="1420" ht="32" customHeight="1">
      <x:c r="A1420" s="30" t="str">
        <x:v>A015</x:v>
      </x:c>
      <x:c r="B1420" s="30" t="str">
        <x:v>F032</x:v>
      </x:c>
      <x:c r="C1420" s="30" t="str">
        <x:v>building.roof_loss_ratio</x:v>
      </x:c>
      <x:c r="D1420" s="30" t="str">
        <x:v>候选输入schema</x:v>
      </x:c>
      <x:c r="E1420" s="30" t="str">
        <x:v>按执行角色权限读取；策略只能使用可访问快照</x:v>
      </x:c>
    </x:row>
    <x:row r="1421" ht="32" customHeight="1">
      <x:c r="A1421" s="30" t="str">
        <x:v>A015</x:v>
      </x:c>
      <x:c r="B1421" s="30" t="str">
        <x:v>F033</x:v>
      </x:c>
      <x:c r="C1421" s="30" t="str">
        <x:v>building.wall_damage</x:v>
      </x:c>
      <x:c r="D1421" s="30" t="str">
        <x:v>候选输入schema</x:v>
      </x:c>
      <x:c r="E1421" s="30" t="str">
        <x:v>按执行角色权限读取；策略只能使用可访问快照</x:v>
      </x:c>
    </x:row>
    <x:row r="1422" ht="32" customHeight="1">
      <x:c r="A1422" s="30" t="str">
        <x:v>A015</x:v>
      </x:c>
      <x:c r="B1422" s="30" t="str">
        <x:v>F034</x:v>
      </x:c>
      <x:c r="C1422" s="30" t="str">
        <x:v>building.flood_exposure</x:v>
      </x:c>
      <x:c r="D1422" s="30" t="str">
        <x:v>候选输入schema</x:v>
      </x:c>
      <x:c r="E1422" s="30" t="str">
        <x:v>按执行角色权限读取；策略只能使用可访问快照</x:v>
      </x:c>
    </x:row>
    <x:row r="1423" ht="32" customHeight="1">
      <x:c r="A1423" s="30" t="str">
        <x:v>A015</x:v>
      </x:c>
      <x:c r="B1423" s="30" t="str">
        <x:v>F035</x:v>
      </x:c>
      <x:c r="C1423" s="30" t="str">
        <x:v>building.entrance_ids</x:v>
      </x:c>
      <x:c r="D1423" s="30" t="str">
        <x:v>候选输入schema</x:v>
      </x:c>
      <x:c r="E1423" s="30" t="str">
        <x:v>按执行角色权限读取；策略只能使用可访问快照</x:v>
      </x:c>
    </x:row>
    <x:row r="1424" ht="32" customHeight="1">
      <x:c r="A1424" s="30" t="str">
        <x:v>A015</x:v>
      </x:c>
      <x:c r="B1424" s="30" t="str">
        <x:v>F036</x:v>
      </x:c>
      <x:c r="C1424" s="30" t="str">
        <x:v>building.interior_area_m2</x:v>
      </x:c>
      <x:c r="D1424" s="30" t="str">
        <x:v>候选输入schema</x:v>
      </x:c>
      <x:c r="E1424" s="30" t="str">
        <x:v>按执行角色权限读取；策略只能使用可访问快照</x:v>
      </x:c>
    </x:row>
    <x:row r="1425" ht="32" customHeight="1">
      <x:c r="A1425" s="30" t="str">
        <x:v>A015</x:v>
      </x:c>
      <x:c r="B1425" s="30" t="str">
        <x:v>F037</x:v>
      </x:c>
      <x:c r="C1425" s="30" t="str">
        <x:v>building.interior_mode</x:v>
      </x:c>
      <x:c r="D1425" s="30" t="str">
        <x:v>候选输入schema</x:v>
      </x:c>
      <x:c r="E1425" s="30" t="str">
        <x:v>按执行角色权限读取；策略只能使用可访问快照</x:v>
      </x:c>
    </x:row>
    <x:row r="1426" ht="32" customHeight="1">
      <x:c r="A1426" s="30" t="str">
        <x:v>A015</x:v>
      </x:c>
      <x:c r="B1426" s="30" t="str">
        <x:v>F038</x:v>
      </x:c>
      <x:c r="C1426" s="30" t="str">
        <x:v>building.search_difficulty</x:v>
      </x:c>
      <x:c r="D1426" s="30" t="str">
        <x:v>候选输入schema</x:v>
      </x:c>
      <x:c r="E1426" s="30" t="str">
        <x:v>按执行角色权限读取；策略只能使用可访问快照</x:v>
      </x:c>
    </x:row>
    <x:row r="1427" ht="32" customHeight="1">
      <x:c r="A1427" s="30" t="str">
        <x:v>A015</x:v>
      </x:c>
      <x:c r="B1427" s="30" t="str">
        <x:v>F039</x:v>
      </x:c>
      <x:c r="C1427" s="30" t="str">
        <x:v>building.occupant_ids</x:v>
      </x:c>
      <x:c r="D1427" s="30" t="str">
        <x:v>候选输入schema</x:v>
      </x:c>
      <x:c r="E1427" s="30" t="str">
        <x:v>按执行角色权限读取；策略只能使用可访问快照</x:v>
      </x:c>
    </x:row>
    <x:row r="1428" ht="32" customHeight="1">
      <x:c r="A1428" s="30" t="str">
        <x:v>A015</x:v>
      </x:c>
      <x:c r="B1428" s="30" t="str">
        <x:v>F040</x:v>
      </x:c>
      <x:c r="C1428" s="30" t="str">
        <x:v>building.search_coverage_truth</x:v>
      </x:c>
      <x:c r="D1428" s="30" t="str">
        <x:v>候选输入schema</x:v>
      </x:c>
      <x:c r="E1428" s="30" t="str">
        <x:v>按执行角色权限读取；策略只能使用可访问快照</x:v>
      </x:c>
    </x:row>
    <x:row r="1429" ht="32" customHeight="1">
      <x:c r="A1429" s="30" t="str">
        <x:v>A015</x:v>
      </x:c>
      <x:c r="B1429" s="30" t="str">
        <x:v>F041</x:v>
      </x:c>
      <x:c r="C1429" s="30" t="str">
        <x:v>building.worksite_record</x:v>
      </x:c>
      <x:c r="D1429" s="30" t="str">
        <x:v>候选输入schema</x:v>
      </x:c>
      <x:c r="E1429" s="30" t="str">
        <x:v>按执行角色权限读取；策略只能使用可访问快照</x:v>
      </x:c>
    </x:row>
    <x:row r="1430" ht="32" customHeight="1">
      <x:c r="A1430" s="30" t="str">
        <x:v>A015</x:v>
      </x:c>
      <x:c r="B1430" s="30" t="str">
        <x:v>F042</x:v>
      </x:c>
      <x:c r="C1430" s="30" t="str">
        <x:v>building.remaining_hazard</x:v>
      </x:c>
      <x:c r="D1430" s="30" t="str">
        <x:v>候选输入schema</x:v>
      </x:c>
      <x:c r="E1430" s="30" t="str">
        <x:v>按执行角色权限读取；策略只能使用可访问快照</x:v>
      </x:c>
    </x:row>
    <x:row r="1431" ht="32" customHeight="1">
      <x:c r="A1431" s="30" t="str">
        <x:v>A015</x:v>
      </x:c>
      <x:c r="B1431" s="30" t="str">
        <x:v>F043</x:v>
      </x:c>
      <x:c r="C1431" s="30" t="str">
        <x:v>building.render_variant</x:v>
      </x:c>
      <x:c r="D1431" s="30" t="str">
        <x:v>候选输入schema</x:v>
      </x:c>
      <x:c r="E1431" s="30" t="str">
        <x:v>按执行角色权限读取；策略只能使用可访问快照</x:v>
      </x:c>
    </x:row>
    <x:row r="1432" ht="32" customHeight="1">
      <x:c r="A1432" s="30" t="str">
        <x:v>A015</x:v>
      </x:c>
      <x:c r="B1432" s="30" t="str">
        <x:v>F059</x:v>
      </x:c>
      <x:c r="C1432" s="30" t="str">
        <x:v>obstacle.kind</x:v>
      </x:c>
      <x:c r="D1432" s="30" t="str">
        <x:v>候选输入schema</x:v>
      </x:c>
      <x:c r="E1432" s="30" t="str">
        <x:v>按执行角色权限读取；策略只能使用可访问快照</x:v>
      </x:c>
    </x:row>
    <x:row r="1433" ht="32" customHeight="1">
      <x:c r="A1433" s="30" t="str">
        <x:v>A015</x:v>
      </x:c>
      <x:c r="B1433" s="30" t="str">
        <x:v>F060</x:v>
      </x:c>
      <x:c r="C1433" s="30" t="str">
        <x:v>obstacle.material</x:v>
      </x:c>
      <x:c r="D1433" s="30" t="str">
        <x:v>候选输入schema</x:v>
      </x:c>
      <x:c r="E1433" s="30" t="str">
        <x:v>按执行角色权限读取；策略只能使用可访问快照</x:v>
      </x:c>
    </x:row>
    <x:row r="1434" ht="32" customHeight="1">
      <x:c r="A1434" s="30" t="str">
        <x:v>A015</x:v>
      </x:c>
      <x:c r="B1434" s="30" t="str">
        <x:v>F061</x:v>
      </x:c>
      <x:c r="C1434" s="30" t="str">
        <x:v>obstacle.source_id</x:v>
      </x:c>
      <x:c r="D1434" s="30" t="str">
        <x:v>候选输入schema</x:v>
      </x:c>
      <x:c r="E1434" s="30" t="str">
        <x:v>按执行角色权限读取；策略只能使用可访问快照</x:v>
      </x:c>
    </x:row>
    <x:row r="1435" ht="32" customHeight="1">
      <x:c r="A1435" s="30" t="str">
        <x:v>A015</x:v>
      </x:c>
      <x:c r="B1435" s="30" t="str">
        <x:v>F062</x:v>
      </x:c>
      <x:c r="C1435" s="30" t="str">
        <x:v>obstacle.height_m</x:v>
      </x:c>
      <x:c r="D1435" s="30" t="str">
        <x:v>候选输入schema</x:v>
      </x:c>
      <x:c r="E1435" s="30" t="str">
        <x:v>按执行角色权限读取；策略只能使用可访问快照</x:v>
      </x:c>
    </x:row>
    <x:row r="1436" ht="32" customHeight="1">
      <x:c r="A1436" s="30" t="str">
        <x:v>A015</x:v>
      </x:c>
      <x:c r="B1436" s="30" t="str">
        <x:v>F063</x:v>
      </x:c>
      <x:c r="C1436" s="30" t="str">
        <x:v>obstacle.mass_kg</x:v>
      </x:c>
      <x:c r="D1436" s="30" t="str">
        <x:v>候选输入schema</x:v>
      </x:c>
      <x:c r="E1436" s="30" t="str">
        <x:v>按执行角色权限读取；策略只能使用可访问快照</x:v>
      </x:c>
    </x:row>
    <x:row r="1437" ht="32" customHeight="1">
      <x:c r="A1437" s="30" t="str">
        <x:v>A015</x:v>
      </x:c>
      <x:c r="B1437" s="30" t="str">
        <x:v>F064</x:v>
      </x:c>
      <x:c r="C1437" s="30" t="str">
        <x:v>obstacle.volume_m3</x:v>
      </x:c>
      <x:c r="D1437" s="30" t="str">
        <x:v>候选输入schema</x:v>
      </x:c>
      <x:c r="E1437" s="30" t="str">
        <x:v>按执行角色权限读取；策略只能使用可访问快照</x:v>
      </x:c>
    </x:row>
    <x:row r="1438" ht="32" customHeight="1">
      <x:c r="A1438" s="30" t="str">
        <x:v>A015</x:v>
      </x:c>
      <x:c r="B1438" s="30" t="str">
        <x:v>F065</x:v>
      </x:c>
      <x:c r="C1438" s="30" t="str">
        <x:v>obstacle.state</x:v>
      </x:c>
      <x:c r="D1438" s="30" t="str">
        <x:v>候选输入schema</x:v>
      </x:c>
      <x:c r="E1438" s="30" t="str">
        <x:v>按执行角色权限读取；策略只能使用可访问快照</x:v>
      </x:c>
    </x:row>
    <x:row r="1439" ht="32" customHeight="1">
      <x:c r="A1439" s="30" t="str">
        <x:v>A015</x:v>
      </x:c>
      <x:c r="B1439" s="30" t="str">
        <x:v>F066</x:v>
      </x:c>
      <x:c r="C1439" s="30" t="str">
        <x:v>obstacle.stability</x:v>
      </x:c>
      <x:c r="D1439" s="30" t="str">
        <x:v>候选输入schema</x:v>
      </x:c>
      <x:c r="E1439" s="30" t="str">
        <x:v>按执行角色权限读取；策略只能使用可访问快照</x:v>
      </x:c>
    </x:row>
    <x:row r="1440" ht="32" customHeight="1">
      <x:c r="A1440" s="30" t="str">
        <x:v>A015</x:v>
      </x:c>
      <x:c r="B1440" s="30" t="str">
        <x:v>F067</x:v>
      </x:c>
      <x:c r="C1440" s="30" t="str">
        <x:v>obstacle.clear_method</x:v>
      </x:c>
      <x:c r="D1440" s="30" t="str">
        <x:v>候选输入schema</x:v>
      </x:c>
      <x:c r="E1440" s="30" t="str">
        <x:v>按执行角色权限读取；策略只能使用可访问快照</x:v>
      </x:c>
    </x:row>
    <x:row r="1441" ht="32" customHeight="1">
      <x:c r="A1441" s="30" t="str">
        <x:v>A015</x:v>
      </x:c>
      <x:c r="B1441" s="30" t="str">
        <x:v>F068</x:v>
      </x:c>
      <x:c r="C1441" s="30" t="str">
        <x:v>obstacle.work_remaining</x:v>
      </x:c>
      <x:c r="D1441" s="30" t="str">
        <x:v>候选输入schema</x:v>
      </x:c>
      <x:c r="E1441" s="30" t="str">
        <x:v>按执行角色权限读取；策略只能使用可访问快照</x:v>
      </x:c>
    </x:row>
    <x:row r="1442" ht="32" customHeight="1">
      <x:c r="A1442" s="30" t="str">
        <x:v>A015</x:v>
      </x:c>
      <x:c r="B1442" s="30" t="str">
        <x:v>F069</x:v>
      </x:c>
      <x:c r="C1442" s="30" t="str">
        <x:v>obstacle.blocks_ids</x:v>
      </x:c>
      <x:c r="D1442" s="30" t="str">
        <x:v>候选输入schema</x:v>
      </x:c>
      <x:c r="E1442" s="30" t="str">
        <x:v>按执行角色权限读取；策略只能使用可访问快照</x:v>
      </x:c>
    </x:row>
    <x:row r="1443" ht="32" customHeight="1">
      <x:c r="A1443" s="30" t="str">
        <x:v>A015</x:v>
      </x:c>
      <x:c r="B1443" s="30" t="str">
        <x:v>F070</x:v>
      </x:c>
      <x:c r="C1443" s="30" t="str">
        <x:v>obstacle.disposal_location</x:v>
      </x:c>
      <x:c r="D1443" s="30" t="str">
        <x:v>候选输入schema</x:v>
      </x:c>
      <x:c r="E1443" s="30" t="str">
        <x:v>按执行角色权限读取；策略只能使用可访问快照</x:v>
      </x:c>
    </x:row>
    <x:row r="1444" ht="32" customHeight="1">
      <x:c r="A1444" s="30" t="str">
        <x:v>A015</x:v>
      </x:c>
      <x:c r="B1444" s="30" t="str">
        <x:v>F116</x:v>
      </x:c>
      <x:c r="C1444" s="30" t="str">
        <x:v>equipment.kind</x:v>
      </x:c>
      <x:c r="D1444" s="30" t="str">
        <x:v>候选输入schema</x:v>
      </x:c>
      <x:c r="E1444" s="30" t="str">
        <x:v>按执行角色权限读取；策略只能使用可访问快照</x:v>
      </x:c>
    </x:row>
    <x:row r="1445" ht="32" customHeight="1">
      <x:c r="A1445" s="30" t="str">
        <x:v>A015</x:v>
      </x:c>
      <x:c r="B1445" s="30" t="str">
        <x:v>F117</x:v>
      </x:c>
      <x:c r="C1445" s="30" t="str">
        <x:v>equipment.enabled</x:v>
      </x:c>
      <x:c r="D1445" s="30" t="str">
        <x:v>候选输入schema</x:v>
      </x:c>
      <x:c r="E1445" s="30" t="str">
        <x:v>按执行角色权限读取；策略只能使用可访问快照</x:v>
      </x:c>
    </x:row>
    <x:row r="1446" ht="32" customHeight="1">
      <x:c r="A1446" s="30" t="str">
        <x:v>A015</x:v>
      </x:c>
      <x:c r="B1446" s="30" t="str">
        <x:v>F118</x:v>
      </x:c>
      <x:c r="C1446" s="30" t="str">
        <x:v>equipment.health</x:v>
      </x:c>
      <x:c r="D1446" s="30" t="str">
        <x:v>候选输入schema</x:v>
      </x:c>
      <x:c r="E1446" s="30" t="str">
        <x:v>按执行角色权限读取；策略只能使用可访问快照</x:v>
      </x:c>
    </x:row>
    <x:row r="1447" ht="32" customHeight="1">
      <x:c r="A1447" s="30" t="str">
        <x:v>A015</x:v>
      </x:c>
      <x:c r="B1447" s="30" t="str">
        <x:v>F119</x:v>
      </x:c>
      <x:c r="C1447" s="30" t="str">
        <x:v>equipment.rated_load_kg</x:v>
      </x:c>
      <x:c r="D1447" s="30" t="str">
        <x:v>候选输入schema</x:v>
      </x:c>
      <x:c r="E1447" s="30" t="str">
        <x:v>按执行角色权限读取；策略只能使用可访问快照</x:v>
      </x:c>
    </x:row>
    <x:row r="1448" ht="32" customHeight="1">
      <x:c r="A1448" s="30" t="str">
        <x:v>A015</x:v>
      </x:c>
      <x:c r="B1448" s="30" t="str">
        <x:v>F120</x:v>
      </x:c>
      <x:c r="C1448" s="30" t="str">
        <x:v>equipment.reach_m</x:v>
      </x:c>
      <x:c r="D1448" s="30" t="str">
        <x:v>候选输入schema</x:v>
      </x:c>
      <x:c r="E1448" s="30" t="str">
        <x:v>按执行角色权限读取；策略只能使用可访问快照</x:v>
      </x:c>
    </x:row>
    <x:row r="1449" ht="32" customHeight="1">
      <x:c r="A1449" s="30" t="str">
        <x:v>A015</x:v>
      </x:c>
      <x:c r="B1449" s="30" t="str">
        <x:v>F121</x:v>
      </x:c>
      <x:c r="C1449" s="30" t="str">
        <x:v>equipment.compatible_materials</x:v>
      </x:c>
      <x:c r="D1449" s="30" t="str">
        <x:v>候选输入schema</x:v>
      </x:c>
      <x:c r="E1449" s="30" t="str">
        <x:v>按执行角色权限读取；策略只能使用可访问快照</x:v>
      </x:c>
    </x:row>
    <x:row r="1450" ht="32" customHeight="1">
      <x:c r="A1450" s="30" t="str">
        <x:v>A015</x:v>
      </x:c>
      <x:c r="B1450" s="30" t="str">
        <x:v>F122</x:v>
      </x:c>
      <x:c r="C1450" s="30" t="str">
        <x:v>equipment.tool_size</x:v>
      </x:c>
      <x:c r="D1450" s="30" t="str">
        <x:v>候选输入schema</x:v>
      </x:c>
      <x:c r="E1450" s="30" t="str">
        <x:v>按执行角色权限读取；策略只能使用可访问快照</x:v>
      </x:c>
    </x:row>
    <x:row r="1451" ht="32" customHeight="1">
      <x:c r="A1451" s="30" t="str">
        <x:v>A015</x:v>
      </x:c>
      <x:c r="B1451" s="30" t="str">
        <x:v>F123</x:v>
      </x:c>
      <x:c r="C1451" s="30" t="str">
        <x:v>equipment.consumable_type</x:v>
      </x:c>
      <x:c r="D1451" s="30" t="str">
        <x:v>候选输入schema</x:v>
      </x:c>
      <x:c r="E1451" s="30" t="str">
        <x:v>按执行角色权限读取；策略只能使用可访问快照</x:v>
      </x:c>
    </x:row>
    <x:row r="1452" ht="32" customHeight="1">
      <x:c r="A1452" s="30" t="str">
        <x:v>A015</x:v>
      </x:c>
      <x:c r="B1452" s="30" t="str">
        <x:v>F124</x:v>
      </x:c>
      <x:c r="C1452" s="30" t="str">
        <x:v>equipment.consumable_remaining</x:v>
      </x:c>
      <x:c r="D1452" s="30" t="str">
        <x:v>候选输入schema</x:v>
      </x:c>
      <x:c r="E1452" s="30" t="str">
        <x:v>按执行角色权限读取；策略只能使用可访问快照</x:v>
      </x:c>
    </x:row>
    <x:row r="1453" ht="32" customHeight="1">
      <x:c r="A1453" s="30" t="str">
        <x:v>A015</x:v>
      </x:c>
      <x:c r="B1453" s="30" t="str">
        <x:v>F125</x:v>
      </x:c>
      <x:c r="C1453" s="30" t="str">
        <x:v>equipment.operator_authority</x:v>
      </x:c>
      <x:c r="D1453" s="30" t="str">
        <x:v>候选输入schema</x:v>
      </x:c>
      <x:c r="E1453" s="30" t="str">
        <x:v>按执行角色权限读取；策略只能使用可访问快照</x:v>
      </x:c>
    </x:row>
    <x:row r="1454" ht="32" customHeight="1">
      <x:c r="A1454" s="30" t="str">
        <x:v>A015</x:v>
      </x:c>
      <x:c r="B1454" s="30" t="str">
        <x:v>F126</x:v>
      </x:c>
      <x:c r="C1454" s="30" t="str">
        <x:v>equipment.setup_state</x:v>
      </x:c>
      <x:c r="D1454" s="30" t="str">
        <x:v>候选输入schema</x:v>
      </x:c>
      <x:c r="E1454" s="30" t="str">
        <x:v>按执行角色权限读取；策略只能使用可访问快照</x:v>
      </x:c>
    </x:row>
    <x:row r="1455" ht="32" customHeight="1">
      <x:c r="A1455" s="30" t="str">
        <x:v>A015</x:v>
      </x:c>
      <x:c r="B1455" s="30" t="str">
        <x:v>F127</x:v>
      </x:c>
      <x:c r="C1455" s="30" t="str">
        <x:v>equipment.busy_action_id</x:v>
      </x:c>
      <x:c r="D1455" s="30" t="str">
        <x:v>候选输入schema</x:v>
      </x:c>
      <x:c r="E1455" s="30" t="str">
        <x:v>按执行角色权限读取；策略只能使用可访问快照</x:v>
      </x:c>
    </x:row>
    <x:row r="1456" ht="32" customHeight="1">
      <x:c r="A1456" s="30" t="str">
        <x:v>A015</x:v>
      </x:c>
      <x:c r="B1456" s="30" t="str">
        <x:v>F128</x:v>
      </x:c>
      <x:c r="C1456" s="30" t="str">
        <x:v>item.kind</x:v>
      </x:c>
      <x:c r="D1456" s="30" t="str">
        <x:v>候选输入schema</x:v>
      </x:c>
      <x:c r="E1456" s="30" t="str">
        <x:v>按执行角色权限读取；策略只能使用可访问快照</x:v>
      </x:c>
    </x:row>
    <x:row r="1457" ht="32" customHeight="1">
      <x:c r="A1457" s="30" t="str">
        <x:v>A015</x:v>
      </x:c>
      <x:c r="B1457" s="30" t="str">
        <x:v>F129</x:v>
      </x:c>
      <x:c r="C1457" s="30" t="str">
        <x:v>item.mass_kg</x:v>
      </x:c>
      <x:c r="D1457" s="30" t="str">
        <x:v>候选输入schema</x:v>
      </x:c>
      <x:c r="E1457" s="30" t="str">
        <x:v>按执行角色权限读取；策略只能使用可访问快照</x:v>
      </x:c>
    </x:row>
    <x:row r="1458" ht="32" customHeight="1">
      <x:c r="A1458" s="30" t="str">
        <x:v>A015</x:v>
      </x:c>
      <x:c r="B1458" s="30" t="str">
        <x:v>F130</x:v>
      </x:c>
      <x:c r="C1458" s="30" t="str">
        <x:v>item.dimensions_m</x:v>
      </x:c>
      <x:c r="D1458" s="30" t="str">
        <x:v>候选输入schema</x:v>
      </x:c>
      <x:c r="E1458" s="30" t="str">
        <x:v>按执行角色权限读取；策略只能使用可访问快照</x:v>
      </x:c>
    </x:row>
    <x:row r="1459" ht="32" customHeight="1">
      <x:c r="A1459" s="30" t="str">
        <x:v>A015</x:v>
      </x:c>
      <x:c r="B1459" s="30" t="str">
        <x:v>F131</x:v>
      </x:c>
      <x:c r="C1459" s="30" t="str">
        <x:v>item.quantity</x:v>
      </x:c>
      <x:c r="D1459" s="30" t="str">
        <x:v>候选输入schema</x:v>
      </x:c>
      <x:c r="E1459" s="30" t="str">
        <x:v>按执行角色权限读取；策略只能使用可访问快照</x:v>
      </x:c>
    </x:row>
    <x:row r="1460" ht="32" customHeight="1">
      <x:c r="A1460" s="30" t="str">
        <x:v>A015</x:v>
      </x:c>
      <x:c r="B1460" s="30" t="str">
        <x:v>F132</x:v>
      </x:c>
      <x:c r="C1460" s="30" t="str">
        <x:v>item.holder_id</x:v>
      </x:c>
      <x:c r="D1460" s="30" t="str">
        <x:v>候选输入schema</x:v>
      </x:c>
      <x:c r="E1460" s="30" t="str">
        <x:v>按执行角色权限读取；策略只能使用可访问快照</x:v>
      </x:c>
    </x:row>
    <x:row r="1461" ht="32" customHeight="1">
      <x:c r="A1461" s="30" t="str">
        <x:v>A015</x:v>
      </x:c>
      <x:c r="B1461" s="30" t="str">
        <x:v>F133</x:v>
      </x:c>
      <x:c r="C1461" s="30" t="str">
        <x:v>item.state</x:v>
      </x:c>
      <x:c r="D1461" s="30" t="str">
        <x:v>候选输入schema</x:v>
      </x:c>
      <x:c r="E1461" s="30" t="str">
        <x:v>按执行角色权限读取；策略只能使用可访问快照</x:v>
      </x:c>
    </x:row>
    <x:row r="1462" ht="32" customHeight="1">
      <x:c r="A1462" s="30" t="str">
        <x:v>A015</x:v>
      </x:c>
      <x:c r="B1462" s="30" t="str">
        <x:v>F134</x:v>
      </x:c>
      <x:c r="C1462" s="30" t="str">
        <x:v>item.attachment_id</x:v>
      </x:c>
      <x:c r="D1462" s="30" t="str">
        <x:v>候选输入schema</x:v>
      </x:c>
      <x:c r="E1462" s="30" t="str">
        <x:v>按执行角色权限读取；策略只能使用可访问快照</x:v>
      </x:c>
    </x:row>
    <x:row r="1463" ht="32" customHeight="1">
      <x:c r="A1463" s="30" t="str">
        <x:v>A015</x:v>
      </x:c>
      <x:c r="B1463" s="30" t="str">
        <x:v>F135</x:v>
      </x:c>
      <x:c r="C1463" s="30" t="str">
        <x:v>item.reservation_task_id</x:v>
      </x:c>
      <x:c r="D1463" s="30" t="str">
        <x:v>候选输入schema</x:v>
      </x:c>
      <x:c r="E1463" s="30" t="str">
        <x:v>按执行角色权限读取；策略只能使用可访问快照</x:v>
      </x:c>
    </x:row>
    <x:row r="1464" ht="32" customHeight="1">
      <x:c r="A1464" s="30" t="str">
        <x:v>A015</x:v>
      </x:c>
      <x:c r="B1464" s="30" t="str">
        <x:v>F136</x:v>
      </x:c>
      <x:c r="C1464" s="30" t="str">
        <x:v>item.release_state</x:v>
      </x:c>
      <x:c r="D1464" s="30" t="str">
        <x:v>候选输入schema</x:v>
      </x:c>
      <x:c r="E1464" s="30" t="str">
        <x:v>按执行角色权限读取；策略只能使用可访问快照</x:v>
      </x:c>
    </x:row>
    <x:row r="1465" ht="32" customHeight="1">
      <x:c r="A1465" s="30" t="str">
        <x:v>A015</x:v>
      </x:c>
      <x:c r="B1465" s="30" t="str">
        <x:v>F137</x:v>
      </x:c>
      <x:c r="C1465" s="30" t="str">
        <x:v>item.contact_pose</x:v>
      </x:c>
      <x:c r="D1465" s="30" t="str">
        <x:v>候选输入schema</x:v>
      </x:c>
      <x:c r="E1465" s="30" t="str">
        <x:v>按执行角色权限读取；策略只能使用可访问快照</x:v>
      </x:c>
    </x:row>
    <x:row r="1466" ht="32" customHeight="1">
      <x:c r="A1466" s="30" t="str">
        <x:v>A015</x:v>
      </x:c>
      <x:c r="B1466" s="30" t="str">
        <x:v>F138</x:v>
      </x:c>
      <x:c r="C1466" s="30" t="str">
        <x:v>item.receiver_id</x:v>
      </x:c>
      <x:c r="D1466" s="30" t="str">
        <x:v>候选输入schema</x:v>
      </x:c>
      <x:c r="E1466" s="30" t="str">
        <x:v>按执行角色权限读取；策略只能使用可访问快照</x:v>
      </x:c>
    </x:row>
    <x:row r="1467" ht="32" customHeight="1">
      <x:c r="A1467" s="30" t="str">
        <x:v>A015</x:v>
      </x:c>
      <x:c r="B1467" s="30" t="str">
        <x:v>F139</x:v>
      </x:c>
      <x:c r="C1467" s="30" t="str">
        <x:v>item.receipt_id</x:v>
      </x:c>
      <x:c r="D1467" s="30" t="str">
        <x:v>候选输入schema</x:v>
      </x:c>
      <x:c r="E1467" s="30" t="str">
        <x:v>按执行角色权限读取；策略只能使用可访问快照</x:v>
      </x:c>
    </x:row>
    <x:row r="1468" ht="32" customHeight="1">
      <x:c r="A1468" s="30" t="str">
        <x:v>A015</x:v>
      </x:c>
      <x:c r="B1468" s="30" t="str">
        <x:v>F140</x:v>
      </x:c>
      <x:c r="C1468" s="30" t="str">
        <x:v>item.condition</x:v>
      </x:c>
      <x:c r="D1468" s="30" t="str">
        <x:v>候选输入schema</x:v>
      </x:c>
      <x:c r="E1468" s="30" t="str">
        <x:v>按执行角色权限读取；策略只能使用可访问快照</x:v>
      </x:c>
    </x:row>
    <x:row r="1469" ht="32" customHeight="1">
      <x:c r="A1469" s="30" t="str">
        <x:v>A015</x:v>
      </x:c>
      <x:c r="B1469" s="30" t="str">
        <x:v>F230</x:v>
      </x:c>
      <x:c r="C1469" s="30" t="str">
        <x:v>action.type</x:v>
      </x:c>
      <x:c r="D1469" s="30" t="str">
        <x:v>候选输入schema</x:v>
      </x:c>
      <x:c r="E1469" s="30" t="str">
        <x:v>按执行角色权限读取；策略只能使用可访问快照</x:v>
      </x:c>
    </x:row>
    <x:row r="1470" ht="32" customHeight="1">
      <x:c r="A1470" s="30" t="str">
        <x:v>A015</x:v>
      </x:c>
      <x:c r="B1470" s="30" t="str">
        <x:v>F231</x:v>
      </x:c>
      <x:c r="C1470" s="30" t="str">
        <x:v>action.executor_id</x:v>
      </x:c>
      <x:c r="D1470" s="30" t="str">
        <x:v>候选输入schema</x:v>
      </x:c>
      <x:c r="E1470" s="30" t="str">
        <x:v>按执行角色权限读取；策略只能使用可访问快照</x:v>
      </x:c>
    </x:row>
    <x:row r="1471" ht="32" customHeight="1">
      <x:c r="A1471" s="30" t="str">
        <x:v>A015</x:v>
      </x:c>
      <x:c r="B1471" s="30" t="str">
        <x:v>F232</x:v>
      </x:c>
      <x:c r="C1471" s="30" t="str">
        <x:v>action.task_ref</x:v>
      </x:c>
      <x:c r="D1471" s="30" t="str">
        <x:v>候选输入schema</x:v>
      </x:c>
      <x:c r="E1471" s="30" t="str">
        <x:v>按执行角色权限读取；策略只能使用可访问快照</x:v>
      </x:c>
    </x:row>
    <x:row r="1472" ht="32" customHeight="1">
      <x:c r="A1472" s="30" t="str">
        <x:v>A015</x:v>
      </x:c>
      <x:c r="B1472" s="30" t="str">
        <x:v>F233</x:v>
      </x:c>
      <x:c r="C1472" s="30" t="str">
        <x:v>action.target_ref</x:v>
      </x:c>
      <x:c r="D1472" s="30" t="str">
        <x:v>候选输入schema</x:v>
      </x:c>
      <x:c r="E1472" s="30" t="str">
        <x:v>按执行角色权限读取；策略只能使用可访问快照</x:v>
      </x:c>
    </x:row>
    <x:row r="1473" ht="32" customHeight="1">
      <x:c r="A1473" s="30" t="str">
        <x:v>A015</x:v>
      </x:c>
      <x:c r="B1473" s="30" t="str">
        <x:v>F234</x:v>
      </x:c>
      <x:c r="C1473" s="30" t="str">
        <x:v>action.parameters</x:v>
      </x:c>
      <x:c r="D1473" s="30" t="str">
        <x:v>候选输入schema</x:v>
      </x:c>
      <x:c r="E1473" s="30" t="str">
        <x:v>按执行角色权限读取；策略只能使用可访问快照</x:v>
      </x:c>
    </x:row>
    <x:row r="1474" ht="32" customHeight="1">
      <x:c r="A1474" s="30" t="str">
        <x:v>A015</x:v>
      </x:c>
      <x:c r="B1474" s="30" t="str">
        <x:v>F235</x:v>
      </x:c>
      <x:c r="C1474" s="30" t="str">
        <x:v>action.status</x:v>
      </x:c>
      <x:c r="D1474" s="30" t="str">
        <x:v>候选输入schema</x:v>
      </x:c>
      <x:c r="E1474" s="30" t="str">
        <x:v>按执行角色权限读取；策略只能使用可访问快照</x:v>
      </x:c>
    </x:row>
    <x:row r="1475" ht="32" customHeight="1">
      <x:c r="A1475" s="30" t="str">
        <x:v>A015</x:v>
      </x:c>
      <x:c r="B1475" s="30" t="str">
        <x:v>F236</x:v>
      </x:c>
      <x:c r="C1475" s="30" t="str">
        <x:v>action.start_s</x:v>
      </x:c>
      <x:c r="D1475" s="30" t="str">
        <x:v>候选输入schema</x:v>
      </x:c>
      <x:c r="E1475" s="30" t="str">
        <x:v>按执行角色权限读取；策略只能使用可访问快照</x:v>
      </x:c>
    </x:row>
    <x:row r="1476" ht="32" customHeight="1">
      <x:c r="A1476" s="30" t="str">
        <x:v>A015</x:v>
      </x:c>
      <x:c r="B1476" s="30" t="str">
        <x:v>F237</x:v>
      </x:c>
      <x:c r="C1476" s="30" t="str">
        <x:v>action.finish_s</x:v>
      </x:c>
      <x:c r="D1476" s="30" t="str">
        <x:v>候选输入schema</x:v>
      </x:c>
      <x:c r="E1476" s="30" t="str">
        <x:v>按执行角色权限读取；策略只能使用可访问快照</x:v>
      </x:c>
    </x:row>
    <x:row r="1477" ht="32" customHeight="1">
      <x:c r="A1477" s="30" t="str">
        <x:v>A015</x:v>
      </x:c>
      <x:c r="B1477" s="30" t="str">
        <x:v>F238</x:v>
      </x:c>
      <x:c r="C1477" s="30" t="str">
        <x:v>action.reserved_resources</x:v>
      </x:c>
      <x:c r="D1477" s="30" t="str">
        <x:v>候选输入schema</x:v>
      </x:c>
      <x:c r="E1477" s="30" t="str">
        <x:v>按执行角色权限读取；策略只能使用可访问快照</x:v>
      </x:c>
    </x:row>
    <x:row r="1478" ht="32" customHeight="1">
      <x:c r="A1478" s="30" t="str">
        <x:v>A015</x:v>
      </x:c>
      <x:c r="B1478" s="30" t="str">
        <x:v>F239</x:v>
      </x:c>
      <x:c r="C1478" s="30" t="str">
        <x:v>action.consumed_resources</x:v>
      </x:c>
      <x:c r="D1478" s="30" t="str">
        <x:v>候选输入schema</x:v>
      </x:c>
      <x:c r="E1478" s="30" t="str">
        <x:v>按执行角色权限读取；策略只能使用可访问快照</x:v>
      </x:c>
    </x:row>
    <x:row r="1479" ht="32" customHeight="1">
      <x:c r="A1479" s="30" t="str">
        <x:v>A015</x:v>
      </x:c>
      <x:c r="B1479" s="30" t="str">
        <x:v>F240</x:v>
      </x:c>
      <x:c r="C1479" s="30" t="str">
        <x:v>action.feedback</x:v>
      </x:c>
      <x:c r="D1479" s="30" t="str">
        <x:v>候选输入schema</x:v>
      </x:c>
      <x:c r="E1479" s="30" t="str">
        <x:v>按执行角色权限读取；策略只能使用可访问快照</x:v>
      </x:c>
    </x:row>
    <x:row r="1480" ht="32" customHeight="1">
      <x:c r="A1480" s="30" t="str">
        <x:v>A015</x:v>
      </x:c>
      <x:c r="B1480" s="30" t="str">
        <x:v>F241</x:v>
      </x:c>
      <x:c r="C1480" s="30" t="str">
        <x:v>action.result</x:v>
      </x:c>
      <x:c r="D1480" s="30" t="str">
        <x:v>候选输入schema</x:v>
      </x:c>
      <x:c r="E1480" s="30" t="str">
        <x:v>按执行角色权限读取；策略只能使用可访问快照</x:v>
      </x:c>
    </x:row>
    <x:row r="1481" ht="32" customHeight="1">
      <x:c r="A1481" s="30" t="str">
        <x:v>A015</x:v>
      </x:c>
      <x:c r="B1481" s="30" t="str">
        <x:v>F242</x:v>
      </x:c>
      <x:c r="C1481" s="30" t="str">
        <x:v>action.rejection_code</x:v>
      </x:c>
      <x:c r="D1481" s="30" t="str">
        <x:v>候选输入schema</x:v>
      </x:c>
      <x:c r="E1481" s="30" t="str">
        <x:v>按执行角色权限读取；策略只能使用可访问快照</x:v>
      </x:c>
    </x:row>
    <x:row r="1482" ht="32" customHeight="1">
      <x:c r="A1482" s="30" t="str">
        <x:v>A015</x:v>
      </x:c>
      <x:c r="B1482" s="30" t="str">
        <x:v>F243</x:v>
      </x:c>
      <x:c r="C1482" s="30" t="str">
        <x:v>action.failure_code</x:v>
      </x:c>
      <x:c r="D1482" s="30" t="str">
        <x:v>候选输入schema</x:v>
      </x:c>
      <x:c r="E1482" s="30" t="str">
        <x:v>按执行角色权限读取；策略只能使用可访问快照</x:v>
      </x:c>
    </x:row>
    <x:row r="1483" ht="32" customHeight="1">
      <x:c r="A1483" s="30" t="str">
        <x:v>A015</x:v>
      </x:c>
      <x:c r="B1483" s="30" t="str">
        <x:v>F244</x:v>
      </x:c>
      <x:c r="C1483" s="30" t="str">
        <x:v>action.cancel_requested</x:v>
      </x:c>
      <x:c r="D1483" s="30" t="str">
        <x:v>候选输入schema</x:v>
      </x:c>
      <x:c r="E1483" s="30" t="str">
        <x:v>按执行角色权限读取；策略只能使用可访问快照</x:v>
      </x:c>
    </x:row>
    <x:row r="1484" ht="32" customHeight="1">
      <x:c r="A1484" s="30" t="str">
        <x:v>A015</x:v>
      </x:c>
      <x:c r="B1484" s="30" t="str">
        <x:v>F245</x:v>
      </x:c>
      <x:c r="C1484" s="30" t="str">
        <x:v>action.backend_mode</x:v>
      </x:c>
      <x:c r="D1484" s="30" t="str">
        <x:v>候选输入schema</x:v>
      </x:c>
      <x:c r="E1484" s="30" t="str">
        <x:v>按执行角色权限读取；策略只能使用可访问快照</x:v>
      </x:c>
    </x:row>
    <x:row r="1485" ht="32" customHeight="1">
      <x:c r="A1485" s="30" t="str">
        <x:v>A015</x:v>
      </x:c>
      <x:c r="B1485" s="30" t="str">
        <x:v>F066</x:v>
      </x:c>
      <x:c r="C1485" s="30" t="str">
        <x:v>obstacle.stability</x:v>
      </x:c>
      <x:c r="D1485" s="30" t="str">
        <x:v>直接效果</x:v>
      </x:c>
      <x:c r="E1485" s="30" t="str">
        <x:v>经实际执行/回执提交；不是规划时提前修改</x:v>
      </x:c>
    </x:row>
    <x:row r="1486" ht="32" customHeight="1">
      <x:c r="A1486" s="30" t="str">
        <x:v>A015</x:v>
      </x:c>
      <x:c r="B1486" s="30" t="str">
        <x:v>F042</x:v>
      </x:c>
      <x:c r="C1486" s="30" t="str">
        <x:v>building.remaining_hazard</x:v>
      </x:c>
      <x:c r="D1486" s="30" t="str">
        <x:v>直接效果</x:v>
      </x:c>
      <x:c r="E1486" s="30" t="str">
        <x:v>经实际执行/回执提交；不是规划时提前修改</x:v>
      </x:c>
    </x:row>
    <x:row r="1487" ht="32" customHeight="1">
      <x:c r="A1487" s="30" t="str">
        <x:v>A016</x:v>
      </x:c>
      <x:c r="B1487" s="30" t="str">
        <x:v>F044</x:v>
      </x:c>
      <x:c r="C1487" s="30" t="str">
        <x:v>road.centerline</x:v>
      </x:c>
      <x:c r="D1487" s="30" t="str">
        <x:v>候选输入schema</x:v>
      </x:c>
      <x:c r="E1487" s="30" t="str">
        <x:v>按执行角色权限读取；策略只能使用可访问快照</x:v>
      </x:c>
    </x:row>
    <x:row r="1488" ht="32" customHeight="1">
      <x:c r="A1488" s="30" t="str">
        <x:v>A016</x:v>
      </x:c>
      <x:c r="B1488" s="30" t="str">
        <x:v>F045</x:v>
      </x:c>
      <x:c r="C1488" s="30" t="str">
        <x:v>road.width_m</x:v>
      </x:c>
      <x:c r="D1488" s="30" t="str">
        <x:v>候选输入schema</x:v>
      </x:c>
      <x:c r="E1488" s="30" t="str">
        <x:v>按执行角色权限读取；策略只能使用可访问快照</x:v>
      </x:c>
    </x:row>
    <x:row r="1489" ht="32" customHeight="1">
      <x:c r="A1489" s="30" t="str">
        <x:v>A016</x:v>
      </x:c>
      <x:c r="B1489" s="30" t="str">
        <x:v>F046</x:v>
      </x:c>
      <x:c r="C1489" s="30" t="str">
        <x:v>road.surface</x:v>
      </x:c>
      <x:c r="D1489" s="30" t="str">
        <x:v>候选输入schema</x:v>
      </x:c>
      <x:c r="E1489" s="30" t="str">
        <x:v>按执行角色权限读取；策略只能使用可访问快照</x:v>
      </x:c>
    </x:row>
    <x:row r="1490" ht="32" customHeight="1">
      <x:c r="A1490" s="30" t="str">
        <x:v>A016</x:v>
      </x:c>
      <x:c r="B1490" s="30" t="str">
        <x:v>F047</x:v>
      </x:c>
      <x:c r="C1490" s="30" t="str">
        <x:v>road.from_node</x:v>
      </x:c>
      <x:c r="D1490" s="30" t="str">
        <x:v>候选输入schema</x:v>
      </x:c>
      <x:c r="E1490" s="30" t="str">
        <x:v>按执行角色权限读取；策略只能使用可访问快照</x:v>
      </x:c>
    </x:row>
    <x:row r="1491" ht="32" customHeight="1">
      <x:c r="A1491" s="30" t="str">
        <x:v>A016</x:v>
      </x:c>
      <x:c r="B1491" s="30" t="str">
        <x:v>F048</x:v>
      </x:c>
      <x:c r="C1491" s="30" t="str">
        <x:v>road.to_node</x:v>
      </x:c>
      <x:c r="D1491" s="30" t="str">
        <x:v>候选输入schema</x:v>
      </x:c>
      <x:c r="E1491" s="30" t="str">
        <x:v>按执行角色权限读取；策略只能使用可访问快照</x:v>
      </x:c>
    </x:row>
    <x:row r="1492" ht="32" customHeight="1">
      <x:c r="A1492" s="30" t="str">
        <x:v>A016</x:v>
      </x:c>
      <x:c r="B1492" s="30" t="str">
        <x:v>F049</x:v>
      </x:c>
      <x:c r="C1492" s="30" t="str">
        <x:v>road.obstacle_ids</x:v>
      </x:c>
      <x:c r="D1492" s="30" t="str">
        <x:v>候选输入schema</x:v>
      </x:c>
      <x:c r="E1492" s="30" t="str">
        <x:v>按执行角色权限读取；策略只能使用可访问快照</x:v>
      </x:c>
    </x:row>
    <x:row r="1493" ht="32" customHeight="1">
      <x:c r="A1493" s="30" t="str">
        <x:v>A016</x:v>
      </x:c>
      <x:c r="B1493" s="30" t="str">
        <x:v>F050</x:v>
      </x:c>
      <x:c r="C1493" s="30" t="str">
        <x:v>road.clear_width_m</x:v>
      </x:c>
      <x:c r="D1493" s="30" t="str">
        <x:v>候选输入schema</x:v>
      </x:c>
      <x:c r="E1493" s="30" t="str">
        <x:v>按执行角色权限读取；策略只能使用可访问快照</x:v>
      </x:c>
    </x:row>
    <x:row r="1494" ht="32" customHeight="1">
      <x:c r="A1494" s="30" t="str">
        <x:v>A016</x:v>
      </x:c>
      <x:c r="B1494" s="30" t="str">
        <x:v>F051</x:v>
      </x:c>
      <x:c r="C1494" s="30" t="str">
        <x:v>road.clear_height_m</x:v>
      </x:c>
      <x:c r="D1494" s="30" t="str">
        <x:v>候选输入schema</x:v>
      </x:c>
      <x:c r="E1494" s="30" t="str">
        <x:v>按执行角色权限读取；策略只能使用可访问快照</x:v>
      </x:c>
    </x:row>
    <x:row r="1495" ht="32" customHeight="1">
      <x:c r="A1495" s="30" t="str">
        <x:v>A016</x:v>
      </x:c>
      <x:c r="B1495" s="30" t="str">
        <x:v>F052</x:v>
      </x:c>
      <x:c r="C1495" s="30" t="str">
        <x:v>road.turn_radius_m</x:v>
      </x:c>
      <x:c r="D1495" s="30" t="str">
        <x:v>候选输入schema</x:v>
      </x:c>
      <x:c r="E1495" s="30" t="str">
        <x:v>按执行角色权限读取；策略只能使用可访问快照</x:v>
      </x:c>
    </x:row>
    <x:row r="1496" ht="32" customHeight="1">
      <x:c r="A1496" s="30" t="str">
        <x:v>A016</x:v>
      </x:c>
      <x:c r="B1496" s="30" t="str">
        <x:v>F053</x:v>
      </x:c>
      <x:c r="C1496" s="30" t="str">
        <x:v>road.step_height_m</x:v>
      </x:c>
      <x:c r="D1496" s="30" t="str">
        <x:v>候选输入schema</x:v>
      </x:c>
      <x:c r="E1496" s="30" t="str">
        <x:v>按执行角色权限读取；策略只能使用可访问快照</x:v>
      </x:c>
    </x:row>
    <x:row r="1497" ht="32" customHeight="1">
      <x:c r="A1497" s="30" t="str">
        <x:v>A016</x:v>
      </x:c>
      <x:c r="B1497" s="30" t="str">
        <x:v>F054</x:v>
      </x:c>
      <x:c r="C1497" s="30" t="str">
        <x:v>road.entry_state</x:v>
      </x:c>
      <x:c r="D1497" s="30" t="str">
        <x:v>候选输入schema</x:v>
      </x:c>
      <x:c r="E1497" s="30" t="str">
        <x:v>按执行角色权限读取；策略只能使用可访问快照</x:v>
      </x:c>
    </x:row>
    <x:row r="1498" ht="32" customHeight="1">
      <x:c r="A1498" s="30" t="str">
        <x:v>A016</x:v>
      </x:c>
      <x:c r="B1498" s="30" t="str">
        <x:v>F055</x:v>
      </x:c>
      <x:c r="C1498" s="30" t="str">
        <x:v>road.water_depth_m</x:v>
      </x:c>
      <x:c r="D1498" s="30" t="str">
        <x:v>候选输入schema</x:v>
      </x:c>
      <x:c r="E1498" s="30" t="str">
        <x:v>按执行角色权限读取；策略只能使用可访问快照</x:v>
      </x:c>
    </x:row>
    <x:row r="1499" ht="32" customHeight="1">
      <x:c r="A1499" s="30" t="str">
        <x:v>A016</x:v>
      </x:c>
      <x:c r="B1499" s="30" t="str">
        <x:v>F056</x:v>
      </x:c>
      <x:c r="C1499" s="30" t="str">
        <x:v>road.passability</x:v>
      </x:c>
      <x:c r="D1499" s="30" t="str">
        <x:v>候选输入schema</x:v>
      </x:c>
      <x:c r="E1499" s="30" t="str">
        <x:v>按执行角色权限读取；策略只能使用可访问快照</x:v>
      </x:c>
    </x:row>
    <x:row r="1500" ht="32" customHeight="1">
      <x:c r="A1500" s="30" t="str">
        <x:v>A016</x:v>
      </x:c>
      <x:c r="B1500" s="30" t="str">
        <x:v>F057</x:v>
      </x:c>
      <x:c r="C1500" s="30" t="str">
        <x:v>road.travel_cost</x:v>
      </x:c>
      <x:c r="D1500" s="30" t="str">
        <x:v>候选输入schema</x:v>
      </x:c>
      <x:c r="E1500" s="30" t="str">
        <x:v>按执行角色权限读取；策略只能使用可访问快照</x:v>
      </x:c>
    </x:row>
    <x:row r="1501" ht="32" customHeight="1">
      <x:c r="A1501" s="30" t="str">
        <x:v>A016</x:v>
      </x:c>
      <x:c r="B1501" s="30" t="str">
        <x:v>F058</x:v>
      </x:c>
      <x:c r="C1501" s="30" t="str">
        <x:v>road.topology_revision</x:v>
      </x:c>
      <x:c r="D1501" s="30" t="str">
        <x:v>候选输入schema</x:v>
      </x:c>
      <x:c r="E1501" s="30" t="str">
        <x:v>按执行角色权限读取；策略只能使用可访问快照</x:v>
      </x:c>
    </x:row>
    <x:row r="1502" ht="32" customHeight="1">
      <x:c r="A1502" s="30" t="str">
        <x:v>A016</x:v>
      </x:c>
      <x:c r="B1502" s="30" t="str">
        <x:v>F059</x:v>
      </x:c>
      <x:c r="C1502" s="30" t="str">
        <x:v>obstacle.kind</x:v>
      </x:c>
      <x:c r="D1502" s="30" t="str">
        <x:v>候选输入schema</x:v>
      </x:c>
      <x:c r="E1502" s="30" t="str">
        <x:v>按执行角色权限读取；策略只能使用可访问快照</x:v>
      </x:c>
    </x:row>
    <x:row r="1503" ht="32" customHeight="1">
      <x:c r="A1503" s="30" t="str">
        <x:v>A016</x:v>
      </x:c>
      <x:c r="B1503" s="30" t="str">
        <x:v>F060</x:v>
      </x:c>
      <x:c r="C1503" s="30" t="str">
        <x:v>obstacle.material</x:v>
      </x:c>
      <x:c r="D1503" s="30" t="str">
        <x:v>候选输入schema</x:v>
      </x:c>
      <x:c r="E1503" s="30" t="str">
        <x:v>按执行角色权限读取；策略只能使用可访问快照</x:v>
      </x:c>
    </x:row>
    <x:row r="1504" ht="32" customHeight="1">
      <x:c r="A1504" s="30" t="str">
        <x:v>A016</x:v>
      </x:c>
      <x:c r="B1504" s="30" t="str">
        <x:v>F061</x:v>
      </x:c>
      <x:c r="C1504" s="30" t="str">
        <x:v>obstacle.source_id</x:v>
      </x:c>
      <x:c r="D1504" s="30" t="str">
        <x:v>候选输入schema</x:v>
      </x:c>
      <x:c r="E1504" s="30" t="str">
        <x:v>按执行角色权限读取；策略只能使用可访问快照</x:v>
      </x:c>
    </x:row>
    <x:row r="1505" ht="32" customHeight="1">
      <x:c r="A1505" s="30" t="str">
        <x:v>A016</x:v>
      </x:c>
      <x:c r="B1505" s="30" t="str">
        <x:v>F062</x:v>
      </x:c>
      <x:c r="C1505" s="30" t="str">
        <x:v>obstacle.height_m</x:v>
      </x:c>
      <x:c r="D1505" s="30" t="str">
        <x:v>候选输入schema</x:v>
      </x:c>
      <x:c r="E1505" s="30" t="str">
        <x:v>按执行角色权限读取；策略只能使用可访问快照</x:v>
      </x:c>
    </x:row>
    <x:row r="1506" ht="32" customHeight="1">
      <x:c r="A1506" s="30" t="str">
        <x:v>A016</x:v>
      </x:c>
      <x:c r="B1506" s="30" t="str">
        <x:v>F063</x:v>
      </x:c>
      <x:c r="C1506" s="30" t="str">
        <x:v>obstacle.mass_kg</x:v>
      </x:c>
      <x:c r="D1506" s="30" t="str">
        <x:v>候选输入schema</x:v>
      </x:c>
      <x:c r="E1506" s="30" t="str">
        <x:v>按执行角色权限读取；策略只能使用可访问快照</x:v>
      </x:c>
    </x:row>
    <x:row r="1507" ht="32" customHeight="1">
      <x:c r="A1507" s="30" t="str">
        <x:v>A016</x:v>
      </x:c>
      <x:c r="B1507" s="30" t="str">
        <x:v>F064</x:v>
      </x:c>
      <x:c r="C1507" s="30" t="str">
        <x:v>obstacle.volume_m3</x:v>
      </x:c>
      <x:c r="D1507" s="30" t="str">
        <x:v>候选输入schema</x:v>
      </x:c>
      <x:c r="E1507" s="30" t="str">
        <x:v>按执行角色权限读取；策略只能使用可访问快照</x:v>
      </x:c>
    </x:row>
    <x:row r="1508" ht="32" customHeight="1">
      <x:c r="A1508" s="30" t="str">
        <x:v>A016</x:v>
      </x:c>
      <x:c r="B1508" s="30" t="str">
        <x:v>F065</x:v>
      </x:c>
      <x:c r="C1508" s="30" t="str">
        <x:v>obstacle.state</x:v>
      </x:c>
      <x:c r="D1508" s="30" t="str">
        <x:v>候选输入schema</x:v>
      </x:c>
      <x:c r="E1508" s="30" t="str">
        <x:v>按执行角色权限读取；策略只能使用可访问快照</x:v>
      </x:c>
    </x:row>
    <x:row r="1509" ht="32" customHeight="1">
      <x:c r="A1509" s="30" t="str">
        <x:v>A016</x:v>
      </x:c>
      <x:c r="B1509" s="30" t="str">
        <x:v>F066</x:v>
      </x:c>
      <x:c r="C1509" s="30" t="str">
        <x:v>obstacle.stability</x:v>
      </x:c>
      <x:c r="D1509" s="30" t="str">
        <x:v>候选输入schema</x:v>
      </x:c>
      <x:c r="E1509" s="30" t="str">
        <x:v>按执行角色权限读取；策略只能使用可访问快照</x:v>
      </x:c>
    </x:row>
    <x:row r="1510" ht="32" customHeight="1">
      <x:c r="A1510" s="30" t="str">
        <x:v>A016</x:v>
      </x:c>
      <x:c r="B1510" s="30" t="str">
        <x:v>F067</x:v>
      </x:c>
      <x:c r="C1510" s="30" t="str">
        <x:v>obstacle.clear_method</x:v>
      </x:c>
      <x:c r="D1510" s="30" t="str">
        <x:v>候选输入schema</x:v>
      </x:c>
      <x:c r="E1510" s="30" t="str">
        <x:v>按执行角色权限读取；策略只能使用可访问快照</x:v>
      </x:c>
    </x:row>
    <x:row r="1511" ht="32" customHeight="1">
      <x:c r="A1511" s="30" t="str">
        <x:v>A016</x:v>
      </x:c>
      <x:c r="B1511" s="30" t="str">
        <x:v>F068</x:v>
      </x:c>
      <x:c r="C1511" s="30" t="str">
        <x:v>obstacle.work_remaining</x:v>
      </x:c>
      <x:c r="D1511" s="30" t="str">
        <x:v>候选输入schema</x:v>
      </x:c>
      <x:c r="E1511" s="30" t="str">
        <x:v>按执行角色权限读取；策略只能使用可访问快照</x:v>
      </x:c>
    </x:row>
    <x:row r="1512" ht="32" customHeight="1">
      <x:c r="A1512" s="30" t="str">
        <x:v>A016</x:v>
      </x:c>
      <x:c r="B1512" s="30" t="str">
        <x:v>F069</x:v>
      </x:c>
      <x:c r="C1512" s="30" t="str">
        <x:v>obstacle.blocks_ids</x:v>
      </x:c>
      <x:c r="D1512" s="30" t="str">
        <x:v>候选输入schema</x:v>
      </x:c>
      <x:c r="E1512" s="30" t="str">
        <x:v>按执行角色权限读取；策略只能使用可访问快照</x:v>
      </x:c>
    </x:row>
    <x:row r="1513" ht="32" customHeight="1">
      <x:c r="A1513" s="30" t="str">
        <x:v>A016</x:v>
      </x:c>
      <x:c r="B1513" s="30" t="str">
        <x:v>F070</x:v>
      </x:c>
      <x:c r="C1513" s="30" t="str">
        <x:v>obstacle.disposal_location</x:v>
      </x:c>
      <x:c r="D1513" s="30" t="str">
        <x:v>候选输入schema</x:v>
      </x:c>
      <x:c r="E1513" s="30" t="str">
        <x:v>按执行角色权限读取；策略只能使用可访问快照</x:v>
      </x:c>
    </x:row>
    <x:row r="1514" ht="32" customHeight="1">
      <x:c r="A1514" s="30" t="str">
        <x:v>A016</x:v>
      </x:c>
      <x:c r="B1514" s="30" t="str">
        <x:v>F095</x:v>
      </x:c>
      <x:c r="C1514" s="30" t="str">
        <x:v>platform.kind</x:v>
      </x:c>
      <x:c r="D1514" s="30" t="str">
        <x:v>候选输入schema</x:v>
      </x:c>
      <x:c r="E1514" s="30" t="str">
        <x:v>按执行角色权限读取；策略只能使用可访问快照</x:v>
      </x:c>
    </x:row>
    <x:row r="1515" ht="32" customHeight="1">
      <x:c r="A1515" s="30" t="str">
        <x:v>A016</x:v>
      </x:c>
      <x:c r="B1515" s="30" t="str">
        <x:v>F096</x:v>
      </x:c>
      <x:c r="C1515" s="30" t="str">
        <x:v>platform.capability_ids</x:v>
      </x:c>
      <x:c r="D1515" s="30" t="str">
        <x:v>候选输入schema</x:v>
      </x:c>
      <x:c r="E1515" s="30" t="str">
        <x:v>按执行角色权限读取；策略只能使用可访问快照</x:v>
      </x:c>
    </x:row>
    <x:row r="1516" ht="32" customHeight="1">
      <x:c r="A1516" s="30" t="str">
        <x:v>A016</x:v>
      </x:c>
      <x:c r="B1516" s="30" t="str">
        <x:v>F097</x:v>
      </x:c>
      <x:c r="C1516" s="30" t="str">
        <x:v>platform.equipment_ids</x:v>
      </x:c>
      <x:c r="D1516" s="30" t="str">
        <x:v>候选输入schema</x:v>
      </x:c>
      <x:c r="E1516" s="30" t="str">
        <x:v>按执行角色权限读取；策略只能使用可访问快照</x:v>
      </x:c>
    </x:row>
    <x:row r="1517" ht="32" customHeight="1">
      <x:c r="A1517" s="30" t="str">
        <x:v>A016</x:v>
      </x:c>
      <x:c r="B1517" s="30" t="str">
        <x:v>F098</x:v>
      </x:c>
      <x:c r="C1517" s="30" t="str">
        <x:v>platform.width_m</x:v>
      </x:c>
      <x:c r="D1517" s="30" t="str">
        <x:v>候选输入schema</x:v>
      </x:c>
      <x:c r="E1517" s="30" t="str">
        <x:v>按执行角色权限读取；策略只能使用可访问快照</x:v>
      </x:c>
    </x:row>
    <x:row r="1518" ht="32" customHeight="1">
      <x:c r="A1518" s="30" t="str">
        <x:v>A016</x:v>
      </x:c>
      <x:c r="B1518" s="30" t="str">
        <x:v>F099</x:v>
      </x:c>
      <x:c r="C1518" s="30" t="str">
        <x:v>platform.height_m</x:v>
      </x:c>
      <x:c r="D1518" s="30" t="str">
        <x:v>候选输入schema</x:v>
      </x:c>
      <x:c r="E1518" s="30" t="str">
        <x:v>按执行角色权限读取；策略只能使用可访问快照</x:v>
      </x:c>
    </x:row>
    <x:row r="1519" ht="32" customHeight="1">
      <x:c r="A1519" s="30" t="str">
        <x:v>A016</x:v>
      </x:c>
      <x:c r="B1519" s="30" t="str">
        <x:v>F100</x:v>
      </x:c>
      <x:c r="C1519" s="30" t="str">
        <x:v>platform.swept_radius_m</x:v>
      </x:c>
      <x:c r="D1519" s="30" t="str">
        <x:v>候选输入schema</x:v>
      </x:c>
      <x:c r="E1519" s="30" t="str">
        <x:v>按执行角色权限读取；策略只能使用可访问快照</x:v>
      </x:c>
    </x:row>
    <x:row r="1520" ht="32" customHeight="1">
      <x:c r="A1520" s="30" t="str">
        <x:v>A016</x:v>
      </x:c>
      <x:c r="B1520" s="30" t="str">
        <x:v>F101</x:v>
      </x:c>
      <x:c r="C1520" s="30" t="str">
        <x:v>platform.payload_capacity_kg</x:v>
      </x:c>
      <x:c r="D1520" s="30" t="str">
        <x:v>候选输入schema</x:v>
      </x:c>
      <x:c r="E1520" s="30" t="str">
        <x:v>按执行角色权限读取；策略只能使用可访问快照</x:v>
      </x:c>
    </x:row>
    <x:row r="1521" ht="32" customHeight="1">
      <x:c r="A1521" s="30" t="str">
        <x:v>A016</x:v>
      </x:c>
      <x:c r="B1521" s="30" t="str">
        <x:v>F102</x:v>
      </x:c>
      <x:c r="C1521" s="30" t="str">
        <x:v>platform.payload_used_kg</x:v>
      </x:c>
      <x:c r="D1521" s="30" t="str">
        <x:v>候选输入schema</x:v>
      </x:c>
      <x:c r="E1521" s="30" t="str">
        <x:v>按执行角色权限读取；策略只能使用可访问快照</x:v>
      </x:c>
    </x:row>
    <x:row r="1522" ht="32" customHeight="1">
      <x:c r="A1522" s="30" t="str">
        <x:v>A016</x:v>
      </x:c>
      <x:c r="B1522" s="30" t="str">
        <x:v>F103</x:v>
      </x:c>
      <x:c r="C1522" s="30" t="str">
        <x:v>platform.payload_item_ids</x:v>
      </x:c>
      <x:c r="D1522" s="30" t="str">
        <x:v>候选输入schema</x:v>
      </x:c>
      <x:c r="E1522" s="30" t="str">
        <x:v>按执行角色权限读取；策略只能使用可访问快照</x:v>
      </x:c>
    </x:row>
    <x:row r="1523" ht="32" customHeight="1">
      <x:c r="A1523" s="30" t="str">
        <x:v>A016</x:v>
      </x:c>
      <x:c r="B1523" s="30" t="str">
        <x:v>F104</x:v>
      </x:c>
      <x:c r="C1523" s="30" t="str">
        <x:v>platform.battery_capacity_Wh</x:v>
      </x:c>
      <x:c r="D1523" s="30" t="str">
        <x:v>候选输入schema</x:v>
      </x:c>
      <x:c r="E1523" s="30" t="str">
        <x:v>按执行角色权限读取；策略只能使用可访问快照</x:v>
      </x:c>
    </x:row>
    <x:row r="1524" ht="32" customHeight="1">
      <x:c r="A1524" s="30" t="str">
        <x:v>A016</x:v>
      </x:c>
      <x:c r="B1524" s="30" t="str">
        <x:v>F105</x:v>
      </x:c>
      <x:c r="C1524" s="30" t="str">
        <x:v>platform.battery_remaining_Wh</x:v>
      </x:c>
      <x:c r="D1524" s="30" t="str">
        <x:v>候选输入schema</x:v>
      </x:c>
      <x:c r="E1524" s="30" t="str">
        <x:v>按执行角色权限读取；策略只能使用可访问快照</x:v>
      </x:c>
    </x:row>
    <x:row r="1525" ht="32" customHeight="1">
      <x:c r="A1525" s="30" t="str">
        <x:v>A016</x:v>
      </x:c>
      <x:c r="B1525" s="30" t="str">
        <x:v>F106</x:v>
      </x:c>
      <x:c r="C1525" s="30" t="str">
        <x:v>platform.reserve_Wh</x:v>
      </x:c>
      <x:c r="D1525" s="30" t="str">
        <x:v>候选输入schema</x:v>
      </x:c>
      <x:c r="E1525" s="30" t="str">
        <x:v>按执行角色权限读取；策略只能使用可访问快照</x:v>
      </x:c>
    </x:row>
    <x:row r="1526" ht="32" customHeight="1">
      <x:c r="A1526" s="30" t="str">
        <x:v>A016</x:v>
      </x:c>
      <x:c r="B1526" s="30" t="str">
        <x:v>F107</x:v>
      </x:c>
      <x:c r="C1526" s="30" t="str">
        <x:v>platform.speed_limit_mps</x:v>
      </x:c>
      <x:c r="D1526" s="30" t="str">
        <x:v>候选输入schema</x:v>
      </x:c>
      <x:c r="E1526" s="30" t="str">
        <x:v>按执行角色权限读取；策略只能使用可访问快照</x:v>
      </x:c>
    </x:row>
    <x:row r="1527" ht="32" customHeight="1">
      <x:c r="A1527" s="30" t="str">
        <x:v>A016</x:v>
      </x:c>
      <x:c r="B1527" s="30" t="str">
        <x:v>F108</x:v>
      </x:c>
      <x:c r="C1527" s="30" t="str">
        <x:v>platform.energy_model</x:v>
      </x:c>
      <x:c r="D1527" s="30" t="str">
        <x:v>候选输入schema</x:v>
      </x:c>
      <x:c r="E1527" s="30" t="str">
        <x:v>按执行角色权限读取；策略只能使用可访问快照</x:v>
      </x:c>
    </x:row>
    <x:row r="1528" ht="32" customHeight="1">
      <x:c r="A1528" s="30" t="str">
        <x:v>A016</x:v>
      </x:c>
      <x:c r="B1528" s="30" t="str">
        <x:v>F109</x:v>
      </x:c>
      <x:c r="C1528" s="30" t="str">
        <x:v>platform.motion_state</x:v>
      </x:c>
      <x:c r="D1528" s="30" t="str">
        <x:v>候选输入schema</x:v>
      </x:c>
      <x:c r="E1528" s="30" t="str">
        <x:v>按执行角色权限读取；策略只能使用可访问快照</x:v>
      </x:c>
    </x:row>
    <x:row r="1529" ht="32" customHeight="1">
      <x:c r="A1529" s="30" t="str">
        <x:v>A016</x:v>
      </x:c>
      <x:c r="B1529" s="30" t="str">
        <x:v>F110</x:v>
      </x:c>
      <x:c r="C1529" s="30" t="str">
        <x:v>platform.health_state</x:v>
      </x:c>
      <x:c r="D1529" s="30" t="str">
        <x:v>候选输入schema</x:v>
      </x:c>
      <x:c r="E1529" s="30" t="str">
        <x:v>按执行角色权限读取；策略只能使用可访问快照</x:v>
      </x:c>
    </x:row>
    <x:row r="1530" ht="32" customHeight="1">
      <x:c r="A1530" s="30" t="str">
        <x:v>A016</x:v>
      </x:c>
      <x:c r="B1530" s="30" t="str">
        <x:v>F111</x:v>
      </x:c>
      <x:c r="C1530" s="30" t="str">
        <x:v>platform.current_action_id</x:v>
      </x:c>
      <x:c r="D1530" s="30" t="str">
        <x:v>候选输入schema</x:v>
      </x:c>
      <x:c r="E1530" s="30" t="str">
        <x:v>按执行角色权限读取；策略只能使用可访问快照</x:v>
      </x:c>
    </x:row>
    <x:row r="1531" ht="32" customHeight="1">
      <x:c r="A1531" s="30" t="str">
        <x:v>A016</x:v>
      </x:c>
      <x:c r="B1531" s="30" t="str">
        <x:v>F112</x:v>
      </x:c>
      <x:c r="C1531" s="30" t="str">
        <x:v>platform.busy_until_est_s</x:v>
      </x:c>
      <x:c r="D1531" s="30" t="str">
        <x:v>候选输入schema</x:v>
      </x:c>
      <x:c r="E1531" s="30" t="str">
        <x:v>按执行角色权限读取；策略只能使用可访问快照</x:v>
      </x:c>
    </x:row>
    <x:row r="1532" ht="32" customHeight="1">
      <x:c r="A1532" s="30" t="str">
        <x:v>A016</x:v>
      </x:c>
      <x:c r="B1532" s="30" t="str">
        <x:v>F113</x:v>
      </x:c>
      <x:c r="C1532" s="30" t="str">
        <x:v>platform.return_site_id</x:v>
      </x:c>
      <x:c r="D1532" s="30" t="str">
        <x:v>候选输入schema</x:v>
      </x:c>
      <x:c r="E1532" s="30" t="str">
        <x:v>按执行角色权限读取；策略只能使用可访问快照</x:v>
      </x:c>
    </x:row>
    <x:row r="1533" ht="32" customHeight="1">
      <x:c r="A1533" s="30" t="str">
        <x:v>A016</x:v>
      </x:c>
      <x:c r="B1533" s="30" t="str">
        <x:v>F114</x:v>
      </x:c>
      <x:c r="C1533" s="30" t="str">
        <x:v>platform.water_tolerance_m</x:v>
      </x:c>
      <x:c r="D1533" s="30" t="str">
        <x:v>候选输入schema</x:v>
      </x:c>
      <x:c r="E1533" s="30" t="str">
        <x:v>按执行角色权限读取；策略只能使用可访问快照</x:v>
      </x:c>
    </x:row>
    <x:row r="1534" ht="32" customHeight="1">
      <x:c r="A1534" s="30" t="str">
        <x:v>A016</x:v>
      </x:c>
      <x:c r="B1534" s="30" t="str">
        <x:v>F115</x:v>
      </x:c>
      <x:c r="C1534" s="30" t="str">
        <x:v>platform.concurrency_policy</x:v>
      </x:c>
      <x:c r="D1534" s="30" t="str">
        <x:v>候选输入schema</x:v>
      </x:c>
      <x:c r="E1534" s="30" t="str">
        <x:v>按执行角色权限读取；策略只能使用可访问快照</x:v>
      </x:c>
    </x:row>
    <x:row r="1535" ht="32" customHeight="1">
      <x:c r="A1535" s="30" t="str">
        <x:v>A016</x:v>
      </x:c>
      <x:c r="B1535" s="30" t="str">
        <x:v>F116</x:v>
      </x:c>
      <x:c r="C1535" s="30" t="str">
        <x:v>equipment.kind</x:v>
      </x:c>
      <x:c r="D1535" s="30" t="str">
        <x:v>候选输入schema</x:v>
      </x:c>
      <x:c r="E1535" s="30" t="str">
        <x:v>按执行角色权限读取；策略只能使用可访问快照</x:v>
      </x:c>
    </x:row>
    <x:row r="1536" ht="32" customHeight="1">
      <x:c r="A1536" s="30" t="str">
        <x:v>A016</x:v>
      </x:c>
      <x:c r="B1536" s="30" t="str">
        <x:v>F117</x:v>
      </x:c>
      <x:c r="C1536" s="30" t="str">
        <x:v>equipment.enabled</x:v>
      </x:c>
      <x:c r="D1536" s="30" t="str">
        <x:v>候选输入schema</x:v>
      </x:c>
      <x:c r="E1536" s="30" t="str">
        <x:v>按执行角色权限读取；策略只能使用可访问快照</x:v>
      </x:c>
    </x:row>
    <x:row r="1537" ht="32" customHeight="1">
      <x:c r="A1537" s="30" t="str">
        <x:v>A016</x:v>
      </x:c>
      <x:c r="B1537" s="30" t="str">
        <x:v>F118</x:v>
      </x:c>
      <x:c r="C1537" s="30" t="str">
        <x:v>equipment.health</x:v>
      </x:c>
      <x:c r="D1537" s="30" t="str">
        <x:v>候选输入schema</x:v>
      </x:c>
      <x:c r="E1537" s="30" t="str">
        <x:v>按执行角色权限读取；策略只能使用可访问快照</x:v>
      </x:c>
    </x:row>
    <x:row r="1538" ht="32" customHeight="1">
      <x:c r="A1538" s="30" t="str">
        <x:v>A016</x:v>
      </x:c>
      <x:c r="B1538" s="30" t="str">
        <x:v>F119</x:v>
      </x:c>
      <x:c r="C1538" s="30" t="str">
        <x:v>equipment.rated_load_kg</x:v>
      </x:c>
      <x:c r="D1538" s="30" t="str">
        <x:v>候选输入schema</x:v>
      </x:c>
      <x:c r="E1538" s="30" t="str">
        <x:v>按执行角色权限读取；策略只能使用可访问快照</x:v>
      </x:c>
    </x:row>
    <x:row r="1539" ht="32" customHeight="1">
      <x:c r="A1539" s="30" t="str">
        <x:v>A016</x:v>
      </x:c>
      <x:c r="B1539" s="30" t="str">
        <x:v>F120</x:v>
      </x:c>
      <x:c r="C1539" s="30" t="str">
        <x:v>equipment.reach_m</x:v>
      </x:c>
      <x:c r="D1539" s="30" t="str">
        <x:v>候选输入schema</x:v>
      </x:c>
      <x:c r="E1539" s="30" t="str">
        <x:v>按执行角色权限读取；策略只能使用可访问快照</x:v>
      </x:c>
    </x:row>
    <x:row r="1540" ht="32" customHeight="1">
      <x:c r="A1540" s="30" t="str">
        <x:v>A016</x:v>
      </x:c>
      <x:c r="B1540" s="30" t="str">
        <x:v>F121</x:v>
      </x:c>
      <x:c r="C1540" s="30" t="str">
        <x:v>equipment.compatible_materials</x:v>
      </x:c>
      <x:c r="D1540" s="30" t="str">
        <x:v>候选输入schema</x:v>
      </x:c>
      <x:c r="E1540" s="30" t="str">
        <x:v>按执行角色权限读取；策略只能使用可访问快照</x:v>
      </x:c>
    </x:row>
    <x:row r="1541" ht="32" customHeight="1">
      <x:c r="A1541" s="30" t="str">
        <x:v>A016</x:v>
      </x:c>
      <x:c r="B1541" s="30" t="str">
        <x:v>F122</x:v>
      </x:c>
      <x:c r="C1541" s="30" t="str">
        <x:v>equipment.tool_size</x:v>
      </x:c>
      <x:c r="D1541" s="30" t="str">
        <x:v>候选输入schema</x:v>
      </x:c>
      <x:c r="E1541" s="30" t="str">
        <x:v>按执行角色权限读取；策略只能使用可访问快照</x:v>
      </x:c>
    </x:row>
    <x:row r="1542" ht="32" customHeight="1">
      <x:c r="A1542" s="30" t="str">
        <x:v>A016</x:v>
      </x:c>
      <x:c r="B1542" s="30" t="str">
        <x:v>F123</x:v>
      </x:c>
      <x:c r="C1542" s="30" t="str">
        <x:v>equipment.consumable_type</x:v>
      </x:c>
      <x:c r="D1542" s="30" t="str">
        <x:v>候选输入schema</x:v>
      </x:c>
      <x:c r="E1542" s="30" t="str">
        <x:v>按执行角色权限读取；策略只能使用可访问快照</x:v>
      </x:c>
    </x:row>
    <x:row r="1543" ht="32" customHeight="1">
      <x:c r="A1543" s="30" t="str">
        <x:v>A016</x:v>
      </x:c>
      <x:c r="B1543" s="30" t="str">
        <x:v>F124</x:v>
      </x:c>
      <x:c r="C1543" s="30" t="str">
        <x:v>equipment.consumable_remaining</x:v>
      </x:c>
      <x:c r="D1543" s="30" t="str">
        <x:v>候选输入schema</x:v>
      </x:c>
      <x:c r="E1543" s="30" t="str">
        <x:v>按执行角色权限读取；策略只能使用可访问快照</x:v>
      </x:c>
    </x:row>
    <x:row r="1544" ht="32" customHeight="1">
      <x:c r="A1544" s="30" t="str">
        <x:v>A016</x:v>
      </x:c>
      <x:c r="B1544" s="30" t="str">
        <x:v>F125</x:v>
      </x:c>
      <x:c r="C1544" s="30" t="str">
        <x:v>equipment.operator_authority</x:v>
      </x:c>
      <x:c r="D1544" s="30" t="str">
        <x:v>候选输入schema</x:v>
      </x:c>
      <x:c r="E1544" s="30" t="str">
        <x:v>按执行角色权限读取；策略只能使用可访问快照</x:v>
      </x:c>
    </x:row>
    <x:row r="1545" ht="32" customHeight="1">
      <x:c r="A1545" s="30" t="str">
        <x:v>A016</x:v>
      </x:c>
      <x:c r="B1545" s="30" t="str">
        <x:v>F126</x:v>
      </x:c>
      <x:c r="C1545" s="30" t="str">
        <x:v>equipment.setup_state</x:v>
      </x:c>
      <x:c r="D1545" s="30" t="str">
        <x:v>候选输入schema</x:v>
      </x:c>
      <x:c r="E1545" s="30" t="str">
        <x:v>按执行角色权限读取；策略只能使用可访问快照</x:v>
      </x:c>
    </x:row>
    <x:row r="1546" ht="32" customHeight="1">
      <x:c r="A1546" s="30" t="str">
        <x:v>A016</x:v>
      </x:c>
      <x:c r="B1546" s="30" t="str">
        <x:v>F127</x:v>
      </x:c>
      <x:c r="C1546" s="30" t="str">
        <x:v>equipment.busy_action_id</x:v>
      </x:c>
      <x:c r="D1546" s="30" t="str">
        <x:v>候选输入schema</x:v>
      </x:c>
      <x:c r="E1546" s="30" t="str">
        <x:v>按执行角色权限读取；策略只能使用可访问快照</x:v>
      </x:c>
    </x:row>
    <x:row r="1547" ht="32" customHeight="1">
      <x:c r="A1547" s="30" t="str">
        <x:v>A016</x:v>
      </x:c>
      <x:c r="B1547" s="30" t="str">
        <x:v>F230</x:v>
      </x:c>
      <x:c r="C1547" s="30" t="str">
        <x:v>action.type</x:v>
      </x:c>
      <x:c r="D1547" s="30" t="str">
        <x:v>候选输入schema</x:v>
      </x:c>
      <x:c r="E1547" s="30" t="str">
        <x:v>按执行角色权限读取；策略只能使用可访问快照</x:v>
      </x:c>
    </x:row>
    <x:row r="1548" ht="32" customHeight="1">
      <x:c r="A1548" s="30" t="str">
        <x:v>A016</x:v>
      </x:c>
      <x:c r="B1548" s="30" t="str">
        <x:v>F231</x:v>
      </x:c>
      <x:c r="C1548" s="30" t="str">
        <x:v>action.executor_id</x:v>
      </x:c>
      <x:c r="D1548" s="30" t="str">
        <x:v>候选输入schema</x:v>
      </x:c>
      <x:c r="E1548" s="30" t="str">
        <x:v>按执行角色权限读取；策略只能使用可访问快照</x:v>
      </x:c>
    </x:row>
    <x:row r="1549" ht="32" customHeight="1">
      <x:c r="A1549" s="30" t="str">
        <x:v>A016</x:v>
      </x:c>
      <x:c r="B1549" s="30" t="str">
        <x:v>F232</x:v>
      </x:c>
      <x:c r="C1549" s="30" t="str">
        <x:v>action.task_ref</x:v>
      </x:c>
      <x:c r="D1549" s="30" t="str">
        <x:v>候选输入schema</x:v>
      </x:c>
      <x:c r="E1549" s="30" t="str">
        <x:v>按执行角色权限读取；策略只能使用可访问快照</x:v>
      </x:c>
    </x:row>
    <x:row r="1550" ht="32" customHeight="1">
      <x:c r="A1550" s="30" t="str">
        <x:v>A016</x:v>
      </x:c>
      <x:c r="B1550" s="30" t="str">
        <x:v>F233</x:v>
      </x:c>
      <x:c r="C1550" s="30" t="str">
        <x:v>action.target_ref</x:v>
      </x:c>
      <x:c r="D1550" s="30" t="str">
        <x:v>候选输入schema</x:v>
      </x:c>
      <x:c r="E1550" s="30" t="str">
        <x:v>按执行角色权限读取；策略只能使用可访问快照</x:v>
      </x:c>
    </x:row>
    <x:row r="1551" ht="32" customHeight="1">
      <x:c r="A1551" s="30" t="str">
        <x:v>A016</x:v>
      </x:c>
      <x:c r="B1551" s="30" t="str">
        <x:v>F234</x:v>
      </x:c>
      <x:c r="C1551" s="30" t="str">
        <x:v>action.parameters</x:v>
      </x:c>
      <x:c r="D1551" s="30" t="str">
        <x:v>候选输入schema</x:v>
      </x:c>
      <x:c r="E1551" s="30" t="str">
        <x:v>按执行角色权限读取；策略只能使用可访问快照</x:v>
      </x:c>
    </x:row>
    <x:row r="1552" ht="32" customHeight="1">
      <x:c r="A1552" s="30" t="str">
        <x:v>A016</x:v>
      </x:c>
      <x:c r="B1552" s="30" t="str">
        <x:v>F235</x:v>
      </x:c>
      <x:c r="C1552" s="30" t="str">
        <x:v>action.status</x:v>
      </x:c>
      <x:c r="D1552" s="30" t="str">
        <x:v>候选输入schema</x:v>
      </x:c>
      <x:c r="E1552" s="30" t="str">
        <x:v>按执行角色权限读取；策略只能使用可访问快照</x:v>
      </x:c>
    </x:row>
    <x:row r="1553" ht="32" customHeight="1">
      <x:c r="A1553" s="30" t="str">
        <x:v>A016</x:v>
      </x:c>
      <x:c r="B1553" s="30" t="str">
        <x:v>F236</x:v>
      </x:c>
      <x:c r="C1553" s="30" t="str">
        <x:v>action.start_s</x:v>
      </x:c>
      <x:c r="D1553" s="30" t="str">
        <x:v>候选输入schema</x:v>
      </x:c>
      <x:c r="E1553" s="30" t="str">
        <x:v>按执行角色权限读取；策略只能使用可访问快照</x:v>
      </x:c>
    </x:row>
    <x:row r="1554" ht="32" customHeight="1">
      <x:c r="A1554" s="30" t="str">
        <x:v>A016</x:v>
      </x:c>
      <x:c r="B1554" s="30" t="str">
        <x:v>F237</x:v>
      </x:c>
      <x:c r="C1554" s="30" t="str">
        <x:v>action.finish_s</x:v>
      </x:c>
      <x:c r="D1554" s="30" t="str">
        <x:v>候选输入schema</x:v>
      </x:c>
      <x:c r="E1554" s="30" t="str">
        <x:v>按执行角色权限读取；策略只能使用可访问快照</x:v>
      </x:c>
    </x:row>
    <x:row r="1555" ht="32" customHeight="1">
      <x:c r="A1555" s="30" t="str">
        <x:v>A016</x:v>
      </x:c>
      <x:c r="B1555" s="30" t="str">
        <x:v>F238</x:v>
      </x:c>
      <x:c r="C1555" s="30" t="str">
        <x:v>action.reserved_resources</x:v>
      </x:c>
      <x:c r="D1555" s="30" t="str">
        <x:v>候选输入schema</x:v>
      </x:c>
      <x:c r="E1555" s="30" t="str">
        <x:v>按执行角色权限读取；策略只能使用可访问快照</x:v>
      </x:c>
    </x:row>
    <x:row r="1556" ht="32" customHeight="1">
      <x:c r="A1556" s="30" t="str">
        <x:v>A016</x:v>
      </x:c>
      <x:c r="B1556" s="30" t="str">
        <x:v>F239</x:v>
      </x:c>
      <x:c r="C1556" s="30" t="str">
        <x:v>action.consumed_resources</x:v>
      </x:c>
      <x:c r="D1556" s="30" t="str">
        <x:v>候选输入schema</x:v>
      </x:c>
      <x:c r="E1556" s="30" t="str">
        <x:v>按执行角色权限读取；策略只能使用可访问快照</x:v>
      </x:c>
    </x:row>
    <x:row r="1557" ht="32" customHeight="1">
      <x:c r="A1557" s="30" t="str">
        <x:v>A016</x:v>
      </x:c>
      <x:c r="B1557" s="30" t="str">
        <x:v>F240</x:v>
      </x:c>
      <x:c r="C1557" s="30" t="str">
        <x:v>action.feedback</x:v>
      </x:c>
      <x:c r="D1557" s="30" t="str">
        <x:v>候选输入schema</x:v>
      </x:c>
      <x:c r="E1557" s="30" t="str">
        <x:v>按执行角色权限读取；策略只能使用可访问快照</x:v>
      </x:c>
    </x:row>
    <x:row r="1558" ht="32" customHeight="1">
      <x:c r="A1558" s="30" t="str">
        <x:v>A016</x:v>
      </x:c>
      <x:c r="B1558" s="30" t="str">
        <x:v>F241</x:v>
      </x:c>
      <x:c r="C1558" s="30" t="str">
        <x:v>action.result</x:v>
      </x:c>
      <x:c r="D1558" s="30" t="str">
        <x:v>候选输入schema</x:v>
      </x:c>
      <x:c r="E1558" s="30" t="str">
        <x:v>按执行角色权限读取；策略只能使用可访问快照</x:v>
      </x:c>
    </x:row>
    <x:row r="1559" ht="32" customHeight="1">
      <x:c r="A1559" s="30" t="str">
        <x:v>A016</x:v>
      </x:c>
      <x:c r="B1559" s="30" t="str">
        <x:v>F242</x:v>
      </x:c>
      <x:c r="C1559" s="30" t="str">
        <x:v>action.rejection_code</x:v>
      </x:c>
      <x:c r="D1559" s="30" t="str">
        <x:v>候选输入schema</x:v>
      </x:c>
      <x:c r="E1559" s="30" t="str">
        <x:v>按执行角色权限读取；策略只能使用可访问快照</x:v>
      </x:c>
    </x:row>
    <x:row r="1560" ht="32" customHeight="1">
      <x:c r="A1560" s="30" t="str">
        <x:v>A016</x:v>
      </x:c>
      <x:c r="B1560" s="30" t="str">
        <x:v>F243</x:v>
      </x:c>
      <x:c r="C1560" s="30" t="str">
        <x:v>action.failure_code</x:v>
      </x:c>
      <x:c r="D1560" s="30" t="str">
        <x:v>候选输入schema</x:v>
      </x:c>
      <x:c r="E1560" s="30" t="str">
        <x:v>按执行角色权限读取；策略只能使用可访问快照</x:v>
      </x:c>
    </x:row>
    <x:row r="1561" ht="32" customHeight="1">
      <x:c r="A1561" s="30" t="str">
        <x:v>A016</x:v>
      </x:c>
      <x:c r="B1561" s="30" t="str">
        <x:v>F244</x:v>
      </x:c>
      <x:c r="C1561" s="30" t="str">
        <x:v>action.cancel_requested</x:v>
      </x:c>
      <x:c r="D1561" s="30" t="str">
        <x:v>候选输入schema</x:v>
      </x:c>
      <x:c r="E1561" s="30" t="str">
        <x:v>按执行角色权限读取；策略只能使用可访问快照</x:v>
      </x:c>
    </x:row>
    <x:row r="1562" ht="32" customHeight="1">
      <x:c r="A1562" s="30" t="str">
        <x:v>A016</x:v>
      </x:c>
      <x:c r="B1562" s="30" t="str">
        <x:v>F245</x:v>
      </x:c>
      <x:c r="C1562" s="30" t="str">
        <x:v>action.backend_mode</x:v>
      </x:c>
      <x:c r="D1562" s="30" t="str">
        <x:v>候选输入schema</x:v>
      </x:c>
      <x:c r="E1562" s="30" t="str">
        <x:v>按执行角色权限读取；策略只能使用可访问快照</x:v>
      </x:c>
    </x:row>
    <x:row r="1563" ht="32" customHeight="1">
      <x:c r="A1563" s="30" t="str">
        <x:v>A016</x:v>
      </x:c>
      <x:c r="B1563" s="30" t="str">
        <x:v>F004</x:v>
      </x:c>
      <x:c r="C1563" s="30" t="str">
        <x:v>entity.pose</x:v>
      </x:c>
      <x:c r="D1563" s="30" t="str">
        <x:v>直接效果</x:v>
      </x:c>
      <x:c r="E1563" s="30" t="str">
        <x:v>经实际执行/回执提交；不是规划时提前修改</x:v>
      </x:c>
    </x:row>
    <x:row r="1564" ht="32" customHeight="1">
      <x:c r="A1564" s="30" t="str">
        <x:v>A016</x:v>
      </x:c>
      <x:c r="B1564" s="30" t="str">
        <x:v>F065</x:v>
      </x:c>
      <x:c r="C1564" s="30" t="str">
        <x:v>obstacle.state</x:v>
      </x:c>
      <x:c r="D1564" s="30" t="str">
        <x:v>直接效果</x:v>
      </x:c>
      <x:c r="E1564" s="30" t="str">
        <x:v>经实际执行/回执提交；不是规划时提前修改</x:v>
      </x:c>
    </x:row>
    <x:row r="1565" ht="32" customHeight="1">
      <x:c r="A1565" s="30" t="str">
        <x:v>A016</x:v>
      </x:c>
      <x:c r="B1565" s="30" t="str">
        <x:v>F070</x:v>
      </x:c>
      <x:c r="C1565" s="30" t="str">
        <x:v>obstacle.disposal_location</x:v>
      </x:c>
      <x:c r="D1565" s="30" t="str">
        <x:v>直接效果</x:v>
      </x:c>
      <x:c r="E1565" s="30" t="str">
        <x:v>经实际执行/回执提交；不是规划时提前修改</x:v>
      </x:c>
    </x:row>
    <x:row r="1566" ht="32" customHeight="1">
      <x:c r="A1566" s="30" t="str">
        <x:v>A017</x:v>
      </x:c>
      <x:c r="B1566" s="30" t="str">
        <x:v>F059</x:v>
      </x:c>
      <x:c r="C1566" s="30" t="str">
        <x:v>obstacle.kind</x:v>
      </x:c>
      <x:c r="D1566" s="30" t="str">
        <x:v>候选输入schema</x:v>
      </x:c>
      <x:c r="E1566" s="30" t="str">
        <x:v>按执行角色权限读取；策略只能使用可访问快照</x:v>
      </x:c>
    </x:row>
    <x:row r="1567" ht="32" customHeight="1">
      <x:c r="A1567" s="30" t="str">
        <x:v>A017</x:v>
      </x:c>
      <x:c r="B1567" s="30" t="str">
        <x:v>F060</x:v>
      </x:c>
      <x:c r="C1567" s="30" t="str">
        <x:v>obstacle.material</x:v>
      </x:c>
      <x:c r="D1567" s="30" t="str">
        <x:v>候选输入schema</x:v>
      </x:c>
      <x:c r="E1567" s="30" t="str">
        <x:v>按执行角色权限读取；策略只能使用可访问快照</x:v>
      </x:c>
    </x:row>
    <x:row r="1568" ht="32" customHeight="1">
      <x:c r="A1568" s="30" t="str">
        <x:v>A017</x:v>
      </x:c>
      <x:c r="B1568" s="30" t="str">
        <x:v>F061</x:v>
      </x:c>
      <x:c r="C1568" s="30" t="str">
        <x:v>obstacle.source_id</x:v>
      </x:c>
      <x:c r="D1568" s="30" t="str">
        <x:v>候选输入schema</x:v>
      </x:c>
      <x:c r="E1568" s="30" t="str">
        <x:v>按执行角色权限读取；策略只能使用可访问快照</x:v>
      </x:c>
    </x:row>
    <x:row r="1569" ht="32" customHeight="1">
      <x:c r="A1569" s="30" t="str">
        <x:v>A017</x:v>
      </x:c>
      <x:c r="B1569" s="30" t="str">
        <x:v>F062</x:v>
      </x:c>
      <x:c r="C1569" s="30" t="str">
        <x:v>obstacle.height_m</x:v>
      </x:c>
      <x:c r="D1569" s="30" t="str">
        <x:v>候选输入schema</x:v>
      </x:c>
      <x:c r="E1569" s="30" t="str">
        <x:v>按执行角色权限读取；策略只能使用可访问快照</x:v>
      </x:c>
    </x:row>
    <x:row r="1570" ht="32" customHeight="1">
      <x:c r="A1570" s="30" t="str">
        <x:v>A017</x:v>
      </x:c>
      <x:c r="B1570" s="30" t="str">
        <x:v>F063</x:v>
      </x:c>
      <x:c r="C1570" s="30" t="str">
        <x:v>obstacle.mass_kg</x:v>
      </x:c>
      <x:c r="D1570" s="30" t="str">
        <x:v>候选输入schema</x:v>
      </x:c>
      <x:c r="E1570" s="30" t="str">
        <x:v>按执行角色权限读取；策略只能使用可访问快照</x:v>
      </x:c>
    </x:row>
    <x:row r="1571" ht="32" customHeight="1">
      <x:c r="A1571" s="30" t="str">
        <x:v>A017</x:v>
      </x:c>
      <x:c r="B1571" s="30" t="str">
        <x:v>F064</x:v>
      </x:c>
      <x:c r="C1571" s="30" t="str">
        <x:v>obstacle.volume_m3</x:v>
      </x:c>
      <x:c r="D1571" s="30" t="str">
        <x:v>候选输入schema</x:v>
      </x:c>
      <x:c r="E1571" s="30" t="str">
        <x:v>按执行角色权限读取；策略只能使用可访问快照</x:v>
      </x:c>
    </x:row>
    <x:row r="1572" ht="32" customHeight="1">
      <x:c r="A1572" s="30" t="str">
        <x:v>A017</x:v>
      </x:c>
      <x:c r="B1572" s="30" t="str">
        <x:v>F065</x:v>
      </x:c>
      <x:c r="C1572" s="30" t="str">
        <x:v>obstacle.state</x:v>
      </x:c>
      <x:c r="D1572" s="30" t="str">
        <x:v>候选输入schema</x:v>
      </x:c>
      <x:c r="E1572" s="30" t="str">
        <x:v>按执行角色权限读取；策略只能使用可访问快照</x:v>
      </x:c>
    </x:row>
    <x:row r="1573" ht="32" customHeight="1">
      <x:c r="A1573" s="30" t="str">
        <x:v>A017</x:v>
      </x:c>
      <x:c r="B1573" s="30" t="str">
        <x:v>F066</x:v>
      </x:c>
      <x:c r="C1573" s="30" t="str">
        <x:v>obstacle.stability</x:v>
      </x:c>
      <x:c r="D1573" s="30" t="str">
        <x:v>候选输入schema</x:v>
      </x:c>
      <x:c r="E1573" s="30" t="str">
        <x:v>按执行角色权限读取；策略只能使用可访问快照</x:v>
      </x:c>
    </x:row>
    <x:row r="1574" ht="32" customHeight="1">
      <x:c r="A1574" s="30" t="str">
        <x:v>A017</x:v>
      </x:c>
      <x:c r="B1574" s="30" t="str">
        <x:v>F067</x:v>
      </x:c>
      <x:c r="C1574" s="30" t="str">
        <x:v>obstacle.clear_method</x:v>
      </x:c>
      <x:c r="D1574" s="30" t="str">
        <x:v>候选输入schema</x:v>
      </x:c>
      <x:c r="E1574" s="30" t="str">
        <x:v>按执行角色权限读取；策略只能使用可访问快照</x:v>
      </x:c>
    </x:row>
    <x:row r="1575" ht="32" customHeight="1">
      <x:c r="A1575" s="30" t="str">
        <x:v>A017</x:v>
      </x:c>
      <x:c r="B1575" s="30" t="str">
        <x:v>F068</x:v>
      </x:c>
      <x:c r="C1575" s="30" t="str">
        <x:v>obstacle.work_remaining</x:v>
      </x:c>
      <x:c r="D1575" s="30" t="str">
        <x:v>候选输入schema</x:v>
      </x:c>
      <x:c r="E1575" s="30" t="str">
        <x:v>按执行角色权限读取；策略只能使用可访问快照</x:v>
      </x:c>
    </x:row>
    <x:row r="1576" ht="32" customHeight="1">
      <x:c r="A1576" s="30" t="str">
        <x:v>A017</x:v>
      </x:c>
      <x:c r="B1576" s="30" t="str">
        <x:v>F069</x:v>
      </x:c>
      <x:c r="C1576" s="30" t="str">
        <x:v>obstacle.blocks_ids</x:v>
      </x:c>
      <x:c r="D1576" s="30" t="str">
        <x:v>候选输入schema</x:v>
      </x:c>
      <x:c r="E1576" s="30" t="str">
        <x:v>按执行角色权限读取；策略只能使用可访问快照</x:v>
      </x:c>
    </x:row>
    <x:row r="1577" ht="32" customHeight="1">
      <x:c r="A1577" s="30" t="str">
        <x:v>A017</x:v>
      </x:c>
      <x:c r="B1577" s="30" t="str">
        <x:v>F070</x:v>
      </x:c>
      <x:c r="C1577" s="30" t="str">
        <x:v>obstacle.disposal_location</x:v>
      </x:c>
      <x:c r="D1577" s="30" t="str">
        <x:v>候选输入schema</x:v>
      </x:c>
      <x:c r="E1577" s="30" t="str">
        <x:v>按执行角色权限读取；策略只能使用可访问快照</x:v>
      </x:c>
    </x:row>
    <x:row r="1578" ht="32" customHeight="1">
      <x:c r="A1578" s="30" t="str">
        <x:v>A017</x:v>
      </x:c>
      <x:c r="B1578" s="30" t="str">
        <x:v>F071</x:v>
      </x:c>
      <x:c r="C1578" s="30" t="str">
        <x:v>human.location_context</x:v>
      </x:c>
      <x:c r="D1578" s="30" t="str">
        <x:v>候选输入schema</x:v>
      </x:c>
      <x:c r="E1578" s="30" t="str">
        <x:v>按执行角色权限读取；策略只能使用可访问快照</x:v>
      </x:c>
    </x:row>
    <x:row r="1579" ht="32" customHeight="1">
      <x:c r="A1579" s="30" t="str">
        <x:v>A017</x:v>
      </x:c>
      <x:c r="B1579" s="30" t="str">
        <x:v>F072</x:v>
      </x:c>
      <x:c r="C1579" s="30" t="str">
        <x:v>human.alive</x:v>
      </x:c>
      <x:c r="D1579" s="30" t="str">
        <x:v>候选输入schema</x:v>
      </x:c>
      <x:c r="E1579" s="30" t="str">
        <x:v>按执行角色权限读取；策略只能使用可访问快照</x:v>
      </x:c>
    </x:row>
    <x:row r="1580" ht="32" customHeight="1">
      <x:c r="A1580" s="30" t="str">
        <x:v>A017</x:v>
      </x:c>
      <x:c r="B1580" s="30" t="str">
        <x:v>F073</x:v>
      </x:c>
      <x:c r="C1580" s="30" t="str">
        <x:v>human.injury</x:v>
      </x:c>
      <x:c r="D1580" s="30" t="str">
        <x:v>候选输入schema</x:v>
      </x:c>
      <x:c r="E1580" s="30" t="str">
        <x:v>按执行角色权限读取；策略只能使用可访问快照</x:v>
      </x:c>
    </x:row>
    <x:row r="1581" ht="32" customHeight="1">
      <x:c r="A1581" s="30" t="str">
        <x:v>A017</x:v>
      </x:c>
      <x:c r="B1581" s="30" t="str">
        <x:v>F074</x:v>
      </x:c>
      <x:c r="C1581" s="30" t="str">
        <x:v>human.mobility</x:v>
      </x:c>
      <x:c r="D1581" s="30" t="str">
        <x:v>候选输入schema</x:v>
      </x:c>
      <x:c r="E1581" s="30" t="str">
        <x:v>按执行角色权限读取；策略只能使用可访问快照</x:v>
      </x:c>
    </x:row>
    <x:row r="1582" ht="32" customHeight="1">
      <x:c r="A1582" s="30" t="str">
        <x:v>A017</x:v>
      </x:c>
      <x:c r="B1582" s="30" t="str">
        <x:v>F075</x:v>
      </x:c>
      <x:c r="C1582" s="30" t="str">
        <x:v>human.buriedness</x:v>
      </x:c>
      <x:c r="D1582" s="30" t="str">
        <x:v>候选输入schema</x:v>
      </x:c>
      <x:c r="E1582" s="30" t="str">
        <x:v>按执行角色权限读取；策略只能使用可访问快照</x:v>
      </x:c>
    </x:row>
    <x:row r="1583" ht="32" customHeight="1">
      <x:c r="A1583" s="30" t="str">
        <x:v>A017</x:v>
      </x:c>
      <x:c r="B1583" s="30" t="str">
        <x:v>F076</x:v>
      </x:c>
      <x:c r="C1583" s="30" t="str">
        <x:v>human.needs</x:v>
      </x:c>
      <x:c r="D1583" s="30" t="str">
        <x:v>候选输入schema</x:v>
      </x:c>
      <x:c r="E1583" s="30" t="str">
        <x:v>按执行角色权限读取；策略只能使用可访问快照</x:v>
      </x:c>
    </x:row>
    <x:row r="1584" ht="32" customHeight="1">
      <x:c r="A1584" s="30" t="str">
        <x:v>A017</x:v>
      </x:c>
      <x:c r="B1584" s="30" t="str">
        <x:v>F077</x:v>
      </x:c>
      <x:c r="C1584" s="30" t="str">
        <x:v>human.pose</x:v>
      </x:c>
      <x:c r="D1584" s="30" t="str">
        <x:v>候选输入schema</x:v>
      </x:c>
      <x:c r="E1584" s="30" t="str">
        <x:v>按执行角色权限读取；策略只能使用可访问快照</x:v>
      </x:c>
    </x:row>
    <x:row r="1585" ht="32" customHeight="1">
      <x:c r="A1585" s="30" t="str">
        <x:v>A017</x:v>
      </x:c>
      <x:c r="B1585" s="30" t="str">
        <x:v>F078</x:v>
      </x:c>
      <x:c r="C1585" s="30" t="str">
        <x:v>human.visibility_context</x:v>
      </x:c>
      <x:c r="D1585" s="30" t="str">
        <x:v>候选输入schema</x:v>
      </x:c>
      <x:c r="E1585" s="30" t="str">
        <x:v>按执行角色权限读取；策略只能使用可访问快照</x:v>
      </x:c>
    </x:row>
    <x:row r="1586" ht="32" customHeight="1">
      <x:c r="A1586" s="30" t="str">
        <x:v>A017</x:v>
      </x:c>
      <x:c r="B1586" s="30" t="str">
        <x:v>F079</x:v>
      </x:c>
      <x:c r="C1586" s="30" t="str">
        <x:v>human.distress_signal</x:v>
      </x:c>
      <x:c r="D1586" s="30" t="str">
        <x:v>候选输入schema</x:v>
      </x:c>
      <x:c r="E1586" s="30" t="str">
        <x:v>按执行角色权限读取；策略只能使用可访问快照</x:v>
      </x:c>
    </x:row>
    <x:row r="1587" ht="32" customHeight="1">
      <x:c r="A1587" s="30" t="str">
        <x:v>A017</x:v>
      </x:c>
      <x:c r="B1587" s="30" t="str">
        <x:v>F080</x:v>
      </x:c>
      <x:c r="C1587" s="30" t="str">
        <x:v>human.health_model</x:v>
      </x:c>
      <x:c r="D1587" s="30" t="str">
        <x:v>候选输入schema</x:v>
      </x:c>
      <x:c r="E1587" s="30" t="str">
        <x:v>按执行角色权限读取；策略只能使用可访问快照</x:v>
      </x:c>
    </x:row>
    <x:row r="1588" ht="32" customHeight="1">
      <x:c r="A1588" s="30" t="str">
        <x:v>A017</x:v>
      </x:c>
      <x:c r="B1588" s="30" t="str">
        <x:v>F081</x:v>
      </x:c>
      <x:c r="C1588" s="30" t="str">
        <x:v>human.health_value</x:v>
      </x:c>
      <x:c r="D1588" s="30" t="str">
        <x:v>候选输入schema</x:v>
      </x:c>
      <x:c r="E1588" s="30" t="str">
        <x:v>按执行角色权限读取；策略只能使用可访问快照</x:v>
      </x:c>
    </x:row>
    <x:row r="1589" ht="32" customHeight="1">
      <x:c r="A1589" s="30" t="str">
        <x:v>A017</x:v>
      </x:c>
      <x:c r="B1589" s="30" t="str">
        <x:v>F082</x:v>
      </x:c>
      <x:c r="C1589" s="30" t="str">
        <x:v>human.support_received</x:v>
      </x:c>
      <x:c r="D1589" s="30" t="str">
        <x:v>候选输入schema</x:v>
      </x:c>
      <x:c r="E1589" s="30" t="str">
        <x:v>按执行角色权限读取；策略只能使用可访问快照</x:v>
      </x:c>
    </x:row>
    <x:row r="1590" ht="32" customHeight="1">
      <x:c r="A1590" s="30" t="str">
        <x:v>A017</x:v>
      </x:c>
      <x:c r="B1590" s="30" t="str">
        <x:v>F083</x:v>
      </x:c>
      <x:c r="C1590" s="30" t="str">
        <x:v>human.carrier_id</x:v>
      </x:c>
      <x:c r="D1590" s="30" t="str">
        <x:v>候选输入schema</x:v>
      </x:c>
      <x:c r="E1590" s="30" t="str">
        <x:v>按执行角色权限读取；策略只能使用可访问快照</x:v>
      </x:c>
    </x:row>
    <x:row r="1591" ht="32" customHeight="1">
      <x:c r="A1591" s="30" t="str">
        <x:v>A017</x:v>
      </x:c>
      <x:c r="B1591" s="30" t="str">
        <x:v>F084</x:v>
      </x:c>
      <x:c r="C1591" s="30" t="str">
        <x:v>human.destination_id</x:v>
      </x:c>
      <x:c r="D1591" s="30" t="str">
        <x:v>候选输入schema</x:v>
      </x:c>
      <x:c r="E1591" s="30" t="str">
        <x:v>按执行角色权限读取；策略只能使用可访问快照</x:v>
      </x:c>
    </x:row>
    <x:row r="1592" ht="32" customHeight="1">
      <x:c r="A1592" s="30" t="str">
        <x:v>A017</x:v>
      </x:c>
      <x:c r="B1592" s="30" t="str">
        <x:v>F085</x:v>
      </x:c>
      <x:c r="C1592" s="30" t="str">
        <x:v>human.handover_status</x:v>
      </x:c>
      <x:c r="D1592" s="30" t="str">
        <x:v>候选输入schema</x:v>
      </x:c>
      <x:c r="E1592" s="30" t="str">
        <x:v>按执行角色权限读取；策略只能使用可访问快照</x:v>
      </x:c>
    </x:row>
    <x:row r="1593" ht="32" customHeight="1">
      <x:c r="A1593" s="30" t="str">
        <x:v>A017</x:v>
      </x:c>
      <x:c r="B1593" s="30" t="str">
        <x:v>F086</x:v>
      </x:c>
      <x:c r="C1593" s="30" t="str">
        <x:v>human.last_assessed_s</x:v>
      </x:c>
      <x:c r="D1593" s="30" t="str">
        <x:v>候选输入schema</x:v>
      </x:c>
      <x:c r="E1593" s="30" t="str">
        <x:v>按执行角色权限读取；策略只能使用可访问快照</x:v>
      </x:c>
    </x:row>
    <x:row r="1594" ht="32" customHeight="1">
      <x:c r="A1594" s="30" t="str">
        <x:v>A017</x:v>
      </x:c>
      <x:c r="B1594" s="30" t="str">
        <x:v>F087</x:v>
      </x:c>
      <x:c r="C1594" s="30" t="str">
        <x:v>human.identity_association</x:v>
      </x:c>
      <x:c r="D1594" s="30" t="str">
        <x:v>候选输入schema</x:v>
      </x:c>
      <x:c r="E1594" s="30" t="str">
        <x:v>按执行角色权限读取；策略只能使用可访问快照</x:v>
      </x:c>
    </x:row>
    <x:row r="1595" ht="32" customHeight="1">
      <x:c r="A1595" s="30" t="str">
        <x:v>A017</x:v>
      </x:c>
      <x:c r="B1595" s="30" t="str">
        <x:v>F095</x:v>
      </x:c>
      <x:c r="C1595" s="30" t="str">
        <x:v>platform.kind</x:v>
      </x:c>
      <x:c r="D1595" s="30" t="str">
        <x:v>候选输入schema</x:v>
      </x:c>
      <x:c r="E1595" s="30" t="str">
        <x:v>按执行角色权限读取；策略只能使用可访问快照</x:v>
      </x:c>
    </x:row>
    <x:row r="1596" ht="32" customHeight="1">
      <x:c r="A1596" s="30" t="str">
        <x:v>A017</x:v>
      </x:c>
      <x:c r="B1596" s="30" t="str">
        <x:v>F096</x:v>
      </x:c>
      <x:c r="C1596" s="30" t="str">
        <x:v>platform.capability_ids</x:v>
      </x:c>
      <x:c r="D1596" s="30" t="str">
        <x:v>候选输入schema</x:v>
      </x:c>
      <x:c r="E1596" s="30" t="str">
        <x:v>按执行角色权限读取；策略只能使用可访问快照</x:v>
      </x:c>
    </x:row>
    <x:row r="1597" ht="32" customHeight="1">
      <x:c r="A1597" s="30" t="str">
        <x:v>A017</x:v>
      </x:c>
      <x:c r="B1597" s="30" t="str">
        <x:v>F097</x:v>
      </x:c>
      <x:c r="C1597" s="30" t="str">
        <x:v>platform.equipment_ids</x:v>
      </x:c>
      <x:c r="D1597" s="30" t="str">
        <x:v>候选输入schema</x:v>
      </x:c>
      <x:c r="E1597" s="30" t="str">
        <x:v>按执行角色权限读取；策略只能使用可访问快照</x:v>
      </x:c>
    </x:row>
    <x:row r="1598" ht="32" customHeight="1">
      <x:c r="A1598" s="30" t="str">
        <x:v>A017</x:v>
      </x:c>
      <x:c r="B1598" s="30" t="str">
        <x:v>F098</x:v>
      </x:c>
      <x:c r="C1598" s="30" t="str">
        <x:v>platform.width_m</x:v>
      </x:c>
      <x:c r="D1598" s="30" t="str">
        <x:v>候选输入schema</x:v>
      </x:c>
      <x:c r="E1598" s="30" t="str">
        <x:v>按执行角色权限读取；策略只能使用可访问快照</x:v>
      </x:c>
    </x:row>
    <x:row r="1599" ht="32" customHeight="1">
      <x:c r="A1599" s="30" t="str">
        <x:v>A017</x:v>
      </x:c>
      <x:c r="B1599" s="30" t="str">
        <x:v>F099</x:v>
      </x:c>
      <x:c r="C1599" s="30" t="str">
        <x:v>platform.height_m</x:v>
      </x:c>
      <x:c r="D1599" s="30" t="str">
        <x:v>候选输入schema</x:v>
      </x:c>
      <x:c r="E1599" s="30" t="str">
        <x:v>按执行角色权限读取；策略只能使用可访问快照</x:v>
      </x:c>
    </x:row>
    <x:row r="1600" ht="32" customHeight="1">
      <x:c r="A1600" s="30" t="str">
        <x:v>A017</x:v>
      </x:c>
      <x:c r="B1600" s="30" t="str">
        <x:v>F100</x:v>
      </x:c>
      <x:c r="C1600" s="30" t="str">
        <x:v>platform.swept_radius_m</x:v>
      </x:c>
      <x:c r="D1600" s="30" t="str">
        <x:v>候选输入schema</x:v>
      </x:c>
      <x:c r="E1600" s="30" t="str">
        <x:v>按执行角色权限读取；策略只能使用可访问快照</x:v>
      </x:c>
    </x:row>
    <x:row r="1601" ht="32" customHeight="1">
      <x:c r="A1601" s="30" t="str">
        <x:v>A017</x:v>
      </x:c>
      <x:c r="B1601" s="30" t="str">
        <x:v>F101</x:v>
      </x:c>
      <x:c r="C1601" s="30" t="str">
        <x:v>platform.payload_capacity_kg</x:v>
      </x:c>
      <x:c r="D1601" s="30" t="str">
        <x:v>候选输入schema</x:v>
      </x:c>
      <x:c r="E1601" s="30" t="str">
        <x:v>按执行角色权限读取；策略只能使用可访问快照</x:v>
      </x:c>
    </x:row>
    <x:row r="1602" ht="32" customHeight="1">
      <x:c r="A1602" s="30" t="str">
        <x:v>A017</x:v>
      </x:c>
      <x:c r="B1602" s="30" t="str">
        <x:v>F102</x:v>
      </x:c>
      <x:c r="C1602" s="30" t="str">
        <x:v>platform.payload_used_kg</x:v>
      </x:c>
      <x:c r="D1602" s="30" t="str">
        <x:v>候选输入schema</x:v>
      </x:c>
      <x:c r="E1602" s="30" t="str">
        <x:v>按执行角色权限读取；策略只能使用可访问快照</x:v>
      </x:c>
    </x:row>
    <x:row r="1603" ht="32" customHeight="1">
      <x:c r="A1603" s="30" t="str">
        <x:v>A017</x:v>
      </x:c>
      <x:c r="B1603" s="30" t="str">
        <x:v>F103</x:v>
      </x:c>
      <x:c r="C1603" s="30" t="str">
        <x:v>platform.payload_item_ids</x:v>
      </x:c>
      <x:c r="D1603" s="30" t="str">
        <x:v>候选输入schema</x:v>
      </x:c>
      <x:c r="E1603" s="30" t="str">
        <x:v>按执行角色权限读取；策略只能使用可访问快照</x:v>
      </x:c>
    </x:row>
    <x:row r="1604" ht="32" customHeight="1">
      <x:c r="A1604" s="30" t="str">
        <x:v>A017</x:v>
      </x:c>
      <x:c r="B1604" s="30" t="str">
        <x:v>F104</x:v>
      </x:c>
      <x:c r="C1604" s="30" t="str">
        <x:v>platform.battery_capacity_Wh</x:v>
      </x:c>
      <x:c r="D1604" s="30" t="str">
        <x:v>候选输入schema</x:v>
      </x:c>
      <x:c r="E1604" s="30" t="str">
        <x:v>按执行角色权限读取；策略只能使用可访问快照</x:v>
      </x:c>
    </x:row>
    <x:row r="1605" ht="32" customHeight="1">
      <x:c r="A1605" s="30" t="str">
        <x:v>A017</x:v>
      </x:c>
      <x:c r="B1605" s="30" t="str">
        <x:v>F105</x:v>
      </x:c>
      <x:c r="C1605" s="30" t="str">
        <x:v>platform.battery_remaining_Wh</x:v>
      </x:c>
      <x:c r="D1605" s="30" t="str">
        <x:v>候选输入schema</x:v>
      </x:c>
      <x:c r="E1605" s="30" t="str">
        <x:v>按执行角色权限读取；策略只能使用可访问快照</x:v>
      </x:c>
    </x:row>
    <x:row r="1606" ht="32" customHeight="1">
      <x:c r="A1606" s="30" t="str">
        <x:v>A017</x:v>
      </x:c>
      <x:c r="B1606" s="30" t="str">
        <x:v>F106</x:v>
      </x:c>
      <x:c r="C1606" s="30" t="str">
        <x:v>platform.reserve_Wh</x:v>
      </x:c>
      <x:c r="D1606" s="30" t="str">
        <x:v>候选输入schema</x:v>
      </x:c>
      <x:c r="E1606" s="30" t="str">
        <x:v>按执行角色权限读取；策略只能使用可访问快照</x:v>
      </x:c>
    </x:row>
    <x:row r="1607" ht="32" customHeight="1">
      <x:c r="A1607" s="30" t="str">
        <x:v>A017</x:v>
      </x:c>
      <x:c r="B1607" s="30" t="str">
        <x:v>F107</x:v>
      </x:c>
      <x:c r="C1607" s="30" t="str">
        <x:v>platform.speed_limit_mps</x:v>
      </x:c>
      <x:c r="D1607" s="30" t="str">
        <x:v>候选输入schema</x:v>
      </x:c>
      <x:c r="E1607" s="30" t="str">
        <x:v>按执行角色权限读取；策略只能使用可访问快照</x:v>
      </x:c>
    </x:row>
    <x:row r="1608" ht="32" customHeight="1">
      <x:c r="A1608" s="30" t="str">
        <x:v>A017</x:v>
      </x:c>
      <x:c r="B1608" s="30" t="str">
        <x:v>F108</x:v>
      </x:c>
      <x:c r="C1608" s="30" t="str">
        <x:v>platform.energy_model</x:v>
      </x:c>
      <x:c r="D1608" s="30" t="str">
        <x:v>候选输入schema</x:v>
      </x:c>
      <x:c r="E1608" s="30" t="str">
        <x:v>按执行角色权限读取；策略只能使用可访问快照</x:v>
      </x:c>
    </x:row>
    <x:row r="1609" ht="32" customHeight="1">
      <x:c r="A1609" s="30" t="str">
        <x:v>A017</x:v>
      </x:c>
      <x:c r="B1609" s="30" t="str">
        <x:v>F109</x:v>
      </x:c>
      <x:c r="C1609" s="30" t="str">
        <x:v>platform.motion_state</x:v>
      </x:c>
      <x:c r="D1609" s="30" t="str">
        <x:v>候选输入schema</x:v>
      </x:c>
      <x:c r="E1609" s="30" t="str">
        <x:v>按执行角色权限读取；策略只能使用可访问快照</x:v>
      </x:c>
    </x:row>
    <x:row r="1610" ht="32" customHeight="1">
      <x:c r="A1610" s="30" t="str">
        <x:v>A017</x:v>
      </x:c>
      <x:c r="B1610" s="30" t="str">
        <x:v>F110</x:v>
      </x:c>
      <x:c r="C1610" s="30" t="str">
        <x:v>platform.health_state</x:v>
      </x:c>
      <x:c r="D1610" s="30" t="str">
        <x:v>候选输入schema</x:v>
      </x:c>
      <x:c r="E1610" s="30" t="str">
        <x:v>按执行角色权限读取；策略只能使用可访问快照</x:v>
      </x:c>
    </x:row>
    <x:row r="1611" ht="32" customHeight="1">
      <x:c r="A1611" s="30" t="str">
        <x:v>A017</x:v>
      </x:c>
      <x:c r="B1611" s="30" t="str">
        <x:v>F111</x:v>
      </x:c>
      <x:c r="C1611" s="30" t="str">
        <x:v>platform.current_action_id</x:v>
      </x:c>
      <x:c r="D1611" s="30" t="str">
        <x:v>候选输入schema</x:v>
      </x:c>
      <x:c r="E1611" s="30" t="str">
        <x:v>按执行角色权限读取；策略只能使用可访问快照</x:v>
      </x:c>
    </x:row>
    <x:row r="1612" ht="32" customHeight="1">
      <x:c r="A1612" s="30" t="str">
        <x:v>A017</x:v>
      </x:c>
      <x:c r="B1612" s="30" t="str">
        <x:v>F112</x:v>
      </x:c>
      <x:c r="C1612" s="30" t="str">
        <x:v>platform.busy_until_est_s</x:v>
      </x:c>
      <x:c r="D1612" s="30" t="str">
        <x:v>候选输入schema</x:v>
      </x:c>
      <x:c r="E1612" s="30" t="str">
        <x:v>按执行角色权限读取；策略只能使用可访问快照</x:v>
      </x:c>
    </x:row>
    <x:row r="1613" ht="32" customHeight="1">
      <x:c r="A1613" s="30" t="str">
        <x:v>A017</x:v>
      </x:c>
      <x:c r="B1613" s="30" t="str">
        <x:v>F113</x:v>
      </x:c>
      <x:c r="C1613" s="30" t="str">
        <x:v>platform.return_site_id</x:v>
      </x:c>
      <x:c r="D1613" s="30" t="str">
        <x:v>候选输入schema</x:v>
      </x:c>
      <x:c r="E1613" s="30" t="str">
        <x:v>按执行角色权限读取；策略只能使用可访问快照</x:v>
      </x:c>
    </x:row>
    <x:row r="1614" ht="32" customHeight="1">
      <x:c r="A1614" s="30" t="str">
        <x:v>A017</x:v>
      </x:c>
      <x:c r="B1614" s="30" t="str">
        <x:v>F114</x:v>
      </x:c>
      <x:c r="C1614" s="30" t="str">
        <x:v>platform.water_tolerance_m</x:v>
      </x:c>
      <x:c r="D1614" s="30" t="str">
        <x:v>候选输入schema</x:v>
      </x:c>
      <x:c r="E1614" s="30" t="str">
        <x:v>按执行角色权限读取；策略只能使用可访问快照</x:v>
      </x:c>
    </x:row>
    <x:row r="1615" ht="32" customHeight="1">
      <x:c r="A1615" s="30" t="str">
        <x:v>A017</x:v>
      </x:c>
      <x:c r="B1615" s="30" t="str">
        <x:v>F115</x:v>
      </x:c>
      <x:c r="C1615" s="30" t="str">
        <x:v>platform.concurrency_policy</x:v>
      </x:c>
      <x:c r="D1615" s="30" t="str">
        <x:v>候选输入schema</x:v>
      </x:c>
      <x:c r="E1615" s="30" t="str">
        <x:v>按执行角色权限读取；策略只能使用可访问快照</x:v>
      </x:c>
    </x:row>
    <x:row r="1616" ht="32" customHeight="1">
      <x:c r="A1616" s="30" t="str">
        <x:v>A017</x:v>
      </x:c>
      <x:c r="B1616" s="30" t="str">
        <x:v>F116</x:v>
      </x:c>
      <x:c r="C1616" s="30" t="str">
        <x:v>equipment.kind</x:v>
      </x:c>
      <x:c r="D1616" s="30" t="str">
        <x:v>候选输入schema</x:v>
      </x:c>
      <x:c r="E1616" s="30" t="str">
        <x:v>按执行角色权限读取；策略只能使用可访问快照</x:v>
      </x:c>
    </x:row>
    <x:row r="1617" ht="32" customHeight="1">
      <x:c r="A1617" s="30" t="str">
        <x:v>A017</x:v>
      </x:c>
      <x:c r="B1617" s="30" t="str">
        <x:v>F117</x:v>
      </x:c>
      <x:c r="C1617" s="30" t="str">
        <x:v>equipment.enabled</x:v>
      </x:c>
      <x:c r="D1617" s="30" t="str">
        <x:v>候选输入schema</x:v>
      </x:c>
      <x:c r="E1617" s="30" t="str">
        <x:v>按执行角色权限读取；策略只能使用可访问快照</x:v>
      </x:c>
    </x:row>
    <x:row r="1618" ht="32" customHeight="1">
      <x:c r="A1618" s="30" t="str">
        <x:v>A017</x:v>
      </x:c>
      <x:c r="B1618" s="30" t="str">
        <x:v>F118</x:v>
      </x:c>
      <x:c r="C1618" s="30" t="str">
        <x:v>equipment.health</x:v>
      </x:c>
      <x:c r="D1618" s="30" t="str">
        <x:v>候选输入schema</x:v>
      </x:c>
      <x:c r="E1618" s="30" t="str">
        <x:v>按执行角色权限读取；策略只能使用可访问快照</x:v>
      </x:c>
    </x:row>
    <x:row r="1619" ht="32" customHeight="1">
      <x:c r="A1619" s="30" t="str">
        <x:v>A017</x:v>
      </x:c>
      <x:c r="B1619" s="30" t="str">
        <x:v>F119</x:v>
      </x:c>
      <x:c r="C1619" s="30" t="str">
        <x:v>equipment.rated_load_kg</x:v>
      </x:c>
      <x:c r="D1619" s="30" t="str">
        <x:v>候选输入schema</x:v>
      </x:c>
      <x:c r="E1619" s="30" t="str">
        <x:v>按执行角色权限读取；策略只能使用可访问快照</x:v>
      </x:c>
    </x:row>
    <x:row r="1620" ht="32" customHeight="1">
      <x:c r="A1620" s="30" t="str">
        <x:v>A017</x:v>
      </x:c>
      <x:c r="B1620" s="30" t="str">
        <x:v>F120</x:v>
      </x:c>
      <x:c r="C1620" s="30" t="str">
        <x:v>equipment.reach_m</x:v>
      </x:c>
      <x:c r="D1620" s="30" t="str">
        <x:v>候选输入schema</x:v>
      </x:c>
      <x:c r="E1620" s="30" t="str">
        <x:v>按执行角色权限读取；策略只能使用可访问快照</x:v>
      </x:c>
    </x:row>
    <x:row r="1621" ht="32" customHeight="1">
      <x:c r="A1621" s="30" t="str">
        <x:v>A017</x:v>
      </x:c>
      <x:c r="B1621" s="30" t="str">
        <x:v>F121</x:v>
      </x:c>
      <x:c r="C1621" s="30" t="str">
        <x:v>equipment.compatible_materials</x:v>
      </x:c>
      <x:c r="D1621" s="30" t="str">
        <x:v>候选输入schema</x:v>
      </x:c>
      <x:c r="E1621" s="30" t="str">
        <x:v>按执行角色权限读取；策略只能使用可访问快照</x:v>
      </x:c>
    </x:row>
    <x:row r="1622" ht="32" customHeight="1">
      <x:c r="A1622" s="30" t="str">
        <x:v>A017</x:v>
      </x:c>
      <x:c r="B1622" s="30" t="str">
        <x:v>F122</x:v>
      </x:c>
      <x:c r="C1622" s="30" t="str">
        <x:v>equipment.tool_size</x:v>
      </x:c>
      <x:c r="D1622" s="30" t="str">
        <x:v>候选输入schema</x:v>
      </x:c>
      <x:c r="E1622" s="30" t="str">
        <x:v>按执行角色权限读取；策略只能使用可访问快照</x:v>
      </x:c>
    </x:row>
    <x:row r="1623" ht="32" customHeight="1">
      <x:c r="A1623" s="30" t="str">
        <x:v>A017</x:v>
      </x:c>
      <x:c r="B1623" s="30" t="str">
        <x:v>F123</x:v>
      </x:c>
      <x:c r="C1623" s="30" t="str">
        <x:v>equipment.consumable_type</x:v>
      </x:c>
      <x:c r="D1623" s="30" t="str">
        <x:v>候选输入schema</x:v>
      </x:c>
      <x:c r="E1623" s="30" t="str">
        <x:v>按执行角色权限读取；策略只能使用可访问快照</x:v>
      </x:c>
    </x:row>
    <x:row r="1624" ht="32" customHeight="1">
      <x:c r="A1624" s="30" t="str">
        <x:v>A017</x:v>
      </x:c>
      <x:c r="B1624" s="30" t="str">
        <x:v>F124</x:v>
      </x:c>
      <x:c r="C1624" s="30" t="str">
        <x:v>equipment.consumable_remaining</x:v>
      </x:c>
      <x:c r="D1624" s="30" t="str">
        <x:v>候选输入schema</x:v>
      </x:c>
      <x:c r="E1624" s="30" t="str">
        <x:v>按执行角色权限读取；策略只能使用可访问快照</x:v>
      </x:c>
    </x:row>
    <x:row r="1625" ht="32" customHeight="1">
      <x:c r="A1625" s="30" t="str">
        <x:v>A017</x:v>
      </x:c>
      <x:c r="B1625" s="30" t="str">
        <x:v>F125</x:v>
      </x:c>
      <x:c r="C1625" s="30" t="str">
        <x:v>equipment.operator_authority</x:v>
      </x:c>
      <x:c r="D1625" s="30" t="str">
        <x:v>候选输入schema</x:v>
      </x:c>
      <x:c r="E1625" s="30" t="str">
        <x:v>按执行角色权限读取；策略只能使用可访问快照</x:v>
      </x:c>
    </x:row>
    <x:row r="1626" ht="32" customHeight="1">
      <x:c r="A1626" s="30" t="str">
        <x:v>A017</x:v>
      </x:c>
      <x:c r="B1626" s="30" t="str">
        <x:v>F126</x:v>
      </x:c>
      <x:c r="C1626" s="30" t="str">
        <x:v>equipment.setup_state</x:v>
      </x:c>
      <x:c r="D1626" s="30" t="str">
        <x:v>候选输入schema</x:v>
      </x:c>
      <x:c r="E1626" s="30" t="str">
        <x:v>按执行角色权限读取；策略只能使用可访问快照</x:v>
      </x:c>
    </x:row>
    <x:row r="1627" ht="32" customHeight="1">
      <x:c r="A1627" s="30" t="str">
        <x:v>A017</x:v>
      </x:c>
      <x:c r="B1627" s="30" t="str">
        <x:v>F127</x:v>
      </x:c>
      <x:c r="C1627" s="30" t="str">
        <x:v>equipment.busy_action_id</x:v>
      </x:c>
      <x:c r="D1627" s="30" t="str">
        <x:v>候选输入schema</x:v>
      </x:c>
      <x:c r="E1627" s="30" t="str">
        <x:v>按执行角色权限读取；策略只能使用可访问快照</x:v>
      </x:c>
    </x:row>
    <x:row r="1628" ht="32" customHeight="1">
      <x:c r="A1628" s="30" t="str">
        <x:v>A017</x:v>
      </x:c>
      <x:c r="B1628" s="30" t="str">
        <x:v>F230</x:v>
      </x:c>
      <x:c r="C1628" s="30" t="str">
        <x:v>action.type</x:v>
      </x:c>
      <x:c r="D1628" s="30" t="str">
        <x:v>候选输入schema</x:v>
      </x:c>
      <x:c r="E1628" s="30" t="str">
        <x:v>按执行角色权限读取；策略只能使用可访问快照</x:v>
      </x:c>
    </x:row>
    <x:row r="1629" ht="32" customHeight="1">
      <x:c r="A1629" s="30" t="str">
        <x:v>A017</x:v>
      </x:c>
      <x:c r="B1629" s="30" t="str">
        <x:v>F231</x:v>
      </x:c>
      <x:c r="C1629" s="30" t="str">
        <x:v>action.executor_id</x:v>
      </x:c>
      <x:c r="D1629" s="30" t="str">
        <x:v>候选输入schema</x:v>
      </x:c>
      <x:c r="E1629" s="30" t="str">
        <x:v>按执行角色权限读取；策略只能使用可访问快照</x:v>
      </x:c>
    </x:row>
    <x:row r="1630" ht="32" customHeight="1">
      <x:c r="A1630" s="30" t="str">
        <x:v>A017</x:v>
      </x:c>
      <x:c r="B1630" s="30" t="str">
        <x:v>F232</x:v>
      </x:c>
      <x:c r="C1630" s="30" t="str">
        <x:v>action.task_ref</x:v>
      </x:c>
      <x:c r="D1630" s="30" t="str">
        <x:v>候选输入schema</x:v>
      </x:c>
      <x:c r="E1630" s="30" t="str">
        <x:v>按执行角色权限读取；策略只能使用可访问快照</x:v>
      </x:c>
    </x:row>
    <x:row r="1631" ht="32" customHeight="1">
      <x:c r="A1631" s="30" t="str">
        <x:v>A017</x:v>
      </x:c>
      <x:c r="B1631" s="30" t="str">
        <x:v>F233</x:v>
      </x:c>
      <x:c r="C1631" s="30" t="str">
        <x:v>action.target_ref</x:v>
      </x:c>
      <x:c r="D1631" s="30" t="str">
        <x:v>候选输入schema</x:v>
      </x:c>
      <x:c r="E1631" s="30" t="str">
        <x:v>按执行角色权限读取；策略只能使用可访问快照</x:v>
      </x:c>
    </x:row>
    <x:row r="1632" ht="32" customHeight="1">
      <x:c r="A1632" s="30" t="str">
        <x:v>A017</x:v>
      </x:c>
      <x:c r="B1632" s="30" t="str">
        <x:v>F234</x:v>
      </x:c>
      <x:c r="C1632" s="30" t="str">
        <x:v>action.parameters</x:v>
      </x:c>
      <x:c r="D1632" s="30" t="str">
        <x:v>候选输入schema</x:v>
      </x:c>
      <x:c r="E1632" s="30" t="str">
        <x:v>按执行角色权限读取；策略只能使用可访问快照</x:v>
      </x:c>
    </x:row>
    <x:row r="1633" ht="32" customHeight="1">
      <x:c r="A1633" s="30" t="str">
        <x:v>A017</x:v>
      </x:c>
      <x:c r="B1633" s="30" t="str">
        <x:v>F235</x:v>
      </x:c>
      <x:c r="C1633" s="30" t="str">
        <x:v>action.status</x:v>
      </x:c>
      <x:c r="D1633" s="30" t="str">
        <x:v>候选输入schema</x:v>
      </x:c>
      <x:c r="E1633" s="30" t="str">
        <x:v>按执行角色权限读取；策略只能使用可访问快照</x:v>
      </x:c>
    </x:row>
    <x:row r="1634" ht="32" customHeight="1">
      <x:c r="A1634" s="30" t="str">
        <x:v>A017</x:v>
      </x:c>
      <x:c r="B1634" s="30" t="str">
        <x:v>F236</x:v>
      </x:c>
      <x:c r="C1634" s="30" t="str">
        <x:v>action.start_s</x:v>
      </x:c>
      <x:c r="D1634" s="30" t="str">
        <x:v>候选输入schema</x:v>
      </x:c>
      <x:c r="E1634" s="30" t="str">
        <x:v>按执行角色权限读取；策略只能使用可访问快照</x:v>
      </x:c>
    </x:row>
    <x:row r="1635" ht="32" customHeight="1">
      <x:c r="A1635" s="30" t="str">
        <x:v>A017</x:v>
      </x:c>
      <x:c r="B1635" s="30" t="str">
        <x:v>F237</x:v>
      </x:c>
      <x:c r="C1635" s="30" t="str">
        <x:v>action.finish_s</x:v>
      </x:c>
      <x:c r="D1635" s="30" t="str">
        <x:v>候选输入schema</x:v>
      </x:c>
      <x:c r="E1635" s="30" t="str">
        <x:v>按执行角色权限读取；策略只能使用可访问快照</x:v>
      </x:c>
    </x:row>
    <x:row r="1636" ht="32" customHeight="1">
      <x:c r="A1636" s="30" t="str">
        <x:v>A017</x:v>
      </x:c>
      <x:c r="B1636" s="30" t="str">
        <x:v>F238</x:v>
      </x:c>
      <x:c r="C1636" s="30" t="str">
        <x:v>action.reserved_resources</x:v>
      </x:c>
      <x:c r="D1636" s="30" t="str">
        <x:v>候选输入schema</x:v>
      </x:c>
      <x:c r="E1636" s="30" t="str">
        <x:v>按执行角色权限读取；策略只能使用可访问快照</x:v>
      </x:c>
    </x:row>
    <x:row r="1637" ht="32" customHeight="1">
      <x:c r="A1637" s="30" t="str">
        <x:v>A017</x:v>
      </x:c>
      <x:c r="B1637" s="30" t="str">
        <x:v>F239</x:v>
      </x:c>
      <x:c r="C1637" s="30" t="str">
        <x:v>action.consumed_resources</x:v>
      </x:c>
      <x:c r="D1637" s="30" t="str">
        <x:v>候选输入schema</x:v>
      </x:c>
      <x:c r="E1637" s="30" t="str">
        <x:v>按执行角色权限读取；策略只能使用可访问快照</x:v>
      </x:c>
    </x:row>
    <x:row r="1638" ht="32" customHeight="1">
      <x:c r="A1638" s="30" t="str">
        <x:v>A017</x:v>
      </x:c>
      <x:c r="B1638" s="30" t="str">
        <x:v>F240</x:v>
      </x:c>
      <x:c r="C1638" s="30" t="str">
        <x:v>action.feedback</x:v>
      </x:c>
      <x:c r="D1638" s="30" t="str">
        <x:v>候选输入schema</x:v>
      </x:c>
      <x:c r="E1638" s="30" t="str">
        <x:v>按执行角色权限读取；策略只能使用可访问快照</x:v>
      </x:c>
    </x:row>
    <x:row r="1639" ht="32" customHeight="1">
      <x:c r="A1639" s="30" t="str">
        <x:v>A017</x:v>
      </x:c>
      <x:c r="B1639" s="30" t="str">
        <x:v>F241</x:v>
      </x:c>
      <x:c r="C1639" s="30" t="str">
        <x:v>action.result</x:v>
      </x:c>
      <x:c r="D1639" s="30" t="str">
        <x:v>候选输入schema</x:v>
      </x:c>
      <x:c r="E1639" s="30" t="str">
        <x:v>按执行角色权限读取；策略只能使用可访问快照</x:v>
      </x:c>
    </x:row>
    <x:row r="1640" ht="32" customHeight="1">
      <x:c r="A1640" s="30" t="str">
        <x:v>A017</x:v>
      </x:c>
      <x:c r="B1640" s="30" t="str">
        <x:v>F242</x:v>
      </x:c>
      <x:c r="C1640" s="30" t="str">
        <x:v>action.rejection_code</x:v>
      </x:c>
      <x:c r="D1640" s="30" t="str">
        <x:v>候选输入schema</x:v>
      </x:c>
      <x:c r="E1640" s="30" t="str">
        <x:v>按执行角色权限读取；策略只能使用可访问快照</x:v>
      </x:c>
    </x:row>
    <x:row r="1641" ht="32" customHeight="1">
      <x:c r="A1641" s="30" t="str">
        <x:v>A017</x:v>
      </x:c>
      <x:c r="B1641" s="30" t="str">
        <x:v>F243</x:v>
      </x:c>
      <x:c r="C1641" s="30" t="str">
        <x:v>action.failure_code</x:v>
      </x:c>
      <x:c r="D1641" s="30" t="str">
        <x:v>候选输入schema</x:v>
      </x:c>
      <x:c r="E1641" s="30" t="str">
        <x:v>按执行角色权限读取；策略只能使用可访问快照</x:v>
      </x:c>
    </x:row>
    <x:row r="1642" ht="32" customHeight="1">
      <x:c r="A1642" s="30" t="str">
        <x:v>A017</x:v>
      </x:c>
      <x:c r="B1642" s="30" t="str">
        <x:v>F244</x:v>
      </x:c>
      <x:c r="C1642" s="30" t="str">
        <x:v>action.cancel_requested</x:v>
      </x:c>
      <x:c r="D1642" s="30" t="str">
        <x:v>候选输入schema</x:v>
      </x:c>
      <x:c r="E1642" s="30" t="str">
        <x:v>按执行角色权限读取；策略只能使用可访问快照</x:v>
      </x:c>
    </x:row>
    <x:row r="1643" ht="32" customHeight="1">
      <x:c r="A1643" s="30" t="str">
        <x:v>A017</x:v>
      </x:c>
      <x:c r="B1643" s="30" t="str">
        <x:v>F245</x:v>
      </x:c>
      <x:c r="C1643" s="30" t="str">
        <x:v>action.backend_mode</x:v>
      </x:c>
      <x:c r="D1643" s="30" t="str">
        <x:v>候选输入schema</x:v>
      </x:c>
      <x:c r="E1643" s="30" t="str">
        <x:v>按执行角色权限读取；策略只能使用可访问快照</x:v>
      </x:c>
    </x:row>
    <x:row r="1644" ht="32" customHeight="1">
      <x:c r="A1644" s="30" t="str">
        <x:v>A017</x:v>
      </x:c>
      <x:c r="B1644" s="30" t="str">
        <x:v>F074</x:v>
      </x:c>
      <x:c r="C1644" s="30" t="str">
        <x:v>human.mobility</x:v>
      </x:c>
      <x:c r="D1644" s="30" t="str">
        <x:v>直接效果</x:v>
      </x:c>
      <x:c r="E1644" s="30" t="str">
        <x:v>经实际执行/回执提交；不是规划时提前修改</x:v>
      </x:c>
    </x:row>
    <x:row r="1645" ht="32" customHeight="1">
      <x:c r="A1645" s="30" t="str">
        <x:v>A017</x:v>
      </x:c>
      <x:c r="B1645" s="30" t="str">
        <x:v>F075</x:v>
      </x:c>
      <x:c r="C1645" s="30" t="str">
        <x:v>human.buriedness</x:v>
      </x:c>
      <x:c r="D1645" s="30" t="str">
        <x:v>直接效果</x:v>
      </x:c>
      <x:c r="E1645" s="30" t="str">
        <x:v>经实际执行/回执提交；不是规划时提前修改</x:v>
      </x:c>
    </x:row>
    <x:row r="1646" ht="32" customHeight="1">
      <x:c r="A1646" s="30" t="str">
        <x:v>A017</x:v>
      </x:c>
      <x:c r="B1646" s="30" t="str">
        <x:v>F082</x:v>
      </x:c>
      <x:c r="C1646" s="30" t="str">
        <x:v>human.support_received</x:v>
      </x:c>
      <x:c r="D1646" s="30" t="str">
        <x:v>直接效果</x:v>
      </x:c>
      <x:c r="E1646" s="30" t="str">
        <x:v>经实际执行/回执提交；不是规划时提前修改</x:v>
      </x:c>
    </x:row>
    <x:row r="1647" ht="32" customHeight="1">
      <x:c r="A1647" s="30" t="str">
        <x:v>A018</x:v>
      </x:c>
      <x:c r="B1647" s="30" t="str">
        <x:v>F071</x:v>
      </x:c>
      <x:c r="C1647" s="30" t="str">
        <x:v>human.location_context</x:v>
      </x:c>
      <x:c r="D1647" s="30" t="str">
        <x:v>候选输入schema</x:v>
      </x:c>
      <x:c r="E1647" s="30" t="str">
        <x:v>按执行角色权限读取；策略只能使用可访问快照</x:v>
      </x:c>
    </x:row>
    <x:row r="1648" ht="32" customHeight="1">
      <x:c r="A1648" s="30" t="str">
        <x:v>A018</x:v>
      </x:c>
      <x:c r="B1648" s="30" t="str">
        <x:v>F072</x:v>
      </x:c>
      <x:c r="C1648" s="30" t="str">
        <x:v>human.alive</x:v>
      </x:c>
      <x:c r="D1648" s="30" t="str">
        <x:v>候选输入schema</x:v>
      </x:c>
      <x:c r="E1648" s="30" t="str">
        <x:v>按执行角色权限读取；策略只能使用可访问快照</x:v>
      </x:c>
    </x:row>
    <x:row r="1649" ht="32" customHeight="1">
      <x:c r="A1649" s="30" t="str">
        <x:v>A018</x:v>
      </x:c>
      <x:c r="B1649" s="30" t="str">
        <x:v>F073</x:v>
      </x:c>
      <x:c r="C1649" s="30" t="str">
        <x:v>human.injury</x:v>
      </x:c>
      <x:c r="D1649" s="30" t="str">
        <x:v>候选输入schema</x:v>
      </x:c>
      <x:c r="E1649" s="30" t="str">
        <x:v>按执行角色权限读取；策略只能使用可访问快照</x:v>
      </x:c>
    </x:row>
    <x:row r="1650" ht="32" customHeight="1">
      <x:c r="A1650" s="30" t="str">
        <x:v>A018</x:v>
      </x:c>
      <x:c r="B1650" s="30" t="str">
        <x:v>F074</x:v>
      </x:c>
      <x:c r="C1650" s="30" t="str">
        <x:v>human.mobility</x:v>
      </x:c>
      <x:c r="D1650" s="30" t="str">
        <x:v>候选输入schema</x:v>
      </x:c>
      <x:c r="E1650" s="30" t="str">
        <x:v>按执行角色权限读取；策略只能使用可访问快照</x:v>
      </x:c>
    </x:row>
    <x:row r="1651" ht="32" customHeight="1">
      <x:c r="A1651" s="30" t="str">
        <x:v>A018</x:v>
      </x:c>
      <x:c r="B1651" s="30" t="str">
        <x:v>F075</x:v>
      </x:c>
      <x:c r="C1651" s="30" t="str">
        <x:v>human.buriedness</x:v>
      </x:c>
      <x:c r="D1651" s="30" t="str">
        <x:v>候选输入schema</x:v>
      </x:c>
      <x:c r="E1651" s="30" t="str">
        <x:v>按执行角色权限读取；策略只能使用可访问快照</x:v>
      </x:c>
    </x:row>
    <x:row r="1652" ht="32" customHeight="1">
      <x:c r="A1652" s="30" t="str">
        <x:v>A018</x:v>
      </x:c>
      <x:c r="B1652" s="30" t="str">
        <x:v>F076</x:v>
      </x:c>
      <x:c r="C1652" s="30" t="str">
        <x:v>human.needs</x:v>
      </x:c>
      <x:c r="D1652" s="30" t="str">
        <x:v>候选输入schema</x:v>
      </x:c>
      <x:c r="E1652" s="30" t="str">
        <x:v>按执行角色权限读取；策略只能使用可访问快照</x:v>
      </x:c>
    </x:row>
    <x:row r="1653" ht="32" customHeight="1">
      <x:c r="A1653" s="30" t="str">
        <x:v>A018</x:v>
      </x:c>
      <x:c r="B1653" s="30" t="str">
        <x:v>F077</x:v>
      </x:c>
      <x:c r="C1653" s="30" t="str">
        <x:v>human.pose</x:v>
      </x:c>
      <x:c r="D1653" s="30" t="str">
        <x:v>候选输入schema</x:v>
      </x:c>
      <x:c r="E1653" s="30" t="str">
        <x:v>按执行角色权限读取；策略只能使用可访问快照</x:v>
      </x:c>
    </x:row>
    <x:row r="1654" ht="32" customHeight="1">
      <x:c r="A1654" s="30" t="str">
        <x:v>A018</x:v>
      </x:c>
      <x:c r="B1654" s="30" t="str">
        <x:v>F078</x:v>
      </x:c>
      <x:c r="C1654" s="30" t="str">
        <x:v>human.visibility_context</x:v>
      </x:c>
      <x:c r="D1654" s="30" t="str">
        <x:v>候选输入schema</x:v>
      </x:c>
      <x:c r="E1654" s="30" t="str">
        <x:v>按执行角色权限读取；策略只能使用可访问快照</x:v>
      </x:c>
    </x:row>
    <x:row r="1655" ht="32" customHeight="1">
      <x:c r="A1655" s="30" t="str">
        <x:v>A018</x:v>
      </x:c>
      <x:c r="B1655" s="30" t="str">
        <x:v>F079</x:v>
      </x:c>
      <x:c r="C1655" s="30" t="str">
        <x:v>human.distress_signal</x:v>
      </x:c>
      <x:c r="D1655" s="30" t="str">
        <x:v>候选输入schema</x:v>
      </x:c>
      <x:c r="E1655" s="30" t="str">
        <x:v>按执行角色权限读取；策略只能使用可访问快照</x:v>
      </x:c>
    </x:row>
    <x:row r="1656" ht="32" customHeight="1">
      <x:c r="A1656" s="30" t="str">
        <x:v>A018</x:v>
      </x:c>
      <x:c r="B1656" s="30" t="str">
        <x:v>F080</x:v>
      </x:c>
      <x:c r="C1656" s="30" t="str">
        <x:v>human.health_model</x:v>
      </x:c>
      <x:c r="D1656" s="30" t="str">
        <x:v>候选输入schema</x:v>
      </x:c>
      <x:c r="E1656" s="30" t="str">
        <x:v>按执行角色权限读取；策略只能使用可访问快照</x:v>
      </x:c>
    </x:row>
    <x:row r="1657" ht="32" customHeight="1">
      <x:c r="A1657" s="30" t="str">
        <x:v>A018</x:v>
      </x:c>
      <x:c r="B1657" s="30" t="str">
        <x:v>F081</x:v>
      </x:c>
      <x:c r="C1657" s="30" t="str">
        <x:v>human.health_value</x:v>
      </x:c>
      <x:c r="D1657" s="30" t="str">
        <x:v>候选输入schema</x:v>
      </x:c>
      <x:c r="E1657" s="30" t="str">
        <x:v>按执行角色权限读取；策略只能使用可访问快照</x:v>
      </x:c>
    </x:row>
    <x:row r="1658" ht="32" customHeight="1">
      <x:c r="A1658" s="30" t="str">
        <x:v>A018</x:v>
      </x:c>
      <x:c r="B1658" s="30" t="str">
        <x:v>F082</x:v>
      </x:c>
      <x:c r="C1658" s="30" t="str">
        <x:v>human.support_received</x:v>
      </x:c>
      <x:c r="D1658" s="30" t="str">
        <x:v>候选输入schema</x:v>
      </x:c>
      <x:c r="E1658" s="30" t="str">
        <x:v>按执行角色权限读取；策略只能使用可访问快照</x:v>
      </x:c>
    </x:row>
    <x:row r="1659" ht="32" customHeight="1">
      <x:c r="A1659" s="30" t="str">
        <x:v>A018</x:v>
      </x:c>
      <x:c r="B1659" s="30" t="str">
        <x:v>F083</x:v>
      </x:c>
      <x:c r="C1659" s="30" t="str">
        <x:v>human.carrier_id</x:v>
      </x:c>
      <x:c r="D1659" s="30" t="str">
        <x:v>候选输入schema</x:v>
      </x:c>
      <x:c r="E1659" s="30" t="str">
        <x:v>按执行角色权限读取；策略只能使用可访问快照</x:v>
      </x:c>
    </x:row>
    <x:row r="1660" ht="32" customHeight="1">
      <x:c r="A1660" s="30" t="str">
        <x:v>A018</x:v>
      </x:c>
      <x:c r="B1660" s="30" t="str">
        <x:v>F084</x:v>
      </x:c>
      <x:c r="C1660" s="30" t="str">
        <x:v>human.destination_id</x:v>
      </x:c>
      <x:c r="D1660" s="30" t="str">
        <x:v>候选输入schema</x:v>
      </x:c>
      <x:c r="E1660" s="30" t="str">
        <x:v>按执行角色权限读取；策略只能使用可访问快照</x:v>
      </x:c>
    </x:row>
    <x:row r="1661" ht="32" customHeight="1">
      <x:c r="A1661" s="30" t="str">
        <x:v>A018</x:v>
      </x:c>
      <x:c r="B1661" s="30" t="str">
        <x:v>F085</x:v>
      </x:c>
      <x:c r="C1661" s="30" t="str">
        <x:v>human.handover_status</x:v>
      </x:c>
      <x:c r="D1661" s="30" t="str">
        <x:v>候选输入schema</x:v>
      </x:c>
      <x:c r="E1661" s="30" t="str">
        <x:v>按执行角色权限读取；策略只能使用可访问快照</x:v>
      </x:c>
    </x:row>
    <x:row r="1662" ht="32" customHeight="1">
      <x:c r="A1662" s="30" t="str">
        <x:v>A018</x:v>
      </x:c>
      <x:c r="B1662" s="30" t="str">
        <x:v>F086</x:v>
      </x:c>
      <x:c r="C1662" s="30" t="str">
        <x:v>human.last_assessed_s</x:v>
      </x:c>
      <x:c r="D1662" s="30" t="str">
        <x:v>候选输入schema</x:v>
      </x:c>
      <x:c r="E1662" s="30" t="str">
        <x:v>按执行角色权限读取；策略只能使用可访问快照</x:v>
      </x:c>
    </x:row>
    <x:row r="1663" ht="32" customHeight="1">
      <x:c r="A1663" s="30" t="str">
        <x:v>A018</x:v>
      </x:c>
      <x:c r="B1663" s="30" t="str">
        <x:v>F087</x:v>
      </x:c>
      <x:c r="C1663" s="30" t="str">
        <x:v>human.identity_association</x:v>
      </x:c>
      <x:c r="D1663" s="30" t="str">
        <x:v>候选输入schema</x:v>
      </x:c>
      <x:c r="E1663" s="30" t="str">
        <x:v>按执行角色权限读取；策略只能使用可访问快照</x:v>
      </x:c>
    </x:row>
    <x:row r="1664" ht="32" customHeight="1">
      <x:c r="A1664" s="30" t="str">
        <x:v>A018</x:v>
      </x:c>
      <x:c r="B1664" s="30" t="str">
        <x:v>F116</x:v>
      </x:c>
      <x:c r="C1664" s="30" t="str">
        <x:v>equipment.kind</x:v>
      </x:c>
      <x:c r="D1664" s="30" t="str">
        <x:v>候选输入schema</x:v>
      </x:c>
      <x:c r="E1664" s="30" t="str">
        <x:v>按执行角色权限读取；策略只能使用可访问快照</x:v>
      </x:c>
    </x:row>
    <x:row r="1665" ht="32" customHeight="1">
      <x:c r="A1665" s="30" t="str">
        <x:v>A018</x:v>
      </x:c>
      <x:c r="B1665" s="30" t="str">
        <x:v>F117</x:v>
      </x:c>
      <x:c r="C1665" s="30" t="str">
        <x:v>equipment.enabled</x:v>
      </x:c>
      <x:c r="D1665" s="30" t="str">
        <x:v>候选输入schema</x:v>
      </x:c>
      <x:c r="E1665" s="30" t="str">
        <x:v>按执行角色权限读取；策略只能使用可访问快照</x:v>
      </x:c>
    </x:row>
    <x:row r="1666" ht="32" customHeight="1">
      <x:c r="A1666" s="30" t="str">
        <x:v>A018</x:v>
      </x:c>
      <x:c r="B1666" s="30" t="str">
        <x:v>F118</x:v>
      </x:c>
      <x:c r="C1666" s="30" t="str">
        <x:v>equipment.health</x:v>
      </x:c>
      <x:c r="D1666" s="30" t="str">
        <x:v>候选输入schema</x:v>
      </x:c>
      <x:c r="E1666" s="30" t="str">
        <x:v>按执行角色权限读取；策略只能使用可访问快照</x:v>
      </x:c>
    </x:row>
    <x:row r="1667" ht="32" customHeight="1">
      <x:c r="A1667" s="30" t="str">
        <x:v>A018</x:v>
      </x:c>
      <x:c r="B1667" s="30" t="str">
        <x:v>F119</x:v>
      </x:c>
      <x:c r="C1667" s="30" t="str">
        <x:v>equipment.rated_load_kg</x:v>
      </x:c>
      <x:c r="D1667" s="30" t="str">
        <x:v>候选输入schema</x:v>
      </x:c>
      <x:c r="E1667" s="30" t="str">
        <x:v>按执行角色权限读取；策略只能使用可访问快照</x:v>
      </x:c>
    </x:row>
    <x:row r="1668" ht="32" customHeight="1">
      <x:c r="A1668" s="30" t="str">
        <x:v>A018</x:v>
      </x:c>
      <x:c r="B1668" s="30" t="str">
        <x:v>F120</x:v>
      </x:c>
      <x:c r="C1668" s="30" t="str">
        <x:v>equipment.reach_m</x:v>
      </x:c>
      <x:c r="D1668" s="30" t="str">
        <x:v>候选输入schema</x:v>
      </x:c>
      <x:c r="E1668" s="30" t="str">
        <x:v>按执行角色权限读取；策略只能使用可访问快照</x:v>
      </x:c>
    </x:row>
    <x:row r="1669" ht="32" customHeight="1">
      <x:c r="A1669" s="30" t="str">
        <x:v>A018</x:v>
      </x:c>
      <x:c r="B1669" s="30" t="str">
        <x:v>F121</x:v>
      </x:c>
      <x:c r="C1669" s="30" t="str">
        <x:v>equipment.compatible_materials</x:v>
      </x:c>
      <x:c r="D1669" s="30" t="str">
        <x:v>候选输入schema</x:v>
      </x:c>
      <x:c r="E1669" s="30" t="str">
        <x:v>按执行角色权限读取；策略只能使用可访问快照</x:v>
      </x:c>
    </x:row>
    <x:row r="1670" ht="32" customHeight="1">
      <x:c r="A1670" s="30" t="str">
        <x:v>A018</x:v>
      </x:c>
      <x:c r="B1670" s="30" t="str">
        <x:v>F122</x:v>
      </x:c>
      <x:c r="C1670" s="30" t="str">
        <x:v>equipment.tool_size</x:v>
      </x:c>
      <x:c r="D1670" s="30" t="str">
        <x:v>候选输入schema</x:v>
      </x:c>
      <x:c r="E1670" s="30" t="str">
        <x:v>按执行角色权限读取；策略只能使用可访问快照</x:v>
      </x:c>
    </x:row>
    <x:row r="1671" ht="32" customHeight="1">
      <x:c r="A1671" s="30" t="str">
        <x:v>A018</x:v>
      </x:c>
      <x:c r="B1671" s="30" t="str">
        <x:v>F123</x:v>
      </x:c>
      <x:c r="C1671" s="30" t="str">
        <x:v>equipment.consumable_type</x:v>
      </x:c>
      <x:c r="D1671" s="30" t="str">
        <x:v>候选输入schema</x:v>
      </x:c>
      <x:c r="E1671" s="30" t="str">
        <x:v>按执行角色权限读取；策略只能使用可访问快照</x:v>
      </x:c>
    </x:row>
    <x:row r="1672" ht="32" customHeight="1">
      <x:c r="A1672" s="30" t="str">
        <x:v>A018</x:v>
      </x:c>
      <x:c r="B1672" s="30" t="str">
        <x:v>F124</x:v>
      </x:c>
      <x:c r="C1672" s="30" t="str">
        <x:v>equipment.consumable_remaining</x:v>
      </x:c>
      <x:c r="D1672" s="30" t="str">
        <x:v>候选输入schema</x:v>
      </x:c>
      <x:c r="E1672" s="30" t="str">
        <x:v>按执行角色权限读取；策略只能使用可访问快照</x:v>
      </x:c>
    </x:row>
    <x:row r="1673" ht="32" customHeight="1">
      <x:c r="A1673" s="30" t="str">
        <x:v>A018</x:v>
      </x:c>
      <x:c r="B1673" s="30" t="str">
        <x:v>F125</x:v>
      </x:c>
      <x:c r="C1673" s="30" t="str">
        <x:v>equipment.operator_authority</x:v>
      </x:c>
      <x:c r="D1673" s="30" t="str">
        <x:v>候选输入schema</x:v>
      </x:c>
      <x:c r="E1673" s="30" t="str">
        <x:v>按执行角色权限读取；策略只能使用可访问快照</x:v>
      </x:c>
    </x:row>
    <x:row r="1674" ht="32" customHeight="1">
      <x:c r="A1674" s="30" t="str">
        <x:v>A018</x:v>
      </x:c>
      <x:c r="B1674" s="30" t="str">
        <x:v>F126</x:v>
      </x:c>
      <x:c r="C1674" s="30" t="str">
        <x:v>equipment.setup_state</x:v>
      </x:c>
      <x:c r="D1674" s="30" t="str">
        <x:v>候选输入schema</x:v>
      </x:c>
      <x:c r="E1674" s="30" t="str">
        <x:v>按执行角色权限读取；策略只能使用可访问快照</x:v>
      </x:c>
    </x:row>
    <x:row r="1675" ht="32" customHeight="1">
      <x:c r="A1675" s="30" t="str">
        <x:v>A018</x:v>
      </x:c>
      <x:c r="B1675" s="30" t="str">
        <x:v>F127</x:v>
      </x:c>
      <x:c r="C1675" s="30" t="str">
        <x:v>equipment.busy_action_id</x:v>
      </x:c>
      <x:c r="D1675" s="30" t="str">
        <x:v>候选输入schema</x:v>
      </x:c>
      <x:c r="E1675" s="30" t="str">
        <x:v>按执行角色权限读取；策略只能使用可访问快照</x:v>
      </x:c>
    </x:row>
    <x:row r="1676" ht="32" customHeight="1">
      <x:c r="A1676" s="30" t="str">
        <x:v>A018</x:v>
      </x:c>
      <x:c r="B1676" s="30" t="str">
        <x:v>F166</x:v>
      </x:c>
      <x:c r="C1676" s="30" t="str">
        <x:v>observation.observer_id</x:v>
      </x:c>
      <x:c r="D1676" s="30" t="str">
        <x:v>候选输入schema</x:v>
      </x:c>
      <x:c r="E1676" s="30" t="str">
        <x:v>按执行角色权限读取；策略只能使用可访问快照</x:v>
      </x:c>
    </x:row>
    <x:row r="1677" ht="32" customHeight="1">
      <x:c r="A1677" s="30" t="str">
        <x:v>A018</x:v>
      </x:c>
      <x:c r="B1677" s="30" t="str">
        <x:v>F167</x:v>
      </x:c>
      <x:c r="C1677" s="30" t="str">
        <x:v>observation.sensor_id</x:v>
      </x:c>
      <x:c r="D1677" s="30" t="str">
        <x:v>候选输入schema</x:v>
      </x:c>
      <x:c r="E1677" s="30" t="str">
        <x:v>按执行角色权限读取；策略只能使用可访问快照</x:v>
      </x:c>
    </x:row>
    <x:row r="1678" ht="32" customHeight="1">
      <x:c r="A1678" s="30" t="str">
        <x:v>A018</x:v>
      </x:c>
      <x:c r="B1678" s="30" t="str">
        <x:v>F168</x:v>
      </x:c>
      <x:c r="C1678" s="30" t="str">
        <x:v>observation.captured_at_s</x:v>
      </x:c>
      <x:c r="D1678" s="30" t="str">
        <x:v>候选输入schema</x:v>
      </x:c>
      <x:c r="E1678" s="30" t="str">
        <x:v>按执行角色权限读取；策略只能使用可访问快照</x:v>
      </x:c>
    </x:row>
    <x:row r="1679" ht="32" customHeight="1">
      <x:c r="A1679" s="30" t="str">
        <x:v>A018</x:v>
      </x:c>
      <x:c r="B1679" s="30" t="str">
        <x:v>F169</x:v>
      </x:c>
      <x:c r="C1679" s="30" t="str">
        <x:v>observation.pose_estimate</x:v>
      </x:c>
      <x:c r="D1679" s="30" t="str">
        <x:v>候选输入schema</x:v>
      </x:c>
      <x:c r="E1679" s="30" t="str">
        <x:v>按执行角色权限读取；策略只能使用可访问快照</x:v>
      </x:c>
    </x:row>
    <x:row r="1680" ht="32" customHeight="1">
      <x:c r="A1680" s="30" t="str">
        <x:v>A018</x:v>
      </x:c>
      <x:c r="B1680" s="30" t="str">
        <x:v>F170</x:v>
      </x:c>
      <x:c r="C1680" s="30" t="str">
        <x:v>observation.payload_ref</x:v>
      </x:c>
      <x:c r="D1680" s="30" t="str">
        <x:v>候选输入schema</x:v>
      </x:c>
      <x:c r="E1680" s="30" t="str">
        <x:v>按执行角色权限读取；策略只能使用可访问快照</x:v>
      </x:c>
    </x:row>
    <x:row r="1681" ht="32" customHeight="1">
      <x:c r="A1681" s="30" t="str">
        <x:v>A018</x:v>
      </x:c>
      <x:c r="B1681" s="30" t="str">
        <x:v>F171</x:v>
      </x:c>
      <x:c r="C1681" s="30" t="str">
        <x:v>observation.payload_bytes</x:v>
      </x:c>
      <x:c r="D1681" s="30" t="str">
        <x:v>候选输入schema</x:v>
      </x:c>
      <x:c r="E1681" s="30" t="str">
        <x:v>按执行角色权限读取；策略只能使用可访问快照</x:v>
      </x:c>
    </x:row>
    <x:row r="1682" ht="32" customHeight="1">
      <x:c r="A1682" s="30" t="str">
        <x:v>A018</x:v>
      </x:c>
      <x:c r="B1682" s="30" t="str">
        <x:v>F172</x:v>
      </x:c>
      <x:c r="C1682" s="30" t="str">
        <x:v>observation.content_hash</x:v>
      </x:c>
      <x:c r="D1682" s="30" t="str">
        <x:v>候选输入schema</x:v>
      </x:c>
      <x:c r="E1682" s="30" t="str">
        <x:v>按执行角色权限读取；策略只能使用可访问快照</x:v>
      </x:c>
    </x:row>
    <x:row r="1683" ht="32" customHeight="1">
      <x:c r="A1683" s="30" t="str">
        <x:v>A018</x:v>
      </x:c>
      <x:c r="B1683" s="30" t="str">
        <x:v>F173</x:v>
      </x:c>
      <x:c r="C1683" s="30" t="str">
        <x:v>observation.modality</x:v>
      </x:c>
      <x:c r="D1683" s="30" t="str">
        <x:v>候选输入schema</x:v>
      </x:c>
      <x:c r="E1683" s="30" t="str">
        <x:v>按执行角色权限读取；策略只能使用可访问快照</x:v>
      </x:c>
    </x:row>
    <x:row r="1684" ht="32" customHeight="1">
      <x:c r="A1684" s="30" t="str">
        <x:v>A018</x:v>
      </x:c>
      <x:c r="B1684" s="30" t="str">
        <x:v>F174</x:v>
      </x:c>
      <x:c r="C1684" s="30" t="str">
        <x:v>observation.detections</x:v>
      </x:c>
      <x:c r="D1684" s="30" t="str">
        <x:v>候选输入schema</x:v>
      </x:c>
      <x:c r="E1684" s="30" t="str">
        <x:v>按执行角色权限读取；策略只能使用可访问快照</x:v>
      </x:c>
    </x:row>
    <x:row r="1685" ht="32" customHeight="1">
      <x:c r="A1685" s="30" t="str">
        <x:v>A018</x:v>
      </x:c>
      <x:c r="B1685" s="30" t="str">
        <x:v>F175</x:v>
      </x:c>
      <x:c r="C1685" s="30" t="str">
        <x:v>observation.confidence</x:v>
      </x:c>
      <x:c r="D1685" s="30" t="str">
        <x:v>候选输入schema</x:v>
      </x:c>
      <x:c r="E1685" s="30" t="str">
        <x:v>按执行角色权限读取；策略只能使用可访问快照</x:v>
      </x:c>
    </x:row>
    <x:row r="1686" ht="32" customHeight="1">
      <x:c r="A1686" s="30" t="str">
        <x:v>A018</x:v>
      </x:c>
      <x:c r="B1686" s="30" t="str">
        <x:v>F176</x:v>
      </x:c>
      <x:c r="C1686" s="30" t="str">
        <x:v>observation.coverage_estimate</x:v>
      </x:c>
      <x:c r="D1686" s="30" t="str">
        <x:v>候选输入schema</x:v>
      </x:c>
      <x:c r="E1686" s="30" t="str">
        <x:v>按执行角色权限读取；策略只能使用可访问快照</x:v>
      </x:c>
    </x:row>
    <x:row r="1687" ht="32" customHeight="1">
      <x:c r="A1687" s="30" t="str">
        <x:v>A018</x:v>
      </x:c>
      <x:c r="B1687" s="30" t="str">
        <x:v>F177</x:v>
      </x:c>
      <x:c r="C1687" s="30" t="str">
        <x:v>observation.processing_job_id</x:v>
      </x:c>
      <x:c r="D1687" s="30" t="str">
        <x:v>候选输入schema</x:v>
      </x:c>
      <x:c r="E1687" s="30" t="str">
        <x:v>按执行角色权限读取；策略只能使用可访问快照</x:v>
      </x:c>
    </x:row>
    <x:row r="1688" ht="32" customHeight="1">
      <x:c r="A1688" s="30" t="str">
        <x:v>A018</x:v>
      </x:c>
      <x:c r="B1688" s="30" t="str">
        <x:v>F178</x:v>
      </x:c>
      <x:c r="C1688" s="30" t="str">
        <x:v>observation.parent_evidence_ids</x:v>
      </x:c>
      <x:c r="D1688" s="30" t="str">
        <x:v>候选输入schema</x:v>
      </x:c>
      <x:c r="E1688" s="30" t="str">
        <x:v>按执行角色权限读取；策略只能使用可访问快照</x:v>
      </x:c>
    </x:row>
    <x:row r="1689" ht="32" customHeight="1">
      <x:c r="A1689" s="30" t="str">
        <x:v>A018</x:v>
      </x:c>
      <x:c r="B1689" s="30" t="str">
        <x:v>F179</x:v>
      </x:c>
      <x:c r="C1689" s="30" t="str">
        <x:v>observation.valid_until_s</x:v>
      </x:c>
      <x:c r="D1689" s="30" t="str">
        <x:v>候选输入schema</x:v>
      </x:c>
      <x:c r="E1689" s="30" t="str">
        <x:v>按执行角色权限读取；策略只能使用可访问快照</x:v>
      </x:c>
    </x:row>
    <x:row r="1690" ht="32" customHeight="1">
      <x:c r="A1690" s="30" t="str">
        <x:v>A018</x:v>
      </x:c>
      <x:c r="B1690" s="30" t="str">
        <x:v>F180</x:v>
      </x:c>
      <x:c r="C1690" s="30" t="str">
        <x:v>observation.mode</x:v>
      </x:c>
      <x:c r="D1690" s="30" t="str">
        <x:v>候选输入schema</x:v>
      </x:c>
      <x:c r="E1690" s="30" t="str">
        <x:v>按执行角色权限读取；策略只能使用可访问快照</x:v>
      </x:c>
    </x:row>
    <x:row r="1691" ht="32" customHeight="1">
      <x:c r="A1691" s="30" t="str">
        <x:v>A018</x:v>
      </x:c>
      <x:c r="B1691" s="30" t="str">
        <x:v>F230</x:v>
      </x:c>
      <x:c r="C1691" s="30" t="str">
        <x:v>action.type</x:v>
      </x:c>
      <x:c r="D1691" s="30" t="str">
        <x:v>候选输入schema</x:v>
      </x:c>
      <x:c r="E1691" s="30" t="str">
        <x:v>按执行角色权限读取；策略只能使用可访问快照</x:v>
      </x:c>
    </x:row>
    <x:row r="1692" ht="32" customHeight="1">
      <x:c r="A1692" s="30" t="str">
        <x:v>A018</x:v>
      </x:c>
      <x:c r="B1692" s="30" t="str">
        <x:v>F231</x:v>
      </x:c>
      <x:c r="C1692" s="30" t="str">
        <x:v>action.executor_id</x:v>
      </x:c>
      <x:c r="D1692" s="30" t="str">
        <x:v>候选输入schema</x:v>
      </x:c>
      <x:c r="E1692" s="30" t="str">
        <x:v>按执行角色权限读取；策略只能使用可访问快照</x:v>
      </x:c>
    </x:row>
    <x:row r="1693" ht="32" customHeight="1">
      <x:c r="A1693" s="30" t="str">
        <x:v>A018</x:v>
      </x:c>
      <x:c r="B1693" s="30" t="str">
        <x:v>F232</x:v>
      </x:c>
      <x:c r="C1693" s="30" t="str">
        <x:v>action.task_ref</x:v>
      </x:c>
      <x:c r="D1693" s="30" t="str">
        <x:v>候选输入schema</x:v>
      </x:c>
      <x:c r="E1693" s="30" t="str">
        <x:v>按执行角色权限读取；策略只能使用可访问快照</x:v>
      </x:c>
    </x:row>
    <x:row r="1694" ht="32" customHeight="1">
      <x:c r="A1694" s="30" t="str">
        <x:v>A018</x:v>
      </x:c>
      <x:c r="B1694" s="30" t="str">
        <x:v>F233</x:v>
      </x:c>
      <x:c r="C1694" s="30" t="str">
        <x:v>action.target_ref</x:v>
      </x:c>
      <x:c r="D1694" s="30" t="str">
        <x:v>候选输入schema</x:v>
      </x:c>
      <x:c r="E1694" s="30" t="str">
        <x:v>按执行角色权限读取；策略只能使用可访问快照</x:v>
      </x:c>
    </x:row>
    <x:row r="1695" ht="32" customHeight="1">
      <x:c r="A1695" s="30" t="str">
        <x:v>A018</x:v>
      </x:c>
      <x:c r="B1695" s="30" t="str">
        <x:v>F234</x:v>
      </x:c>
      <x:c r="C1695" s="30" t="str">
        <x:v>action.parameters</x:v>
      </x:c>
      <x:c r="D1695" s="30" t="str">
        <x:v>候选输入schema</x:v>
      </x:c>
      <x:c r="E1695" s="30" t="str">
        <x:v>按执行角色权限读取；策略只能使用可访问快照</x:v>
      </x:c>
    </x:row>
    <x:row r="1696" ht="32" customHeight="1">
      <x:c r="A1696" s="30" t="str">
        <x:v>A018</x:v>
      </x:c>
      <x:c r="B1696" s="30" t="str">
        <x:v>F235</x:v>
      </x:c>
      <x:c r="C1696" s="30" t="str">
        <x:v>action.status</x:v>
      </x:c>
      <x:c r="D1696" s="30" t="str">
        <x:v>候选输入schema</x:v>
      </x:c>
      <x:c r="E1696" s="30" t="str">
        <x:v>按执行角色权限读取；策略只能使用可访问快照</x:v>
      </x:c>
    </x:row>
    <x:row r="1697" ht="32" customHeight="1">
      <x:c r="A1697" s="30" t="str">
        <x:v>A018</x:v>
      </x:c>
      <x:c r="B1697" s="30" t="str">
        <x:v>F236</x:v>
      </x:c>
      <x:c r="C1697" s="30" t="str">
        <x:v>action.start_s</x:v>
      </x:c>
      <x:c r="D1697" s="30" t="str">
        <x:v>候选输入schema</x:v>
      </x:c>
      <x:c r="E1697" s="30" t="str">
        <x:v>按执行角色权限读取；策略只能使用可访问快照</x:v>
      </x:c>
    </x:row>
    <x:row r="1698" ht="32" customHeight="1">
      <x:c r="A1698" s="30" t="str">
        <x:v>A018</x:v>
      </x:c>
      <x:c r="B1698" s="30" t="str">
        <x:v>F237</x:v>
      </x:c>
      <x:c r="C1698" s="30" t="str">
        <x:v>action.finish_s</x:v>
      </x:c>
      <x:c r="D1698" s="30" t="str">
        <x:v>候选输入schema</x:v>
      </x:c>
      <x:c r="E1698" s="30" t="str">
        <x:v>按执行角色权限读取；策略只能使用可访问快照</x:v>
      </x:c>
    </x:row>
    <x:row r="1699" ht="32" customHeight="1">
      <x:c r="A1699" s="30" t="str">
        <x:v>A018</x:v>
      </x:c>
      <x:c r="B1699" s="30" t="str">
        <x:v>F238</x:v>
      </x:c>
      <x:c r="C1699" s="30" t="str">
        <x:v>action.reserved_resources</x:v>
      </x:c>
      <x:c r="D1699" s="30" t="str">
        <x:v>候选输入schema</x:v>
      </x:c>
      <x:c r="E1699" s="30" t="str">
        <x:v>按执行角色权限读取；策略只能使用可访问快照</x:v>
      </x:c>
    </x:row>
    <x:row r="1700" ht="32" customHeight="1">
      <x:c r="A1700" s="30" t="str">
        <x:v>A018</x:v>
      </x:c>
      <x:c r="B1700" s="30" t="str">
        <x:v>F239</x:v>
      </x:c>
      <x:c r="C1700" s="30" t="str">
        <x:v>action.consumed_resources</x:v>
      </x:c>
      <x:c r="D1700" s="30" t="str">
        <x:v>候选输入schema</x:v>
      </x:c>
      <x:c r="E1700" s="30" t="str">
        <x:v>按执行角色权限读取；策略只能使用可访问快照</x:v>
      </x:c>
    </x:row>
    <x:row r="1701" ht="32" customHeight="1">
      <x:c r="A1701" s="30" t="str">
        <x:v>A018</x:v>
      </x:c>
      <x:c r="B1701" s="30" t="str">
        <x:v>F240</x:v>
      </x:c>
      <x:c r="C1701" s="30" t="str">
        <x:v>action.feedback</x:v>
      </x:c>
      <x:c r="D1701" s="30" t="str">
        <x:v>候选输入schema</x:v>
      </x:c>
      <x:c r="E1701" s="30" t="str">
        <x:v>按执行角色权限读取；策略只能使用可访问快照</x:v>
      </x:c>
    </x:row>
    <x:row r="1702" ht="32" customHeight="1">
      <x:c r="A1702" s="30" t="str">
        <x:v>A018</x:v>
      </x:c>
      <x:c r="B1702" s="30" t="str">
        <x:v>F241</x:v>
      </x:c>
      <x:c r="C1702" s="30" t="str">
        <x:v>action.result</x:v>
      </x:c>
      <x:c r="D1702" s="30" t="str">
        <x:v>候选输入schema</x:v>
      </x:c>
      <x:c r="E1702" s="30" t="str">
        <x:v>按执行角色权限读取；策略只能使用可访问快照</x:v>
      </x:c>
    </x:row>
    <x:row r="1703" ht="32" customHeight="1">
      <x:c r="A1703" s="30" t="str">
        <x:v>A018</x:v>
      </x:c>
      <x:c r="B1703" s="30" t="str">
        <x:v>F242</x:v>
      </x:c>
      <x:c r="C1703" s="30" t="str">
        <x:v>action.rejection_code</x:v>
      </x:c>
      <x:c r="D1703" s="30" t="str">
        <x:v>候选输入schema</x:v>
      </x:c>
      <x:c r="E1703" s="30" t="str">
        <x:v>按执行角色权限读取；策略只能使用可访问快照</x:v>
      </x:c>
    </x:row>
    <x:row r="1704" ht="32" customHeight="1">
      <x:c r="A1704" s="30" t="str">
        <x:v>A018</x:v>
      </x:c>
      <x:c r="B1704" s="30" t="str">
        <x:v>F243</x:v>
      </x:c>
      <x:c r="C1704" s="30" t="str">
        <x:v>action.failure_code</x:v>
      </x:c>
      <x:c r="D1704" s="30" t="str">
        <x:v>候选输入schema</x:v>
      </x:c>
      <x:c r="E1704" s="30" t="str">
        <x:v>按执行角色权限读取；策略只能使用可访问快照</x:v>
      </x:c>
    </x:row>
    <x:row r="1705" ht="32" customHeight="1">
      <x:c r="A1705" s="30" t="str">
        <x:v>A018</x:v>
      </x:c>
      <x:c r="B1705" s="30" t="str">
        <x:v>F244</x:v>
      </x:c>
      <x:c r="C1705" s="30" t="str">
        <x:v>action.cancel_requested</x:v>
      </x:c>
      <x:c r="D1705" s="30" t="str">
        <x:v>候选输入schema</x:v>
      </x:c>
      <x:c r="E1705" s="30" t="str">
        <x:v>按执行角色权限读取；策略只能使用可访问快照</x:v>
      </x:c>
    </x:row>
    <x:row r="1706" ht="32" customHeight="1">
      <x:c r="A1706" s="30" t="str">
        <x:v>A018</x:v>
      </x:c>
      <x:c r="B1706" s="30" t="str">
        <x:v>F245</x:v>
      </x:c>
      <x:c r="C1706" s="30" t="str">
        <x:v>action.backend_mode</x:v>
      </x:c>
      <x:c r="D1706" s="30" t="str">
        <x:v>候选输入schema</x:v>
      </x:c>
      <x:c r="E1706" s="30" t="str">
        <x:v>按执行角色权限读取；策略只能使用可访问快照</x:v>
      </x:c>
    </x:row>
    <x:row r="1707" ht="32" customHeight="1">
      <x:c r="A1707" s="30" t="str">
        <x:v>A018</x:v>
      </x:c>
      <x:c r="B1707" s="30" t="str">
        <x:v>F086</x:v>
      </x:c>
      <x:c r="C1707" s="30" t="str">
        <x:v>human.last_assessed_s</x:v>
      </x:c>
      <x:c r="D1707" s="30" t="str">
        <x:v>直接效果</x:v>
      </x:c>
      <x:c r="E1707" s="30" t="str">
        <x:v>经实际执行/回执提交；不是规划时提前修改</x:v>
      </x:c>
    </x:row>
    <x:row r="1708" ht="32" customHeight="1">
      <x:c r="A1708" s="30" t="str">
        <x:v>A018</x:v>
      </x:c>
      <x:c r="B1708" s="30" t="str">
        <x:v>F170</x:v>
      </x:c>
      <x:c r="C1708" s="30" t="str">
        <x:v>observation.payload_ref</x:v>
      </x:c>
      <x:c r="D1708" s="30" t="str">
        <x:v>直接效果</x:v>
      </x:c>
      <x:c r="E1708" s="30" t="str">
        <x:v>经实际执行/回执提交；不是规划时提前修改</x:v>
      </x:c>
    </x:row>
    <x:row r="1709" ht="32" customHeight="1">
      <x:c r="A1709" s="30" t="str">
        <x:v>A019</x:v>
      </x:c>
      <x:c r="B1709" s="30" t="str">
        <x:v>F071</x:v>
      </x:c>
      <x:c r="C1709" s="30" t="str">
        <x:v>human.location_context</x:v>
      </x:c>
      <x:c r="D1709" s="30" t="str">
        <x:v>候选输入schema</x:v>
      </x:c>
      <x:c r="E1709" s="30" t="str">
        <x:v>按执行角色权限读取；策略只能使用可访问快照</x:v>
      </x:c>
    </x:row>
    <x:row r="1710" ht="32" customHeight="1">
      <x:c r="A1710" s="30" t="str">
        <x:v>A019</x:v>
      </x:c>
      <x:c r="B1710" s="30" t="str">
        <x:v>F072</x:v>
      </x:c>
      <x:c r="C1710" s="30" t="str">
        <x:v>human.alive</x:v>
      </x:c>
      <x:c r="D1710" s="30" t="str">
        <x:v>候选输入schema</x:v>
      </x:c>
      <x:c r="E1710" s="30" t="str">
        <x:v>按执行角色权限读取；策略只能使用可访问快照</x:v>
      </x:c>
    </x:row>
    <x:row r="1711" ht="32" customHeight="1">
      <x:c r="A1711" s="30" t="str">
        <x:v>A019</x:v>
      </x:c>
      <x:c r="B1711" s="30" t="str">
        <x:v>F073</x:v>
      </x:c>
      <x:c r="C1711" s="30" t="str">
        <x:v>human.injury</x:v>
      </x:c>
      <x:c r="D1711" s="30" t="str">
        <x:v>候选输入schema</x:v>
      </x:c>
      <x:c r="E1711" s="30" t="str">
        <x:v>按执行角色权限读取；策略只能使用可访问快照</x:v>
      </x:c>
    </x:row>
    <x:row r="1712" ht="32" customHeight="1">
      <x:c r="A1712" s="30" t="str">
        <x:v>A019</x:v>
      </x:c>
      <x:c r="B1712" s="30" t="str">
        <x:v>F074</x:v>
      </x:c>
      <x:c r="C1712" s="30" t="str">
        <x:v>human.mobility</x:v>
      </x:c>
      <x:c r="D1712" s="30" t="str">
        <x:v>候选输入schema</x:v>
      </x:c>
      <x:c r="E1712" s="30" t="str">
        <x:v>按执行角色权限读取；策略只能使用可访问快照</x:v>
      </x:c>
    </x:row>
    <x:row r="1713" ht="32" customHeight="1">
      <x:c r="A1713" s="30" t="str">
        <x:v>A019</x:v>
      </x:c>
      <x:c r="B1713" s="30" t="str">
        <x:v>F075</x:v>
      </x:c>
      <x:c r="C1713" s="30" t="str">
        <x:v>human.buriedness</x:v>
      </x:c>
      <x:c r="D1713" s="30" t="str">
        <x:v>候选输入schema</x:v>
      </x:c>
      <x:c r="E1713" s="30" t="str">
        <x:v>按执行角色权限读取；策略只能使用可访问快照</x:v>
      </x:c>
    </x:row>
    <x:row r="1714" ht="32" customHeight="1">
      <x:c r="A1714" s="30" t="str">
        <x:v>A019</x:v>
      </x:c>
      <x:c r="B1714" s="30" t="str">
        <x:v>F076</x:v>
      </x:c>
      <x:c r="C1714" s="30" t="str">
        <x:v>human.needs</x:v>
      </x:c>
      <x:c r="D1714" s="30" t="str">
        <x:v>候选输入schema</x:v>
      </x:c>
      <x:c r="E1714" s="30" t="str">
        <x:v>按执行角色权限读取；策略只能使用可访问快照</x:v>
      </x:c>
    </x:row>
    <x:row r="1715" ht="32" customHeight="1">
      <x:c r="A1715" s="30" t="str">
        <x:v>A019</x:v>
      </x:c>
      <x:c r="B1715" s="30" t="str">
        <x:v>F077</x:v>
      </x:c>
      <x:c r="C1715" s="30" t="str">
        <x:v>human.pose</x:v>
      </x:c>
      <x:c r="D1715" s="30" t="str">
        <x:v>候选输入schema</x:v>
      </x:c>
      <x:c r="E1715" s="30" t="str">
        <x:v>按执行角色权限读取；策略只能使用可访问快照</x:v>
      </x:c>
    </x:row>
    <x:row r="1716" ht="32" customHeight="1">
      <x:c r="A1716" s="30" t="str">
        <x:v>A019</x:v>
      </x:c>
      <x:c r="B1716" s="30" t="str">
        <x:v>F078</x:v>
      </x:c>
      <x:c r="C1716" s="30" t="str">
        <x:v>human.visibility_context</x:v>
      </x:c>
      <x:c r="D1716" s="30" t="str">
        <x:v>候选输入schema</x:v>
      </x:c>
      <x:c r="E1716" s="30" t="str">
        <x:v>按执行角色权限读取；策略只能使用可访问快照</x:v>
      </x:c>
    </x:row>
    <x:row r="1717" ht="32" customHeight="1">
      <x:c r="A1717" s="30" t="str">
        <x:v>A019</x:v>
      </x:c>
      <x:c r="B1717" s="30" t="str">
        <x:v>F079</x:v>
      </x:c>
      <x:c r="C1717" s="30" t="str">
        <x:v>human.distress_signal</x:v>
      </x:c>
      <x:c r="D1717" s="30" t="str">
        <x:v>候选输入schema</x:v>
      </x:c>
      <x:c r="E1717" s="30" t="str">
        <x:v>按执行角色权限读取；策略只能使用可访问快照</x:v>
      </x:c>
    </x:row>
    <x:row r="1718" ht="32" customHeight="1">
      <x:c r="A1718" s="30" t="str">
        <x:v>A019</x:v>
      </x:c>
      <x:c r="B1718" s="30" t="str">
        <x:v>F080</x:v>
      </x:c>
      <x:c r="C1718" s="30" t="str">
        <x:v>human.health_model</x:v>
      </x:c>
      <x:c r="D1718" s="30" t="str">
        <x:v>候选输入schema</x:v>
      </x:c>
      <x:c r="E1718" s="30" t="str">
        <x:v>按执行角色权限读取；策略只能使用可访问快照</x:v>
      </x:c>
    </x:row>
    <x:row r="1719" ht="32" customHeight="1">
      <x:c r="A1719" s="30" t="str">
        <x:v>A019</x:v>
      </x:c>
      <x:c r="B1719" s="30" t="str">
        <x:v>F081</x:v>
      </x:c>
      <x:c r="C1719" s="30" t="str">
        <x:v>human.health_value</x:v>
      </x:c>
      <x:c r="D1719" s="30" t="str">
        <x:v>候选输入schema</x:v>
      </x:c>
      <x:c r="E1719" s="30" t="str">
        <x:v>按执行角色权限读取；策略只能使用可访问快照</x:v>
      </x:c>
    </x:row>
    <x:row r="1720" ht="32" customHeight="1">
      <x:c r="A1720" s="30" t="str">
        <x:v>A019</x:v>
      </x:c>
      <x:c r="B1720" s="30" t="str">
        <x:v>F082</x:v>
      </x:c>
      <x:c r="C1720" s="30" t="str">
        <x:v>human.support_received</x:v>
      </x:c>
      <x:c r="D1720" s="30" t="str">
        <x:v>候选输入schema</x:v>
      </x:c>
      <x:c r="E1720" s="30" t="str">
        <x:v>按执行角色权限读取；策略只能使用可访问快照</x:v>
      </x:c>
    </x:row>
    <x:row r="1721" ht="32" customHeight="1">
      <x:c r="A1721" s="30" t="str">
        <x:v>A019</x:v>
      </x:c>
      <x:c r="B1721" s="30" t="str">
        <x:v>F083</x:v>
      </x:c>
      <x:c r="C1721" s="30" t="str">
        <x:v>human.carrier_id</x:v>
      </x:c>
      <x:c r="D1721" s="30" t="str">
        <x:v>候选输入schema</x:v>
      </x:c>
      <x:c r="E1721" s="30" t="str">
        <x:v>按执行角色权限读取；策略只能使用可访问快照</x:v>
      </x:c>
    </x:row>
    <x:row r="1722" ht="32" customHeight="1">
      <x:c r="A1722" s="30" t="str">
        <x:v>A019</x:v>
      </x:c>
      <x:c r="B1722" s="30" t="str">
        <x:v>F084</x:v>
      </x:c>
      <x:c r="C1722" s="30" t="str">
        <x:v>human.destination_id</x:v>
      </x:c>
      <x:c r="D1722" s="30" t="str">
        <x:v>候选输入schema</x:v>
      </x:c>
      <x:c r="E1722" s="30" t="str">
        <x:v>按执行角色权限读取；策略只能使用可访问快照</x:v>
      </x:c>
    </x:row>
    <x:row r="1723" ht="32" customHeight="1">
      <x:c r="A1723" s="30" t="str">
        <x:v>A019</x:v>
      </x:c>
      <x:c r="B1723" s="30" t="str">
        <x:v>F085</x:v>
      </x:c>
      <x:c r="C1723" s="30" t="str">
        <x:v>human.handover_status</x:v>
      </x:c>
      <x:c r="D1723" s="30" t="str">
        <x:v>候选输入schema</x:v>
      </x:c>
      <x:c r="E1723" s="30" t="str">
        <x:v>按执行角色权限读取；策略只能使用可访问快照</x:v>
      </x:c>
    </x:row>
    <x:row r="1724" ht="32" customHeight="1">
      <x:c r="A1724" s="30" t="str">
        <x:v>A019</x:v>
      </x:c>
      <x:c r="B1724" s="30" t="str">
        <x:v>F086</x:v>
      </x:c>
      <x:c r="C1724" s="30" t="str">
        <x:v>human.last_assessed_s</x:v>
      </x:c>
      <x:c r="D1724" s="30" t="str">
        <x:v>候选输入schema</x:v>
      </x:c>
      <x:c r="E1724" s="30" t="str">
        <x:v>按执行角色权限读取；策略只能使用可访问快照</x:v>
      </x:c>
    </x:row>
    <x:row r="1725" ht="32" customHeight="1">
      <x:c r="A1725" s="30" t="str">
        <x:v>A019</x:v>
      </x:c>
      <x:c r="B1725" s="30" t="str">
        <x:v>F087</x:v>
      </x:c>
      <x:c r="C1725" s="30" t="str">
        <x:v>human.identity_association</x:v>
      </x:c>
      <x:c r="D1725" s="30" t="str">
        <x:v>候选输入schema</x:v>
      </x:c>
      <x:c r="E1725" s="30" t="str">
        <x:v>按执行角色权限读取；策略只能使用可访问快照</x:v>
      </x:c>
    </x:row>
    <x:row r="1726" ht="32" customHeight="1">
      <x:c r="A1726" s="30" t="str">
        <x:v>A019</x:v>
      </x:c>
      <x:c r="B1726" s="30" t="str">
        <x:v>F116</x:v>
      </x:c>
      <x:c r="C1726" s="30" t="str">
        <x:v>equipment.kind</x:v>
      </x:c>
      <x:c r="D1726" s="30" t="str">
        <x:v>候选输入schema</x:v>
      </x:c>
      <x:c r="E1726" s="30" t="str">
        <x:v>按执行角色权限读取；策略只能使用可访问快照</x:v>
      </x:c>
    </x:row>
    <x:row r="1727" ht="32" customHeight="1">
      <x:c r="A1727" s="30" t="str">
        <x:v>A019</x:v>
      </x:c>
      <x:c r="B1727" s="30" t="str">
        <x:v>F117</x:v>
      </x:c>
      <x:c r="C1727" s="30" t="str">
        <x:v>equipment.enabled</x:v>
      </x:c>
      <x:c r="D1727" s="30" t="str">
        <x:v>候选输入schema</x:v>
      </x:c>
      <x:c r="E1727" s="30" t="str">
        <x:v>按执行角色权限读取；策略只能使用可访问快照</x:v>
      </x:c>
    </x:row>
    <x:row r="1728" ht="32" customHeight="1">
      <x:c r="A1728" s="30" t="str">
        <x:v>A019</x:v>
      </x:c>
      <x:c r="B1728" s="30" t="str">
        <x:v>F118</x:v>
      </x:c>
      <x:c r="C1728" s="30" t="str">
        <x:v>equipment.health</x:v>
      </x:c>
      <x:c r="D1728" s="30" t="str">
        <x:v>候选输入schema</x:v>
      </x:c>
      <x:c r="E1728" s="30" t="str">
        <x:v>按执行角色权限读取；策略只能使用可访问快照</x:v>
      </x:c>
    </x:row>
    <x:row r="1729" ht="32" customHeight="1">
      <x:c r="A1729" s="30" t="str">
        <x:v>A019</x:v>
      </x:c>
      <x:c r="B1729" s="30" t="str">
        <x:v>F119</x:v>
      </x:c>
      <x:c r="C1729" s="30" t="str">
        <x:v>equipment.rated_load_kg</x:v>
      </x:c>
      <x:c r="D1729" s="30" t="str">
        <x:v>候选输入schema</x:v>
      </x:c>
      <x:c r="E1729" s="30" t="str">
        <x:v>按执行角色权限读取；策略只能使用可访问快照</x:v>
      </x:c>
    </x:row>
    <x:row r="1730" ht="32" customHeight="1">
      <x:c r="A1730" s="30" t="str">
        <x:v>A019</x:v>
      </x:c>
      <x:c r="B1730" s="30" t="str">
        <x:v>F120</x:v>
      </x:c>
      <x:c r="C1730" s="30" t="str">
        <x:v>equipment.reach_m</x:v>
      </x:c>
      <x:c r="D1730" s="30" t="str">
        <x:v>候选输入schema</x:v>
      </x:c>
      <x:c r="E1730" s="30" t="str">
        <x:v>按执行角色权限读取；策略只能使用可访问快照</x:v>
      </x:c>
    </x:row>
    <x:row r="1731" ht="32" customHeight="1">
      <x:c r="A1731" s="30" t="str">
        <x:v>A019</x:v>
      </x:c>
      <x:c r="B1731" s="30" t="str">
        <x:v>F121</x:v>
      </x:c>
      <x:c r="C1731" s="30" t="str">
        <x:v>equipment.compatible_materials</x:v>
      </x:c>
      <x:c r="D1731" s="30" t="str">
        <x:v>候选输入schema</x:v>
      </x:c>
      <x:c r="E1731" s="30" t="str">
        <x:v>按执行角色权限读取；策略只能使用可访问快照</x:v>
      </x:c>
    </x:row>
    <x:row r="1732" ht="32" customHeight="1">
      <x:c r="A1732" s="30" t="str">
        <x:v>A019</x:v>
      </x:c>
      <x:c r="B1732" s="30" t="str">
        <x:v>F122</x:v>
      </x:c>
      <x:c r="C1732" s="30" t="str">
        <x:v>equipment.tool_size</x:v>
      </x:c>
      <x:c r="D1732" s="30" t="str">
        <x:v>候选输入schema</x:v>
      </x:c>
      <x:c r="E1732" s="30" t="str">
        <x:v>按执行角色权限读取；策略只能使用可访问快照</x:v>
      </x:c>
    </x:row>
    <x:row r="1733" ht="32" customHeight="1">
      <x:c r="A1733" s="30" t="str">
        <x:v>A019</x:v>
      </x:c>
      <x:c r="B1733" s="30" t="str">
        <x:v>F123</x:v>
      </x:c>
      <x:c r="C1733" s="30" t="str">
        <x:v>equipment.consumable_type</x:v>
      </x:c>
      <x:c r="D1733" s="30" t="str">
        <x:v>候选输入schema</x:v>
      </x:c>
      <x:c r="E1733" s="30" t="str">
        <x:v>按执行角色权限读取；策略只能使用可访问快照</x:v>
      </x:c>
    </x:row>
    <x:row r="1734" ht="32" customHeight="1">
      <x:c r="A1734" s="30" t="str">
        <x:v>A019</x:v>
      </x:c>
      <x:c r="B1734" s="30" t="str">
        <x:v>F124</x:v>
      </x:c>
      <x:c r="C1734" s="30" t="str">
        <x:v>equipment.consumable_remaining</x:v>
      </x:c>
      <x:c r="D1734" s="30" t="str">
        <x:v>候选输入schema</x:v>
      </x:c>
      <x:c r="E1734" s="30" t="str">
        <x:v>按执行角色权限读取；策略只能使用可访问快照</x:v>
      </x:c>
    </x:row>
    <x:row r="1735" ht="32" customHeight="1">
      <x:c r="A1735" s="30" t="str">
        <x:v>A019</x:v>
      </x:c>
      <x:c r="B1735" s="30" t="str">
        <x:v>F125</x:v>
      </x:c>
      <x:c r="C1735" s="30" t="str">
        <x:v>equipment.operator_authority</x:v>
      </x:c>
      <x:c r="D1735" s="30" t="str">
        <x:v>候选输入schema</x:v>
      </x:c>
      <x:c r="E1735" s="30" t="str">
        <x:v>按执行角色权限读取；策略只能使用可访问快照</x:v>
      </x:c>
    </x:row>
    <x:row r="1736" ht="32" customHeight="1">
      <x:c r="A1736" s="30" t="str">
        <x:v>A019</x:v>
      </x:c>
      <x:c r="B1736" s="30" t="str">
        <x:v>F126</x:v>
      </x:c>
      <x:c r="C1736" s="30" t="str">
        <x:v>equipment.setup_state</x:v>
      </x:c>
      <x:c r="D1736" s="30" t="str">
        <x:v>候选输入schema</x:v>
      </x:c>
      <x:c r="E1736" s="30" t="str">
        <x:v>按执行角色权限读取；策略只能使用可访问快照</x:v>
      </x:c>
    </x:row>
    <x:row r="1737" ht="32" customHeight="1">
      <x:c r="A1737" s="30" t="str">
        <x:v>A019</x:v>
      </x:c>
      <x:c r="B1737" s="30" t="str">
        <x:v>F127</x:v>
      </x:c>
      <x:c r="C1737" s="30" t="str">
        <x:v>equipment.busy_action_id</x:v>
      </x:c>
      <x:c r="D1737" s="30" t="str">
        <x:v>候选输入schema</x:v>
      </x:c>
      <x:c r="E1737" s="30" t="str">
        <x:v>按执行角色权限读取；策略只能使用可访问快照</x:v>
      </x:c>
    </x:row>
    <x:row r="1738" ht="32" customHeight="1">
      <x:c r="A1738" s="30" t="str">
        <x:v>A019</x:v>
      </x:c>
      <x:c r="B1738" s="30" t="str">
        <x:v>F128</x:v>
      </x:c>
      <x:c r="C1738" s="30" t="str">
        <x:v>item.kind</x:v>
      </x:c>
      <x:c r="D1738" s="30" t="str">
        <x:v>候选输入schema</x:v>
      </x:c>
      <x:c r="E1738" s="30" t="str">
        <x:v>按执行角色权限读取；策略只能使用可访问快照</x:v>
      </x:c>
    </x:row>
    <x:row r="1739" ht="32" customHeight="1">
      <x:c r="A1739" s="30" t="str">
        <x:v>A019</x:v>
      </x:c>
      <x:c r="B1739" s="30" t="str">
        <x:v>F129</x:v>
      </x:c>
      <x:c r="C1739" s="30" t="str">
        <x:v>item.mass_kg</x:v>
      </x:c>
      <x:c r="D1739" s="30" t="str">
        <x:v>候选输入schema</x:v>
      </x:c>
      <x:c r="E1739" s="30" t="str">
        <x:v>按执行角色权限读取；策略只能使用可访问快照</x:v>
      </x:c>
    </x:row>
    <x:row r="1740" ht="32" customHeight="1">
      <x:c r="A1740" s="30" t="str">
        <x:v>A019</x:v>
      </x:c>
      <x:c r="B1740" s="30" t="str">
        <x:v>F130</x:v>
      </x:c>
      <x:c r="C1740" s="30" t="str">
        <x:v>item.dimensions_m</x:v>
      </x:c>
      <x:c r="D1740" s="30" t="str">
        <x:v>候选输入schema</x:v>
      </x:c>
      <x:c r="E1740" s="30" t="str">
        <x:v>按执行角色权限读取；策略只能使用可访问快照</x:v>
      </x:c>
    </x:row>
    <x:row r="1741" ht="32" customHeight="1">
      <x:c r="A1741" s="30" t="str">
        <x:v>A019</x:v>
      </x:c>
      <x:c r="B1741" s="30" t="str">
        <x:v>F131</x:v>
      </x:c>
      <x:c r="C1741" s="30" t="str">
        <x:v>item.quantity</x:v>
      </x:c>
      <x:c r="D1741" s="30" t="str">
        <x:v>候选输入schema</x:v>
      </x:c>
      <x:c r="E1741" s="30" t="str">
        <x:v>按执行角色权限读取；策略只能使用可访问快照</x:v>
      </x:c>
    </x:row>
    <x:row r="1742" ht="32" customHeight="1">
      <x:c r="A1742" s="30" t="str">
        <x:v>A019</x:v>
      </x:c>
      <x:c r="B1742" s="30" t="str">
        <x:v>F132</x:v>
      </x:c>
      <x:c r="C1742" s="30" t="str">
        <x:v>item.holder_id</x:v>
      </x:c>
      <x:c r="D1742" s="30" t="str">
        <x:v>候选输入schema</x:v>
      </x:c>
      <x:c r="E1742" s="30" t="str">
        <x:v>按执行角色权限读取；策略只能使用可访问快照</x:v>
      </x:c>
    </x:row>
    <x:row r="1743" ht="32" customHeight="1">
      <x:c r="A1743" s="30" t="str">
        <x:v>A019</x:v>
      </x:c>
      <x:c r="B1743" s="30" t="str">
        <x:v>F133</x:v>
      </x:c>
      <x:c r="C1743" s="30" t="str">
        <x:v>item.state</x:v>
      </x:c>
      <x:c r="D1743" s="30" t="str">
        <x:v>候选输入schema</x:v>
      </x:c>
      <x:c r="E1743" s="30" t="str">
        <x:v>按执行角色权限读取；策略只能使用可访问快照</x:v>
      </x:c>
    </x:row>
    <x:row r="1744" ht="32" customHeight="1">
      <x:c r="A1744" s="30" t="str">
        <x:v>A019</x:v>
      </x:c>
      <x:c r="B1744" s="30" t="str">
        <x:v>F134</x:v>
      </x:c>
      <x:c r="C1744" s="30" t="str">
        <x:v>item.attachment_id</x:v>
      </x:c>
      <x:c r="D1744" s="30" t="str">
        <x:v>候选输入schema</x:v>
      </x:c>
      <x:c r="E1744" s="30" t="str">
        <x:v>按执行角色权限读取；策略只能使用可访问快照</x:v>
      </x:c>
    </x:row>
    <x:row r="1745" ht="32" customHeight="1">
      <x:c r="A1745" s="30" t="str">
        <x:v>A019</x:v>
      </x:c>
      <x:c r="B1745" s="30" t="str">
        <x:v>F135</x:v>
      </x:c>
      <x:c r="C1745" s="30" t="str">
        <x:v>item.reservation_task_id</x:v>
      </x:c>
      <x:c r="D1745" s="30" t="str">
        <x:v>候选输入schema</x:v>
      </x:c>
      <x:c r="E1745" s="30" t="str">
        <x:v>按执行角色权限读取；策略只能使用可访问快照</x:v>
      </x:c>
    </x:row>
    <x:row r="1746" ht="32" customHeight="1">
      <x:c r="A1746" s="30" t="str">
        <x:v>A019</x:v>
      </x:c>
      <x:c r="B1746" s="30" t="str">
        <x:v>F136</x:v>
      </x:c>
      <x:c r="C1746" s="30" t="str">
        <x:v>item.release_state</x:v>
      </x:c>
      <x:c r="D1746" s="30" t="str">
        <x:v>候选输入schema</x:v>
      </x:c>
      <x:c r="E1746" s="30" t="str">
        <x:v>按执行角色权限读取；策略只能使用可访问快照</x:v>
      </x:c>
    </x:row>
    <x:row r="1747" ht="32" customHeight="1">
      <x:c r="A1747" s="30" t="str">
        <x:v>A019</x:v>
      </x:c>
      <x:c r="B1747" s="30" t="str">
        <x:v>F137</x:v>
      </x:c>
      <x:c r="C1747" s="30" t="str">
        <x:v>item.contact_pose</x:v>
      </x:c>
      <x:c r="D1747" s="30" t="str">
        <x:v>候选输入schema</x:v>
      </x:c>
      <x:c r="E1747" s="30" t="str">
        <x:v>按执行角色权限读取；策略只能使用可访问快照</x:v>
      </x:c>
    </x:row>
    <x:row r="1748" ht="32" customHeight="1">
      <x:c r="A1748" s="30" t="str">
        <x:v>A019</x:v>
      </x:c>
      <x:c r="B1748" s="30" t="str">
        <x:v>F138</x:v>
      </x:c>
      <x:c r="C1748" s="30" t="str">
        <x:v>item.receiver_id</x:v>
      </x:c>
      <x:c r="D1748" s="30" t="str">
        <x:v>候选输入schema</x:v>
      </x:c>
      <x:c r="E1748" s="30" t="str">
        <x:v>按执行角色权限读取；策略只能使用可访问快照</x:v>
      </x:c>
    </x:row>
    <x:row r="1749" ht="32" customHeight="1">
      <x:c r="A1749" s="30" t="str">
        <x:v>A019</x:v>
      </x:c>
      <x:c r="B1749" s="30" t="str">
        <x:v>F139</x:v>
      </x:c>
      <x:c r="C1749" s="30" t="str">
        <x:v>item.receipt_id</x:v>
      </x:c>
      <x:c r="D1749" s="30" t="str">
        <x:v>候选输入schema</x:v>
      </x:c>
      <x:c r="E1749" s="30" t="str">
        <x:v>按执行角色权限读取；策略只能使用可访问快照</x:v>
      </x:c>
    </x:row>
    <x:row r="1750" ht="32" customHeight="1">
      <x:c r="A1750" s="30" t="str">
        <x:v>A019</x:v>
      </x:c>
      <x:c r="B1750" s="30" t="str">
        <x:v>F140</x:v>
      </x:c>
      <x:c r="C1750" s="30" t="str">
        <x:v>item.condition</x:v>
      </x:c>
      <x:c r="D1750" s="30" t="str">
        <x:v>候选输入schema</x:v>
      </x:c>
      <x:c r="E1750" s="30" t="str">
        <x:v>按执行角色权限读取；策略只能使用可访问快照</x:v>
      </x:c>
    </x:row>
    <x:row r="1751" ht="32" customHeight="1">
      <x:c r="A1751" s="30" t="str">
        <x:v>A019</x:v>
      </x:c>
      <x:c r="B1751" s="30" t="str">
        <x:v>F230</x:v>
      </x:c>
      <x:c r="C1751" s="30" t="str">
        <x:v>action.type</x:v>
      </x:c>
      <x:c r="D1751" s="30" t="str">
        <x:v>候选输入schema</x:v>
      </x:c>
      <x:c r="E1751" s="30" t="str">
        <x:v>按执行角色权限读取；策略只能使用可访问快照</x:v>
      </x:c>
    </x:row>
    <x:row r="1752" ht="32" customHeight="1">
      <x:c r="A1752" s="30" t="str">
        <x:v>A019</x:v>
      </x:c>
      <x:c r="B1752" s="30" t="str">
        <x:v>F231</x:v>
      </x:c>
      <x:c r="C1752" s="30" t="str">
        <x:v>action.executor_id</x:v>
      </x:c>
      <x:c r="D1752" s="30" t="str">
        <x:v>候选输入schema</x:v>
      </x:c>
      <x:c r="E1752" s="30" t="str">
        <x:v>按执行角色权限读取；策略只能使用可访问快照</x:v>
      </x:c>
    </x:row>
    <x:row r="1753" ht="32" customHeight="1">
      <x:c r="A1753" s="30" t="str">
        <x:v>A019</x:v>
      </x:c>
      <x:c r="B1753" s="30" t="str">
        <x:v>F232</x:v>
      </x:c>
      <x:c r="C1753" s="30" t="str">
        <x:v>action.task_ref</x:v>
      </x:c>
      <x:c r="D1753" s="30" t="str">
        <x:v>候选输入schema</x:v>
      </x:c>
      <x:c r="E1753" s="30" t="str">
        <x:v>按执行角色权限读取；策略只能使用可访问快照</x:v>
      </x:c>
    </x:row>
    <x:row r="1754" ht="32" customHeight="1">
      <x:c r="A1754" s="30" t="str">
        <x:v>A019</x:v>
      </x:c>
      <x:c r="B1754" s="30" t="str">
        <x:v>F233</x:v>
      </x:c>
      <x:c r="C1754" s="30" t="str">
        <x:v>action.target_ref</x:v>
      </x:c>
      <x:c r="D1754" s="30" t="str">
        <x:v>候选输入schema</x:v>
      </x:c>
      <x:c r="E1754" s="30" t="str">
        <x:v>按执行角色权限读取；策略只能使用可访问快照</x:v>
      </x:c>
    </x:row>
    <x:row r="1755" ht="32" customHeight="1">
      <x:c r="A1755" s="30" t="str">
        <x:v>A019</x:v>
      </x:c>
      <x:c r="B1755" s="30" t="str">
        <x:v>F234</x:v>
      </x:c>
      <x:c r="C1755" s="30" t="str">
        <x:v>action.parameters</x:v>
      </x:c>
      <x:c r="D1755" s="30" t="str">
        <x:v>候选输入schema</x:v>
      </x:c>
      <x:c r="E1755" s="30" t="str">
        <x:v>按执行角色权限读取；策略只能使用可访问快照</x:v>
      </x:c>
    </x:row>
    <x:row r="1756" ht="32" customHeight="1">
      <x:c r="A1756" s="30" t="str">
        <x:v>A019</x:v>
      </x:c>
      <x:c r="B1756" s="30" t="str">
        <x:v>F235</x:v>
      </x:c>
      <x:c r="C1756" s="30" t="str">
        <x:v>action.status</x:v>
      </x:c>
      <x:c r="D1756" s="30" t="str">
        <x:v>候选输入schema</x:v>
      </x:c>
      <x:c r="E1756" s="30" t="str">
        <x:v>按执行角色权限读取；策略只能使用可访问快照</x:v>
      </x:c>
    </x:row>
    <x:row r="1757" ht="32" customHeight="1">
      <x:c r="A1757" s="30" t="str">
        <x:v>A019</x:v>
      </x:c>
      <x:c r="B1757" s="30" t="str">
        <x:v>F236</x:v>
      </x:c>
      <x:c r="C1757" s="30" t="str">
        <x:v>action.start_s</x:v>
      </x:c>
      <x:c r="D1757" s="30" t="str">
        <x:v>候选输入schema</x:v>
      </x:c>
      <x:c r="E1757" s="30" t="str">
        <x:v>按执行角色权限读取；策略只能使用可访问快照</x:v>
      </x:c>
    </x:row>
    <x:row r="1758" ht="32" customHeight="1">
      <x:c r="A1758" s="30" t="str">
        <x:v>A019</x:v>
      </x:c>
      <x:c r="B1758" s="30" t="str">
        <x:v>F237</x:v>
      </x:c>
      <x:c r="C1758" s="30" t="str">
        <x:v>action.finish_s</x:v>
      </x:c>
      <x:c r="D1758" s="30" t="str">
        <x:v>候选输入schema</x:v>
      </x:c>
      <x:c r="E1758" s="30" t="str">
        <x:v>按执行角色权限读取；策略只能使用可访问快照</x:v>
      </x:c>
    </x:row>
    <x:row r="1759" ht="32" customHeight="1">
      <x:c r="A1759" s="30" t="str">
        <x:v>A019</x:v>
      </x:c>
      <x:c r="B1759" s="30" t="str">
        <x:v>F238</x:v>
      </x:c>
      <x:c r="C1759" s="30" t="str">
        <x:v>action.reserved_resources</x:v>
      </x:c>
      <x:c r="D1759" s="30" t="str">
        <x:v>候选输入schema</x:v>
      </x:c>
      <x:c r="E1759" s="30" t="str">
        <x:v>按执行角色权限读取；策略只能使用可访问快照</x:v>
      </x:c>
    </x:row>
    <x:row r="1760" ht="32" customHeight="1">
      <x:c r="A1760" s="30" t="str">
        <x:v>A019</x:v>
      </x:c>
      <x:c r="B1760" s="30" t="str">
        <x:v>F239</x:v>
      </x:c>
      <x:c r="C1760" s="30" t="str">
        <x:v>action.consumed_resources</x:v>
      </x:c>
      <x:c r="D1760" s="30" t="str">
        <x:v>候选输入schema</x:v>
      </x:c>
      <x:c r="E1760" s="30" t="str">
        <x:v>按执行角色权限读取；策略只能使用可访问快照</x:v>
      </x:c>
    </x:row>
    <x:row r="1761" ht="32" customHeight="1">
      <x:c r="A1761" s="30" t="str">
        <x:v>A019</x:v>
      </x:c>
      <x:c r="B1761" s="30" t="str">
        <x:v>F240</x:v>
      </x:c>
      <x:c r="C1761" s="30" t="str">
        <x:v>action.feedback</x:v>
      </x:c>
      <x:c r="D1761" s="30" t="str">
        <x:v>候选输入schema</x:v>
      </x:c>
      <x:c r="E1761" s="30" t="str">
        <x:v>按执行角色权限读取；策略只能使用可访问快照</x:v>
      </x:c>
    </x:row>
    <x:row r="1762" ht="32" customHeight="1">
      <x:c r="A1762" s="30" t="str">
        <x:v>A019</x:v>
      </x:c>
      <x:c r="B1762" s="30" t="str">
        <x:v>F241</x:v>
      </x:c>
      <x:c r="C1762" s="30" t="str">
        <x:v>action.result</x:v>
      </x:c>
      <x:c r="D1762" s="30" t="str">
        <x:v>候选输入schema</x:v>
      </x:c>
      <x:c r="E1762" s="30" t="str">
        <x:v>按执行角色权限读取；策略只能使用可访问快照</x:v>
      </x:c>
    </x:row>
    <x:row r="1763" ht="32" customHeight="1">
      <x:c r="A1763" s="30" t="str">
        <x:v>A019</x:v>
      </x:c>
      <x:c r="B1763" s="30" t="str">
        <x:v>F242</x:v>
      </x:c>
      <x:c r="C1763" s="30" t="str">
        <x:v>action.rejection_code</x:v>
      </x:c>
      <x:c r="D1763" s="30" t="str">
        <x:v>候选输入schema</x:v>
      </x:c>
      <x:c r="E1763" s="30" t="str">
        <x:v>按执行角色权限读取；策略只能使用可访问快照</x:v>
      </x:c>
    </x:row>
    <x:row r="1764" ht="32" customHeight="1">
      <x:c r="A1764" s="30" t="str">
        <x:v>A019</x:v>
      </x:c>
      <x:c r="B1764" s="30" t="str">
        <x:v>F243</x:v>
      </x:c>
      <x:c r="C1764" s="30" t="str">
        <x:v>action.failure_code</x:v>
      </x:c>
      <x:c r="D1764" s="30" t="str">
        <x:v>候选输入schema</x:v>
      </x:c>
      <x:c r="E1764" s="30" t="str">
        <x:v>按执行角色权限读取；策略只能使用可访问快照</x:v>
      </x:c>
    </x:row>
    <x:row r="1765" ht="32" customHeight="1">
      <x:c r="A1765" s="30" t="str">
        <x:v>A019</x:v>
      </x:c>
      <x:c r="B1765" s="30" t="str">
        <x:v>F244</x:v>
      </x:c>
      <x:c r="C1765" s="30" t="str">
        <x:v>action.cancel_requested</x:v>
      </x:c>
      <x:c r="D1765" s="30" t="str">
        <x:v>候选输入schema</x:v>
      </x:c>
      <x:c r="E1765" s="30" t="str">
        <x:v>按执行角色权限读取；策略只能使用可访问快照</x:v>
      </x:c>
    </x:row>
    <x:row r="1766" ht="32" customHeight="1">
      <x:c r="A1766" s="30" t="str">
        <x:v>A019</x:v>
      </x:c>
      <x:c r="B1766" s="30" t="str">
        <x:v>F245</x:v>
      </x:c>
      <x:c r="C1766" s="30" t="str">
        <x:v>action.backend_mode</x:v>
      </x:c>
      <x:c r="D1766" s="30" t="str">
        <x:v>候选输入schema</x:v>
      </x:c>
      <x:c r="E1766" s="30" t="str">
        <x:v>按执行角色权限读取；策略只能使用可访问快照</x:v>
      </x:c>
    </x:row>
    <x:row r="1767" ht="32" customHeight="1">
      <x:c r="A1767" s="30" t="str">
        <x:v>A019</x:v>
      </x:c>
      <x:c r="B1767" s="30" t="str">
        <x:v>F082</x:v>
      </x:c>
      <x:c r="C1767" s="30" t="str">
        <x:v>human.support_received</x:v>
      </x:c>
      <x:c r="D1767" s="30" t="str">
        <x:v>直接效果</x:v>
      </x:c>
      <x:c r="E1767" s="30" t="str">
        <x:v>经实际执行/回执提交；不是规划时提前修改</x:v>
      </x:c>
    </x:row>
    <x:row r="1768" ht="32" customHeight="1">
      <x:c r="A1768" s="30" t="str">
        <x:v>A019</x:v>
      </x:c>
      <x:c r="B1768" s="30" t="str">
        <x:v>F081</x:v>
      </x:c>
      <x:c r="C1768" s="30" t="str">
        <x:v>human.health_value</x:v>
      </x:c>
      <x:c r="D1768" s="30" t="str">
        <x:v>直接效果</x:v>
      </x:c>
      <x:c r="E1768" s="30" t="str">
        <x:v>经实际执行/回执提交；不是规划时提前修改</x:v>
      </x:c>
    </x:row>
    <x:row r="1769" ht="32" customHeight="1">
      <x:c r="A1769" s="30" t="str">
        <x:v>A019</x:v>
      </x:c>
      <x:c r="B1769" s="30" t="str">
        <x:v>F131</x:v>
      </x:c>
      <x:c r="C1769" s="30" t="str">
        <x:v>item.quantity</x:v>
      </x:c>
      <x:c r="D1769" s="30" t="str">
        <x:v>直接效果</x:v>
      </x:c>
      <x:c r="E1769" s="30" t="str">
        <x:v>经实际执行/回执提交；不是规划时提前修改</x:v>
      </x:c>
    </x:row>
    <x:row r="1770" ht="32" customHeight="1">
      <x:c r="A1770" s="30" t="str">
        <x:v>A020</x:v>
      </x:c>
      <x:c r="B1770" s="30" t="str">
        <x:v>F071</x:v>
      </x:c>
      <x:c r="C1770" s="30" t="str">
        <x:v>human.location_context</x:v>
      </x:c>
      <x:c r="D1770" s="30" t="str">
        <x:v>候选输入schema</x:v>
      </x:c>
      <x:c r="E1770" s="30" t="str">
        <x:v>按执行角色权限读取；策略只能使用可访问快照</x:v>
      </x:c>
    </x:row>
    <x:row r="1771" ht="32" customHeight="1">
      <x:c r="A1771" s="30" t="str">
        <x:v>A020</x:v>
      </x:c>
      <x:c r="B1771" s="30" t="str">
        <x:v>F072</x:v>
      </x:c>
      <x:c r="C1771" s="30" t="str">
        <x:v>human.alive</x:v>
      </x:c>
      <x:c r="D1771" s="30" t="str">
        <x:v>候选输入schema</x:v>
      </x:c>
      <x:c r="E1771" s="30" t="str">
        <x:v>按执行角色权限读取；策略只能使用可访问快照</x:v>
      </x:c>
    </x:row>
    <x:row r="1772" ht="32" customHeight="1">
      <x:c r="A1772" s="30" t="str">
        <x:v>A020</x:v>
      </x:c>
      <x:c r="B1772" s="30" t="str">
        <x:v>F073</x:v>
      </x:c>
      <x:c r="C1772" s="30" t="str">
        <x:v>human.injury</x:v>
      </x:c>
      <x:c r="D1772" s="30" t="str">
        <x:v>候选输入schema</x:v>
      </x:c>
      <x:c r="E1772" s="30" t="str">
        <x:v>按执行角色权限读取；策略只能使用可访问快照</x:v>
      </x:c>
    </x:row>
    <x:row r="1773" ht="32" customHeight="1">
      <x:c r="A1773" s="30" t="str">
        <x:v>A020</x:v>
      </x:c>
      <x:c r="B1773" s="30" t="str">
        <x:v>F074</x:v>
      </x:c>
      <x:c r="C1773" s="30" t="str">
        <x:v>human.mobility</x:v>
      </x:c>
      <x:c r="D1773" s="30" t="str">
        <x:v>候选输入schema</x:v>
      </x:c>
      <x:c r="E1773" s="30" t="str">
        <x:v>按执行角色权限读取；策略只能使用可访问快照</x:v>
      </x:c>
    </x:row>
    <x:row r="1774" ht="32" customHeight="1">
      <x:c r="A1774" s="30" t="str">
        <x:v>A020</x:v>
      </x:c>
      <x:c r="B1774" s="30" t="str">
        <x:v>F075</x:v>
      </x:c>
      <x:c r="C1774" s="30" t="str">
        <x:v>human.buriedness</x:v>
      </x:c>
      <x:c r="D1774" s="30" t="str">
        <x:v>候选输入schema</x:v>
      </x:c>
      <x:c r="E1774" s="30" t="str">
        <x:v>按执行角色权限读取；策略只能使用可访问快照</x:v>
      </x:c>
    </x:row>
    <x:row r="1775" ht="32" customHeight="1">
      <x:c r="A1775" s="30" t="str">
        <x:v>A020</x:v>
      </x:c>
      <x:c r="B1775" s="30" t="str">
        <x:v>F076</x:v>
      </x:c>
      <x:c r="C1775" s="30" t="str">
        <x:v>human.needs</x:v>
      </x:c>
      <x:c r="D1775" s="30" t="str">
        <x:v>候选输入schema</x:v>
      </x:c>
      <x:c r="E1775" s="30" t="str">
        <x:v>按执行角色权限读取；策略只能使用可访问快照</x:v>
      </x:c>
    </x:row>
    <x:row r="1776" ht="32" customHeight="1">
      <x:c r="A1776" s="30" t="str">
        <x:v>A020</x:v>
      </x:c>
      <x:c r="B1776" s="30" t="str">
        <x:v>F077</x:v>
      </x:c>
      <x:c r="C1776" s="30" t="str">
        <x:v>human.pose</x:v>
      </x:c>
      <x:c r="D1776" s="30" t="str">
        <x:v>候选输入schema</x:v>
      </x:c>
      <x:c r="E1776" s="30" t="str">
        <x:v>按执行角色权限读取；策略只能使用可访问快照</x:v>
      </x:c>
    </x:row>
    <x:row r="1777" ht="32" customHeight="1">
      <x:c r="A1777" s="30" t="str">
        <x:v>A020</x:v>
      </x:c>
      <x:c r="B1777" s="30" t="str">
        <x:v>F078</x:v>
      </x:c>
      <x:c r="C1777" s="30" t="str">
        <x:v>human.visibility_context</x:v>
      </x:c>
      <x:c r="D1777" s="30" t="str">
        <x:v>候选输入schema</x:v>
      </x:c>
      <x:c r="E1777" s="30" t="str">
        <x:v>按执行角色权限读取；策略只能使用可访问快照</x:v>
      </x:c>
    </x:row>
    <x:row r="1778" ht="32" customHeight="1">
      <x:c r="A1778" s="30" t="str">
        <x:v>A020</x:v>
      </x:c>
      <x:c r="B1778" s="30" t="str">
        <x:v>F079</x:v>
      </x:c>
      <x:c r="C1778" s="30" t="str">
        <x:v>human.distress_signal</x:v>
      </x:c>
      <x:c r="D1778" s="30" t="str">
        <x:v>候选输入schema</x:v>
      </x:c>
      <x:c r="E1778" s="30" t="str">
        <x:v>按执行角色权限读取；策略只能使用可访问快照</x:v>
      </x:c>
    </x:row>
    <x:row r="1779" ht="32" customHeight="1">
      <x:c r="A1779" s="30" t="str">
        <x:v>A020</x:v>
      </x:c>
      <x:c r="B1779" s="30" t="str">
        <x:v>F080</x:v>
      </x:c>
      <x:c r="C1779" s="30" t="str">
        <x:v>human.health_model</x:v>
      </x:c>
      <x:c r="D1779" s="30" t="str">
        <x:v>候选输入schema</x:v>
      </x:c>
      <x:c r="E1779" s="30" t="str">
        <x:v>按执行角色权限读取；策略只能使用可访问快照</x:v>
      </x:c>
    </x:row>
    <x:row r="1780" ht="32" customHeight="1">
      <x:c r="A1780" s="30" t="str">
        <x:v>A020</x:v>
      </x:c>
      <x:c r="B1780" s="30" t="str">
        <x:v>F081</x:v>
      </x:c>
      <x:c r="C1780" s="30" t="str">
        <x:v>human.health_value</x:v>
      </x:c>
      <x:c r="D1780" s="30" t="str">
        <x:v>候选输入schema</x:v>
      </x:c>
      <x:c r="E1780" s="30" t="str">
        <x:v>按执行角色权限读取；策略只能使用可访问快照</x:v>
      </x:c>
    </x:row>
    <x:row r="1781" ht="32" customHeight="1">
      <x:c r="A1781" s="30" t="str">
        <x:v>A020</x:v>
      </x:c>
      <x:c r="B1781" s="30" t="str">
        <x:v>F082</x:v>
      </x:c>
      <x:c r="C1781" s="30" t="str">
        <x:v>human.support_received</x:v>
      </x:c>
      <x:c r="D1781" s="30" t="str">
        <x:v>候选输入schema</x:v>
      </x:c>
      <x:c r="E1781" s="30" t="str">
        <x:v>按执行角色权限读取；策略只能使用可访问快照</x:v>
      </x:c>
    </x:row>
    <x:row r="1782" ht="32" customHeight="1">
      <x:c r="A1782" s="30" t="str">
        <x:v>A020</x:v>
      </x:c>
      <x:c r="B1782" s="30" t="str">
        <x:v>F083</x:v>
      </x:c>
      <x:c r="C1782" s="30" t="str">
        <x:v>human.carrier_id</x:v>
      </x:c>
      <x:c r="D1782" s="30" t="str">
        <x:v>候选输入schema</x:v>
      </x:c>
      <x:c r="E1782" s="30" t="str">
        <x:v>按执行角色权限读取；策略只能使用可访问快照</x:v>
      </x:c>
    </x:row>
    <x:row r="1783" ht="32" customHeight="1">
      <x:c r="A1783" s="30" t="str">
        <x:v>A020</x:v>
      </x:c>
      <x:c r="B1783" s="30" t="str">
        <x:v>F084</x:v>
      </x:c>
      <x:c r="C1783" s="30" t="str">
        <x:v>human.destination_id</x:v>
      </x:c>
      <x:c r="D1783" s="30" t="str">
        <x:v>候选输入schema</x:v>
      </x:c>
      <x:c r="E1783" s="30" t="str">
        <x:v>按执行角色权限读取；策略只能使用可访问快照</x:v>
      </x:c>
    </x:row>
    <x:row r="1784" ht="32" customHeight="1">
      <x:c r="A1784" s="30" t="str">
        <x:v>A020</x:v>
      </x:c>
      <x:c r="B1784" s="30" t="str">
        <x:v>F085</x:v>
      </x:c>
      <x:c r="C1784" s="30" t="str">
        <x:v>human.handover_status</x:v>
      </x:c>
      <x:c r="D1784" s="30" t="str">
        <x:v>候选输入schema</x:v>
      </x:c>
      <x:c r="E1784" s="30" t="str">
        <x:v>按执行角色权限读取；策略只能使用可访问快照</x:v>
      </x:c>
    </x:row>
    <x:row r="1785" ht="32" customHeight="1">
      <x:c r="A1785" s="30" t="str">
        <x:v>A020</x:v>
      </x:c>
      <x:c r="B1785" s="30" t="str">
        <x:v>F086</x:v>
      </x:c>
      <x:c r="C1785" s="30" t="str">
        <x:v>human.last_assessed_s</x:v>
      </x:c>
      <x:c r="D1785" s="30" t="str">
        <x:v>候选输入schema</x:v>
      </x:c>
      <x:c r="E1785" s="30" t="str">
        <x:v>按执行角色权限读取；策略只能使用可访问快照</x:v>
      </x:c>
    </x:row>
    <x:row r="1786" ht="32" customHeight="1">
      <x:c r="A1786" s="30" t="str">
        <x:v>A020</x:v>
      </x:c>
      <x:c r="B1786" s="30" t="str">
        <x:v>F087</x:v>
      </x:c>
      <x:c r="C1786" s="30" t="str">
        <x:v>human.identity_association</x:v>
      </x:c>
      <x:c r="D1786" s="30" t="str">
        <x:v>候选输入schema</x:v>
      </x:c>
      <x:c r="E1786" s="30" t="str">
        <x:v>按执行角色权限读取；策略只能使用可访问快照</x:v>
      </x:c>
    </x:row>
    <x:row r="1787" ht="32" customHeight="1">
      <x:c r="A1787" s="30" t="str">
        <x:v>A020</x:v>
      </x:c>
      <x:c r="B1787" s="30" t="str">
        <x:v>F095</x:v>
      </x:c>
      <x:c r="C1787" s="30" t="str">
        <x:v>platform.kind</x:v>
      </x:c>
      <x:c r="D1787" s="30" t="str">
        <x:v>候选输入schema</x:v>
      </x:c>
      <x:c r="E1787" s="30" t="str">
        <x:v>按执行角色权限读取；策略只能使用可访问快照</x:v>
      </x:c>
    </x:row>
    <x:row r="1788" ht="32" customHeight="1">
      <x:c r="A1788" s="30" t="str">
        <x:v>A020</x:v>
      </x:c>
      <x:c r="B1788" s="30" t="str">
        <x:v>F096</x:v>
      </x:c>
      <x:c r="C1788" s="30" t="str">
        <x:v>platform.capability_ids</x:v>
      </x:c>
      <x:c r="D1788" s="30" t="str">
        <x:v>候选输入schema</x:v>
      </x:c>
      <x:c r="E1788" s="30" t="str">
        <x:v>按执行角色权限读取；策略只能使用可访问快照</x:v>
      </x:c>
    </x:row>
    <x:row r="1789" ht="32" customHeight="1">
      <x:c r="A1789" s="30" t="str">
        <x:v>A020</x:v>
      </x:c>
      <x:c r="B1789" s="30" t="str">
        <x:v>F097</x:v>
      </x:c>
      <x:c r="C1789" s="30" t="str">
        <x:v>platform.equipment_ids</x:v>
      </x:c>
      <x:c r="D1789" s="30" t="str">
        <x:v>候选输入schema</x:v>
      </x:c>
      <x:c r="E1789" s="30" t="str">
        <x:v>按执行角色权限读取；策略只能使用可访问快照</x:v>
      </x:c>
    </x:row>
    <x:row r="1790" ht="32" customHeight="1">
      <x:c r="A1790" s="30" t="str">
        <x:v>A020</x:v>
      </x:c>
      <x:c r="B1790" s="30" t="str">
        <x:v>F098</x:v>
      </x:c>
      <x:c r="C1790" s="30" t="str">
        <x:v>platform.width_m</x:v>
      </x:c>
      <x:c r="D1790" s="30" t="str">
        <x:v>候选输入schema</x:v>
      </x:c>
      <x:c r="E1790" s="30" t="str">
        <x:v>按执行角色权限读取；策略只能使用可访问快照</x:v>
      </x:c>
    </x:row>
    <x:row r="1791" ht="32" customHeight="1">
      <x:c r="A1791" s="30" t="str">
        <x:v>A020</x:v>
      </x:c>
      <x:c r="B1791" s="30" t="str">
        <x:v>F099</x:v>
      </x:c>
      <x:c r="C1791" s="30" t="str">
        <x:v>platform.height_m</x:v>
      </x:c>
      <x:c r="D1791" s="30" t="str">
        <x:v>候选输入schema</x:v>
      </x:c>
      <x:c r="E1791" s="30" t="str">
        <x:v>按执行角色权限读取；策略只能使用可访问快照</x:v>
      </x:c>
    </x:row>
    <x:row r="1792" ht="32" customHeight="1">
      <x:c r="A1792" s="30" t="str">
        <x:v>A020</x:v>
      </x:c>
      <x:c r="B1792" s="30" t="str">
        <x:v>F100</x:v>
      </x:c>
      <x:c r="C1792" s="30" t="str">
        <x:v>platform.swept_radius_m</x:v>
      </x:c>
      <x:c r="D1792" s="30" t="str">
        <x:v>候选输入schema</x:v>
      </x:c>
      <x:c r="E1792" s="30" t="str">
        <x:v>按执行角色权限读取；策略只能使用可访问快照</x:v>
      </x:c>
    </x:row>
    <x:row r="1793" ht="32" customHeight="1">
      <x:c r="A1793" s="30" t="str">
        <x:v>A020</x:v>
      </x:c>
      <x:c r="B1793" s="30" t="str">
        <x:v>F101</x:v>
      </x:c>
      <x:c r="C1793" s="30" t="str">
        <x:v>platform.payload_capacity_kg</x:v>
      </x:c>
      <x:c r="D1793" s="30" t="str">
        <x:v>候选输入schema</x:v>
      </x:c>
      <x:c r="E1793" s="30" t="str">
        <x:v>按执行角色权限读取；策略只能使用可访问快照</x:v>
      </x:c>
    </x:row>
    <x:row r="1794" ht="32" customHeight="1">
      <x:c r="A1794" s="30" t="str">
        <x:v>A020</x:v>
      </x:c>
      <x:c r="B1794" s="30" t="str">
        <x:v>F102</x:v>
      </x:c>
      <x:c r="C1794" s="30" t="str">
        <x:v>platform.payload_used_kg</x:v>
      </x:c>
      <x:c r="D1794" s="30" t="str">
        <x:v>候选输入schema</x:v>
      </x:c>
      <x:c r="E1794" s="30" t="str">
        <x:v>按执行角色权限读取；策略只能使用可访问快照</x:v>
      </x:c>
    </x:row>
    <x:row r="1795" ht="32" customHeight="1">
      <x:c r="A1795" s="30" t="str">
        <x:v>A020</x:v>
      </x:c>
      <x:c r="B1795" s="30" t="str">
        <x:v>F103</x:v>
      </x:c>
      <x:c r="C1795" s="30" t="str">
        <x:v>platform.payload_item_ids</x:v>
      </x:c>
      <x:c r="D1795" s="30" t="str">
        <x:v>候选输入schema</x:v>
      </x:c>
      <x:c r="E1795" s="30" t="str">
        <x:v>按执行角色权限读取；策略只能使用可访问快照</x:v>
      </x:c>
    </x:row>
    <x:row r="1796" ht="32" customHeight="1">
      <x:c r="A1796" s="30" t="str">
        <x:v>A020</x:v>
      </x:c>
      <x:c r="B1796" s="30" t="str">
        <x:v>F104</x:v>
      </x:c>
      <x:c r="C1796" s="30" t="str">
        <x:v>platform.battery_capacity_Wh</x:v>
      </x:c>
      <x:c r="D1796" s="30" t="str">
        <x:v>候选输入schema</x:v>
      </x:c>
      <x:c r="E1796" s="30" t="str">
        <x:v>按执行角色权限读取；策略只能使用可访问快照</x:v>
      </x:c>
    </x:row>
    <x:row r="1797" ht="32" customHeight="1">
      <x:c r="A1797" s="30" t="str">
        <x:v>A020</x:v>
      </x:c>
      <x:c r="B1797" s="30" t="str">
        <x:v>F105</x:v>
      </x:c>
      <x:c r="C1797" s="30" t="str">
        <x:v>platform.battery_remaining_Wh</x:v>
      </x:c>
      <x:c r="D1797" s="30" t="str">
        <x:v>候选输入schema</x:v>
      </x:c>
      <x:c r="E1797" s="30" t="str">
        <x:v>按执行角色权限读取；策略只能使用可访问快照</x:v>
      </x:c>
    </x:row>
    <x:row r="1798" ht="32" customHeight="1">
      <x:c r="A1798" s="30" t="str">
        <x:v>A020</x:v>
      </x:c>
      <x:c r="B1798" s="30" t="str">
        <x:v>F106</x:v>
      </x:c>
      <x:c r="C1798" s="30" t="str">
        <x:v>platform.reserve_Wh</x:v>
      </x:c>
      <x:c r="D1798" s="30" t="str">
        <x:v>候选输入schema</x:v>
      </x:c>
      <x:c r="E1798" s="30" t="str">
        <x:v>按执行角色权限读取；策略只能使用可访问快照</x:v>
      </x:c>
    </x:row>
    <x:row r="1799" ht="32" customHeight="1">
      <x:c r="A1799" s="30" t="str">
        <x:v>A020</x:v>
      </x:c>
      <x:c r="B1799" s="30" t="str">
        <x:v>F107</x:v>
      </x:c>
      <x:c r="C1799" s="30" t="str">
        <x:v>platform.speed_limit_mps</x:v>
      </x:c>
      <x:c r="D1799" s="30" t="str">
        <x:v>候选输入schema</x:v>
      </x:c>
      <x:c r="E1799" s="30" t="str">
        <x:v>按执行角色权限读取；策略只能使用可访问快照</x:v>
      </x:c>
    </x:row>
    <x:row r="1800" ht="32" customHeight="1">
      <x:c r="A1800" s="30" t="str">
        <x:v>A020</x:v>
      </x:c>
      <x:c r="B1800" s="30" t="str">
        <x:v>F108</x:v>
      </x:c>
      <x:c r="C1800" s="30" t="str">
        <x:v>platform.energy_model</x:v>
      </x:c>
      <x:c r="D1800" s="30" t="str">
        <x:v>候选输入schema</x:v>
      </x:c>
      <x:c r="E1800" s="30" t="str">
        <x:v>按执行角色权限读取；策略只能使用可访问快照</x:v>
      </x:c>
    </x:row>
    <x:row r="1801" ht="32" customHeight="1">
      <x:c r="A1801" s="30" t="str">
        <x:v>A020</x:v>
      </x:c>
      <x:c r="B1801" s="30" t="str">
        <x:v>F109</x:v>
      </x:c>
      <x:c r="C1801" s="30" t="str">
        <x:v>platform.motion_state</x:v>
      </x:c>
      <x:c r="D1801" s="30" t="str">
        <x:v>候选输入schema</x:v>
      </x:c>
      <x:c r="E1801" s="30" t="str">
        <x:v>按执行角色权限读取；策略只能使用可访问快照</x:v>
      </x:c>
    </x:row>
    <x:row r="1802" ht="32" customHeight="1">
      <x:c r="A1802" s="30" t="str">
        <x:v>A020</x:v>
      </x:c>
      <x:c r="B1802" s="30" t="str">
        <x:v>F110</x:v>
      </x:c>
      <x:c r="C1802" s="30" t="str">
        <x:v>platform.health_state</x:v>
      </x:c>
      <x:c r="D1802" s="30" t="str">
        <x:v>候选输入schema</x:v>
      </x:c>
      <x:c r="E1802" s="30" t="str">
        <x:v>按执行角色权限读取；策略只能使用可访问快照</x:v>
      </x:c>
    </x:row>
    <x:row r="1803" ht="32" customHeight="1">
      <x:c r="A1803" s="30" t="str">
        <x:v>A020</x:v>
      </x:c>
      <x:c r="B1803" s="30" t="str">
        <x:v>F111</x:v>
      </x:c>
      <x:c r="C1803" s="30" t="str">
        <x:v>platform.current_action_id</x:v>
      </x:c>
      <x:c r="D1803" s="30" t="str">
        <x:v>候选输入schema</x:v>
      </x:c>
      <x:c r="E1803" s="30" t="str">
        <x:v>按执行角色权限读取；策略只能使用可访问快照</x:v>
      </x:c>
    </x:row>
    <x:row r="1804" ht="32" customHeight="1">
      <x:c r="A1804" s="30" t="str">
        <x:v>A020</x:v>
      </x:c>
      <x:c r="B1804" s="30" t="str">
        <x:v>F112</x:v>
      </x:c>
      <x:c r="C1804" s="30" t="str">
        <x:v>platform.busy_until_est_s</x:v>
      </x:c>
      <x:c r="D1804" s="30" t="str">
        <x:v>候选输入schema</x:v>
      </x:c>
      <x:c r="E1804" s="30" t="str">
        <x:v>按执行角色权限读取；策略只能使用可访问快照</x:v>
      </x:c>
    </x:row>
    <x:row r="1805" ht="32" customHeight="1">
      <x:c r="A1805" s="30" t="str">
        <x:v>A020</x:v>
      </x:c>
      <x:c r="B1805" s="30" t="str">
        <x:v>F113</x:v>
      </x:c>
      <x:c r="C1805" s="30" t="str">
        <x:v>platform.return_site_id</x:v>
      </x:c>
      <x:c r="D1805" s="30" t="str">
        <x:v>候选输入schema</x:v>
      </x:c>
      <x:c r="E1805" s="30" t="str">
        <x:v>按执行角色权限读取；策略只能使用可访问快照</x:v>
      </x:c>
    </x:row>
    <x:row r="1806" ht="32" customHeight="1">
      <x:c r="A1806" s="30" t="str">
        <x:v>A020</x:v>
      </x:c>
      <x:c r="B1806" s="30" t="str">
        <x:v>F114</x:v>
      </x:c>
      <x:c r="C1806" s="30" t="str">
        <x:v>platform.water_tolerance_m</x:v>
      </x:c>
      <x:c r="D1806" s="30" t="str">
        <x:v>候选输入schema</x:v>
      </x:c>
      <x:c r="E1806" s="30" t="str">
        <x:v>按执行角色权限读取；策略只能使用可访问快照</x:v>
      </x:c>
    </x:row>
    <x:row r="1807" ht="32" customHeight="1">
      <x:c r="A1807" s="30" t="str">
        <x:v>A020</x:v>
      </x:c>
      <x:c r="B1807" s="30" t="str">
        <x:v>F115</x:v>
      </x:c>
      <x:c r="C1807" s="30" t="str">
        <x:v>platform.concurrency_policy</x:v>
      </x:c>
      <x:c r="D1807" s="30" t="str">
        <x:v>候选输入schema</x:v>
      </x:c>
      <x:c r="E1807" s="30" t="str">
        <x:v>按执行角色权限读取；策略只能使用可访问快照</x:v>
      </x:c>
    </x:row>
    <x:row r="1808" ht="32" customHeight="1">
      <x:c r="A1808" s="30" t="str">
        <x:v>A020</x:v>
      </x:c>
      <x:c r="B1808" s="30" t="str">
        <x:v>F116</x:v>
      </x:c>
      <x:c r="C1808" s="30" t="str">
        <x:v>equipment.kind</x:v>
      </x:c>
      <x:c r="D1808" s="30" t="str">
        <x:v>候选输入schema</x:v>
      </x:c>
      <x:c r="E1808" s="30" t="str">
        <x:v>按执行角色权限读取；策略只能使用可访问快照</x:v>
      </x:c>
    </x:row>
    <x:row r="1809" ht="32" customHeight="1">
      <x:c r="A1809" s="30" t="str">
        <x:v>A020</x:v>
      </x:c>
      <x:c r="B1809" s="30" t="str">
        <x:v>F117</x:v>
      </x:c>
      <x:c r="C1809" s="30" t="str">
        <x:v>equipment.enabled</x:v>
      </x:c>
      <x:c r="D1809" s="30" t="str">
        <x:v>候选输入schema</x:v>
      </x:c>
      <x:c r="E1809" s="30" t="str">
        <x:v>按执行角色权限读取；策略只能使用可访问快照</x:v>
      </x:c>
    </x:row>
    <x:row r="1810" ht="32" customHeight="1">
      <x:c r="A1810" s="30" t="str">
        <x:v>A020</x:v>
      </x:c>
      <x:c r="B1810" s="30" t="str">
        <x:v>F118</x:v>
      </x:c>
      <x:c r="C1810" s="30" t="str">
        <x:v>equipment.health</x:v>
      </x:c>
      <x:c r="D1810" s="30" t="str">
        <x:v>候选输入schema</x:v>
      </x:c>
      <x:c r="E1810" s="30" t="str">
        <x:v>按执行角色权限读取；策略只能使用可访问快照</x:v>
      </x:c>
    </x:row>
    <x:row r="1811" ht="32" customHeight="1">
      <x:c r="A1811" s="30" t="str">
        <x:v>A020</x:v>
      </x:c>
      <x:c r="B1811" s="30" t="str">
        <x:v>F119</x:v>
      </x:c>
      <x:c r="C1811" s="30" t="str">
        <x:v>equipment.rated_load_kg</x:v>
      </x:c>
      <x:c r="D1811" s="30" t="str">
        <x:v>候选输入schema</x:v>
      </x:c>
      <x:c r="E1811" s="30" t="str">
        <x:v>按执行角色权限读取；策略只能使用可访问快照</x:v>
      </x:c>
    </x:row>
    <x:row r="1812" ht="32" customHeight="1">
      <x:c r="A1812" s="30" t="str">
        <x:v>A020</x:v>
      </x:c>
      <x:c r="B1812" s="30" t="str">
        <x:v>F120</x:v>
      </x:c>
      <x:c r="C1812" s="30" t="str">
        <x:v>equipment.reach_m</x:v>
      </x:c>
      <x:c r="D1812" s="30" t="str">
        <x:v>候选输入schema</x:v>
      </x:c>
      <x:c r="E1812" s="30" t="str">
        <x:v>按执行角色权限读取；策略只能使用可访问快照</x:v>
      </x:c>
    </x:row>
    <x:row r="1813" ht="32" customHeight="1">
      <x:c r="A1813" s="30" t="str">
        <x:v>A020</x:v>
      </x:c>
      <x:c r="B1813" s="30" t="str">
        <x:v>F121</x:v>
      </x:c>
      <x:c r="C1813" s="30" t="str">
        <x:v>equipment.compatible_materials</x:v>
      </x:c>
      <x:c r="D1813" s="30" t="str">
        <x:v>候选输入schema</x:v>
      </x:c>
      <x:c r="E1813" s="30" t="str">
        <x:v>按执行角色权限读取；策略只能使用可访问快照</x:v>
      </x:c>
    </x:row>
    <x:row r="1814" ht="32" customHeight="1">
      <x:c r="A1814" s="30" t="str">
        <x:v>A020</x:v>
      </x:c>
      <x:c r="B1814" s="30" t="str">
        <x:v>F122</x:v>
      </x:c>
      <x:c r="C1814" s="30" t="str">
        <x:v>equipment.tool_size</x:v>
      </x:c>
      <x:c r="D1814" s="30" t="str">
        <x:v>候选输入schema</x:v>
      </x:c>
      <x:c r="E1814" s="30" t="str">
        <x:v>按执行角色权限读取；策略只能使用可访问快照</x:v>
      </x:c>
    </x:row>
    <x:row r="1815" ht="32" customHeight="1">
      <x:c r="A1815" s="30" t="str">
        <x:v>A020</x:v>
      </x:c>
      <x:c r="B1815" s="30" t="str">
        <x:v>F123</x:v>
      </x:c>
      <x:c r="C1815" s="30" t="str">
        <x:v>equipment.consumable_type</x:v>
      </x:c>
      <x:c r="D1815" s="30" t="str">
        <x:v>候选输入schema</x:v>
      </x:c>
      <x:c r="E1815" s="30" t="str">
        <x:v>按执行角色权限读取；策略只能使用可访问快照</x:v>
      </x:c>
    </x:row>
    <x:row r="1816" ht="32" customHeight="1">
      <x:c r="A1816" s="30" t="str">
        <x:v>A020</x:v>
      </x:c>
      <x:c r="B1816" s="30" t="str">
        <x:v>F124</x:v>
      </x:c>
      <x:c r="C1816" s="30" t="str">
        <x:v>equipment.consumable_remaining</x:v>
      </x:c>
      <x:c r="D1816" s="30" t="str">
        <x:v>候选输入schema</x:v>
      </x:c>
      <x:c r="E1816" s="30" t="str">
        <x:v>按执行角色权限读取；策略只能使用可访问快照</x:v>
      </x:c>
    </x:row>
    <x:row r="1817" ht="32" customHeight="1">
      <x:c r="A1817" s="30" t="str">
        <x:v>A020</x:v>
      </x:c>
      <x:c r="B1817" s="30" t="str">
        <x:v>F125</x:v>
      </x:c>
      <x:c r="C1817" s="30" t="str">
        <x:v>equipment.operator_authority</x:v>
      </x:c>
      <x:c r="D1817" s="30" t="str">
        <x:v>候选输入schema</x:v>
      </x:c>
      <x:c r="E1817" s="30" t="str">
        <x:v>按执行角色权限读取；策略只能使用可访问快照</x:v>
      </x:c>
    </x:row>
    <x:row r="1818" ht="32" customHeight="1">
      <x:c r="A1818" s="30" t="str">
        <x:v>A020</x:v>
      </x:c>
      <x:c r="B1818" s="30" t="str">
        <x:v>F126</x:v>
      </x:c>
      <x:c r="C1818" s="30" t="str">
        <x:v>equipment.setup_state</x:v>
      </x:c>
      <x:c r="D1818" s="30" t="str">
        <x:v>候选输入schema</x:v>
      </x:c>
      <x:c r="E1818" s="30" t="str">
        <x:v>按执行角色权限读取；策略只能使用可访问快照</x:v>
      </x:c>
    </x:row>
    <x:row r="1819" ht="32" customHeight="1">
      <x:c r="A1819" s="30" t="str">
        <x:v>A020</x:v>
      </x:c>
      <x:c r="B1819" s="30" t="str">
        <x:v>F127</x:v>
      </x:c>
      <x:c r="C1819" s="30" t="str">
        <x:v>equipment.busy_action_id</x:v>
      </x:c>
      <x:c r="D1819" s="30" t="str">
        <x:v>候选输入schema</x:v>
      </x:c>
      <x:c r="E1819" s="30" t="str">
        <x:v>按执行角色权限读取；策略只能使用可访问快照</x:v>
      </x:c>
    </x:row>
    <x:row r="1820" ht="32" customHeight="1">
      <x:c r="A1820" s="30" t="str">
        <x:v>A020</x:v>
      </x:c>
      <x:c r="B1820" s="30" t="str">
        <x:v>F230</x:v>
      </x:c>
      <x:c r="C1820" s="30" t="str">
        <x:v>action.type</x:v>
      </x:c>
      <x:c r="D1820" s="30" t="str">
        <x:v>候选输入schema</x:v>
      </x:c>
      <x:c r="E1820" s="30" t="str">
        <x:v>按执行角色权限读取；策略只能使用可访问快照</x:v>
      </x:c>
    </x:row>
    <x:row r="1821" ht="32" customHeight="1">
      <x:c r="A1821" s="30" t="str">
        <x:v>A020</x:v>
      </x:c>
      <x:c r="B1821" s="30" t="str">
        <x:v>F231</x:v>
      </x:c>
      <x:c r="C1821" s="30" t="str">
        <x:v>action.executor_id</x:v>
      </x:c>
      <x:c r="D1821" s="30" t="str">
        <x:v>候选输入schema</x:v>
      </x:c>
      <x:c r="E1821" s="30" t="str">
        <x:v>按执行角色权限读取；策略只能使用可访问快照</x:v>
      </x:c>
    </x:row>
    <x:row r="1822" ht="32" customHeight="1">
      <x:c r="A1822" s="30" t="str">
        <x:v>A020</x:v>
      </x:c>
      <x:c r="B1822" s="30" t="str">
        <x:v>F232</x:v>
      </x:c>
      <x:c r="C1822" s="30" t="str">
        <x:v>action.task_ref</x:v>
      </x:c>
      <x:c r="D1822" s="30" t="str">
        <x:v>候选输入schema</x:v>
      </x:c>
      <x:c r="E1822" s="30" t="str">
        <x:v>按执行角色权限读取；策略只能使用可访问快照</x:v>
      </x:c>
    </x:row>
    <x:row r="1823" ht="32" customHeight="1">
      <x:c r="A1823" s="30" t="str">
        <x:v>A020</x:v>
      </x:c>
      <x:c r="B1823" s="30" t="str">
        <x:v>F233</x:v>
      </x:c>
      <x:c r="C1823" s="30" t="str">
        <x:v>action.target_ref</x:v>
      </x:c>
      <x:c r="D1823" s="30" t="str">
        <x:v>候选输入schema</x:v>
      </x:c>
      <x:c r="E1823" s="30" t="str">
        <x:v>按执行角色权限读取；策略只能使用可访问快照</x:v>
      </x:c>
    </x:row>
    <x:row r="1824" ht="32" customHeight="1">
      <x:c r="A1824" s="30" t="str">
        <x:v>A020</x:v>
      </x:c>
      <x:c r="B1824" s="30" t="str">
        <x:v>F234</x:v>
      </x:c>
      <x:c r="C1824" s="30" t="str">
        <x:v>action.parameters</x:v>
      </x:c>
      <x:c r="D1824" s="30" t="str">
        <x:v>候选输入schema</x:v>
      </x:c>
      <x:c r="E1824" s="30" t="str">
        <x:v>按执行角色权限读取；策略只能使用可访问快照</x:v>
      </x:c>
    </x:row>
    <x:row r="1825" ht="32" customHeight="1">
      <x:c r="A1825" s="30" t="str">
        <x:v>A020</x:v>
      </x:c>
      <x:c r="B1825" s="30" t="str">
        <x:v>F235</x:v>
      </x:c>
      <x:c r="C1825" s="30" t="str">
        <x:v>action.status</x:v>
      </x:c>
      <x:c r="D1825" s="30" t="str">
        <x:v>候选输入schema</x:v>
      </x:c>
      <x:c r="E1825" s="30" t="str">
        <x:v>按执行角色权限读取；策略只能使用可访问快照</x:v>
      </x:c>
    </x:row>
    <x:row r="1826" ht="32" customHeight="1">
      <x:c r="A1826" s="30" t="str">
        <x:v>A020</x:v>
      </x:c>
      <x:c r="B1826" s="30" t="str">
        <x:v>F236</x:v>
      </x:c>
      <x:c r="C1826" s="30" t="str">
        <x:v>action.start_s</x:v>
      </x:c>
      <x:c r="D1826" s="30" t="str">
        <x:v>候选输入schema</x:v>
      </x:c>
      <x:c r="E1826" s="30" t="str">
        <x:v>按执行角色权限读取；策略只能使用可访问快照</x:v>
      </x:c>
    </x:row>
    <x:row r="1827" ht="32" customHeight="1">
      <x:c r="A1827" s="30" t="str">
        <x:v>A020</x:v>
      </x:c>
      <x:c r="B1827" s="30" t="str">
        <x:v>F237</x:v>
      </x:c>
      <x:c r="C1827" s="30" t="str">
        <x:v>action.finish_s</x:v>
      </x:c>
      <x:c r="D1827" s="30" t="str">
        <x:v>候选输入schema</x:v>
      </x:c>
      <x:c r="E1827" s="30" t="str">
        <x:v>按执行角色权限读取；策略只能使用可访问快照</x:v>
      </x:c>
    </x:row>
    <x:row r="1828" ht="32" customHeight="1">
      <x:c r="A1828" s="30" t="str">
        <x:v>A020</x:v>
      </x:c>
      <x:c r="B1828" s="30" t="str">
        <x:v>F238</x:v>
      </x:c>
      <x:c r="C1828" s="30" t="str">
        <x:v>action.reserved_resources</x:v>
      </x:c>
      <x:c r="D1828" s="30" t="str">
        <x:v>候选输入schema</x:v>
      </x:c>
      <x:c r="E1828" s="30" t="str">
        <x:v>按执行角色权限读取；策略只能使用可访问快照</x:v>
      </x:c>
    </x:row>
    <x:row r="1829" ht="32" customHeight="1">
      <x:c r="A1829" s="30" t="str">
        <x:v>A020</x:v>
      </x:c>
      <x:c r="B1829" s="30" t="str">
        <x:v>F239</x:v>
      </x:c>
      <x:c r="C1829" s="30" t="str">
        <x:v>action.consumed_resources</x:v>
      </x:c>
      <x:c r="D1829" s="30" t="str">
        <x:v>候选输入schema</x:v>
      </x:c>
      <x:c r="E1829" s="30" t="str">
        <x:v>按执行角色权限读取；策略只能使用可访问快照</x:v>
      </x:c>
    </x:row>
    <x:row r="1830" ht="32" customHeight="1">
      <x:c r="A1830" s="30" t="str">
        <x:v>A020</x:v>
      </x:c>
      <x:c r="B1830" s="30" t="str">
        <x:v>F240</x:v>
      </x:c>
      <x:c r="C1830" s="30" t="str">
        <x:v>action.feedback</x:v>
      </x:c>
      <x:c r="D1830" s="30" t="str">
        <x:v>候选输入schema</x:v>
      </x:c>
      <x:c r="E1830" s="30" t="str">
        <x:v>按执行角色权限读取；策略只能使用可访问快照</x:v>
      </x:c>
    </x:row>
    <x:row r="1831" ht="32" customHeight="1">
      <x:c r="A1831" s="30" t="str">
        <x:v>A020</x:v>
      </x:c>
      <x:c r="B1831" s="30" t="str">
        <x:v>F241</x:v>
      </x:c>
      <x:c r="C1831" s="30" t="str">
        <x:v>action.result</x:v>
      </x:c>
      <x:c r="D1831" s="30" t="str">
        <x:v>候选输入schema</x:v>
      </x:c>
      <x:c r="E1831" s="30" t="str">
        <x:v>按执行角色权限读取；策略只能使用可访问快照</x:v>
      </x:c>
    </x:row>
    <x:row r="1832" ht="32" customHeight="1">
      <x:c r="A1832" s="30" t="str">
        <x:v>A020</x:v>
      </x:c>
      <x:c r="B1832" s="30" t="str">
        <x:v>F242</x:v>
      </x:c>
      <x:c r="C1832" s="30" t="str">
        <x:v>action.rejection_code</x:v>
      </x:c>
      <x:c r="D1832" s="30" t="str">
        <x:v>候选输入schema</x:v>
      </x:c>
      <x:c r="E1832" s="30" t="str">
        <x:v>按执行角色权限读取；策略只能使用可访问快照</x:v>
      </x:c>
    </x:row>
    <x:row r="1833" ht="32" customHeight="1">
      <x:c r="A1833" s="30" t="str">
        <x:v>A020</x:v>
      </x:c>
      <x:c r="B1833" s="30" t="str">
        <x:v>F243</x:v>
      </x:c>
      <x:c r="C1833" s="30" t="str">
        <x:v>action.failure_code</x:v>
      </x:c>
      <x:c r="D1833" s="30" t="str">
        <x:v>候选输入schema</x:v>
      </x:c>
      <x:c r="E1833" s="30" t="str">
        <x:v>按执行角色权限读取；策略只能使用可访问快照</x:v>
      </x:c>
    </x:row>
    <x:row r="1834" ht="32" customHeight="1">
      <x:c r="A1834" s="30" t="str">
        <x:v>A020</x:v>
      </x:c>
      <x:c r="B1834" s="30" t="str">
        <x:v>F244</x:v>
      </x:c>
      <x:c r="C1834" s="30" t="str">
        <x:v>action.cancel_requested</x:v>
      </x:c>
      <x:c r="D1834" s="30" t="str">
        <x:v>候选输入schema</x:v>
      </x:c>
      <x:c r="E1834" s="30" t="str">
        <x:v>按执行角色权限读取；策略只能使用可访问快照</x:v>
      </x:c>
    </x:row>
    <x:row r="1835" ht="32" customHeight="1">
      <x:c r="A1835" s="30" t="str">
        <x:v>A020</x:v>
      </x:c>
      <x:c r="B1835" s="30" t="str">
        <x:v>F245</x:v>
      </x:c>
      <x:c r="C1835" s="30" t="str">
        <x:v>action.backend_mode</x:v>
      </x:c>
      <x:c r="D1835" s="30" t="str">
        <x:v>候选输入schema</x:v>
      </x:c>
      <x:c r="E1835" s="30" t="str">
        <x:v>按执行角色权限读取；策略只能使用可访问快照</x:v>
      </x:c>
    </x:row>
    <x:row r="1836" ht="32" customHeight="1">
      <x:c r="A1836" s="30" t="str">
        <x:v>A020</x:v>
      </x:c>
      <x:c r="B1836" s="30" t="str">
        <x:v>F083</x:v>
      </x:c>
      <x:c r="C1836" s="30" t="str">
        <x:v>human.carrier_id</x:v>
      </x:c>
      <x:c r="D1836" s="30" t="str">
        <x:v>直接效果</x:v>
      </x:c>
      <x:c r="E1836" s="30" t="str">
        <x:v>经实际执行/回执提交；不是规划时提前修改</x:v>
      </x:c>
    </x:row>
    <x:row r="1837" ht="32" customHeight="1">
      <x:c r="A1837" s="30" t="str">
        <x:v>A020</x:v>
      </x:c>
      <x:c r="B1837" s="30" t="str">
        <x:v>F071</x:v>
      </x:c>
      <x:c r="C1837" s="30" t="str">
        <x:v>human.location_context</x:v>
      </x:c>
      <x:c r="D1837" s="30" t="str">
        <x:v>直接效果</x:v>
      </x:c>
      <x:c r="E1837" s="30" t="str">
        <x:v>经实际执行/回执提交；不是规划时提前修改</x:v>
      </x:c>
    </x:row>
    <x:row r="1838" ht="32" customHeight="1">
      <x:c r="A1838" s="30" t="str">
        <x:v>A021</x:v>
      </x:c>
      <x:c r="B1838" s="30" t="str">
        <x:v>F010</x:v>
      </x:c>
      <x:c r="C1838" s="30" t="str">
        <x:v>hazard.kind</x:v>
      </x:c>
      <x:c r="D1838" s="30" t="str">
        <x:v>候选输入schema</x:v>
      </x:c>
      <x:c r="E1838" s="30" t="str">
        <x:v>按执行角色权限读取；策略只能使用可访问快照</x:v>
      </x:c>
    </x:row>
    <x:row r="1839" ht="32" customHeight="1">
      <x:c r="A1839" s="30" t="str">
        <x:v>A021</x:v>
      </x:c>
      <x:c r="B1839" s="30" t="str">
        <x:v>F011</x:v>
      </x:c>
      <x:c r="C1839" s="30" t="str">
        <x:v>hazard.footprint</x:v>
      </x:c>
      <x:c r="D1839" s="30" t="str">
        <x:v>候选输入schema</x:v>
      </x:c>
      <x:c r="E1839" s="30" t="str">
        <x:v>按执行角色权限读取；策略只能使用可访问快照</x:v>
      </x:c>
    </x:row>
    <x:row r="1840" ht="32" customHeight="1">
      <x:c r="A1840" s="30" t="str">
        <x:v>A021</x:v>
      </x:c>
      <x:c r="B1840" s="30" t="str">
        <x:v>F012</x:v>
      </x:c>
      <x:c r="C1840" s="30" t="str">
        <x:v>hazard.intensity</x:v>
      </x:c>
      <x:c r="D1840" s="30" t="str">
        <x:v>候选输入schema</x:v>
      </x:c>
      <x:c r="E1840" s="30" t="str">
        <x:v>按执行角色权限读取；策略只能使用可访问快照</x:v>
      </x:c>
    </x:row>
    <x:row r="1841" ht="32" customHeight="1">
      <x:c r="A1841" s="30" t="str">
        <x:v>A021</x:v>
      </x:c>
      <x:c r="B1841" s="30" t="str">
        <x:v>F013</x:v>
      </x:c>
      <x:c r="C1841" s="30" t="str">
        <x:v>hazard.active</x:v>
      </x:c>
      <x:c r="D1841" s="30" t="str">
        <x:v>候选输入schema</x:v>
      </x:c>
      <x:c r="E1841" s="30" t="str">
        <x:v>按执行角色权限读取；策略只能使用可访问快照</x:v>
      </x:c>
    </x:row>
    <x:row r="1842" ht="32" customHeight="1">
      <x:c r="A1842" s="30" t="str">
        <x:v>A021</x:v>
      </x:c>
      <x:c r="B1842" s="30" t="str">
        <x:v>F014</x:v>
      </x:c>
      <x:c r="C1842" s="30" t="str">
        <x:v>hazard.water_depth_m</x:v>
      </x:c>
      <x:c r="D1842" s="30" t="str">
        <x:v>候选输入schema</x:v>
      </x:c>
      <x:c r="E1842" s="30" t="str">
        <x:v>按执行角色权限读取；策略只能使用可访问快照</x:v>
      </x:c>
    </x:row>
    <x:row r="1843" ht="32" customHeight="1">
      <x:c r="A1843" s="30" t="str">
        <x:v>A021</x:v>
      </x:c>
      <x:c r="B1843" s="30" t="str">
        <x:v>F015</x:v>
      </x:c>
      <x:c r="C1843" s="30" t="str">
        <x:v>hazard.flow_speed_mps</x:v>
      </x:c>
      <x:c r="D1843" s="30" t="str">
        <x:v>候选输入schema</x:v>
      </x:c>
      <x:c r="E1843" s="30" t="str">
        <x:v>按执行角色权限读取；策略只能使用可访问快照</x:v>
      </x:c>
    </x:row>
    <x:row r="1844" ht="32" customHeight="1">
      <x:c r="A1844" s="30" t="str">
        <x:v>A021</x:v>
      </x:c>
      <x:c r="B1844" s="30" t="str">
        <x:v>F016</x:v>
      </x:c>
      <x:c r="C1844" s="30" t="str">
        <x:v>hazard.smoke_density</x:v>
      </x:c>
      <x:c r="D1844" s="30" t="str">
        <x:v>候选输入schema</x:v>
      </x:c>
      <x:c r="E1844" s="30" t="str">
        <x:v>按执行角色权限读取；策略只能使用可访问快照</x:v>
      </x:c>
    </x:row>
    <x:row r="1845" ht="32" customHeight="1">
      <x:c r="A1845" s="30" t="str">
        <x:v>A021</x:v>
      </x:c>
      <x:c r="B1845" s="30" t="str">
        <x:v>F017</x:v>
      </x:c>
      <x:c r="C1845" s="30" t="str">
        <x:v>hazard.fire_intensity</x:v>
      </x:c>
      <x:c r="D1845" s="30" t="str">
        <x:v>候选输入schema</x:v>
      </x:c>
      <x:c r="E1845" s="30" t="str">
        <x:v>按执行角色权限读取；策略只能使用可访问快照</x:v>
      </x:c>
    </x:row>
    <x:row r="1846" ht="32" customHeight="1">
      <x:c r="A1846" s="30" t="str">
        <x:v>A021</x:v>
      </x:c>
      <x:c r="B1846" s="30" t="str">
        <x:v>F018</x:v>
      </x:c>
      <x:c r="C1846" s="30" t="str">
        <x:v>hazard.gas_level</x:v>
      </x:c>
      <x:c r="D1846" s="30" t="str">
        <x:v>候选输入schema</x:v>
      </x:c>
      <x:c r="E1846" s="30" t="str">
        <x:v>按执行角色权限读取；策略只能使用可访问快照</x:v>
      </x:c>
    </x:row>
    <x:row r="1847" ht="32" customHeight="1">
      <x:c r="A1847" s="30" t="str">
        <x:v>A021</x:v>
      </x:c>
      <x:c r="B1847" s="30" t="str">
        <x:v>F019</x:v>
      </x:c>
      <x:c r="C1847" s="30" t="str">
        <x:v>hazard.wind_mps</x:v>
      </x:c>
      <x:c r="D1847" s="30" t="str">
        <x:v>候选输入schema</x:v>
      </x:c>
      <x:c r="E1847" s="30" t="str">
        <x:v>按执行角色权限读取；策略只能使用可访问快照</x:v>
      </x:c>
    </x:row>
    <x:row r="1848" ht="32" customHeight="1">
      <x:c r="A1848" s="30" t="str">
        <x:v>A021</x:v>
      </x:c>
      <x:c r="B1848" s="30" t="str">
        <x:v>F020</x:v>
      </x:c>
      <x:c r="C1848" s="30" t="str">
        <x:v>hazard.visibility_m</x:v>
      </x:c>
      <x:c r="D1848" s="30" t="str">
        <x:v>候选输入schema</x:v>
      </x:c>
      <x:c r="E1848" s="30" t="str">
        <x:v>按执行角色权限读取；策略只能使用可访问快照</x:v>
      </x:c>
    </x:row>
    <x:row r="1849" ht="32" customHeight="1">
      <x:c r="A1849" s="30" t="str">
        <x:v>A021</x:v>
      </x:c>
      <x:c r="B1849" s="30" t="str">
        <x:v>F021</x:v>
      </x:c>
      <x:c r="C1849" s="30" t="str">
        <x:v>hazard.weather</x:v>
      </x:c>
      <x:c r="D1849" s="30" t="str">
        <x:v>候选输入schema</x:v>
      </x:c>
      <x:c r="E1849" s="30" t="str">
        <x:v>按执行角色权限读取；策略只能使用可访问快照</x:v>
      </x:c>
    </x:row>
    <x:row r="1850" ht="32" customHeight="1">
      <x:c r="A1850" s="30" t="str">
        <x:v>A021</x:v>
      </x:c>
      <x:c r="B1850" s="30" t="str">
        <x:v>F022</x:v>
      </x:c>
      <x:c r="C1850" s="30" t="str">
        <x:v>hazard.illumination</x:v>
      </x:c>
      <x:c r="D1850" s="30" t="str">
        <x:v>候选输入schema</x:v>
      </x:c>
      <x:c r="E1850" s="30" t="str">
        <x:v>按执行角色权限读取；策略只能使用可访问快照</x:v>
      </x:c>
    </x:row>
    <x:row r="1851" ht="32" customHeight="1">
      <x:c r="A1851" s="30" t="str">
        <x:v>A021</x:v>
      </x:c>
      <x:c r="B1851" s="30" t="str">
        <x:v>F023</x:v>
      </x:c>
      <x:c r="C1851" s="30" t="str">
        <x:v>hazard.secondary_event</x:v>
      </x:c>
      <x:c r="D1851" s="30" t="str">
        <x:v>候选输入schema</x:v>
      </x:c>
      <x:c r="E1851" s="30" t="str">
        <x:v>按执行角色权限读取；策略只能使用可访问快照</x:v>
      </x:c>
    </x:row>
    <x:row r="1852" ht="32" customHeight="1">
      <x:c r="A1852" s="30" t="str">
        <x:v>A021</x:v>
      </x:c>
      <x:c r="B1852" s="30" t="str">
        <x:v>F024</x:v>
      </x:c>
      <x:c r="C1852" s="30" t="str">
        <x:v>hazard.exclusion_zone</x:v>
      </x:c>
      <x:c r="D1852" s="30" t="str">
        <x:v>候选输入schema</x:v>
      </x:c>
      <x:c r="E1852" s="30" t="str">
        <x:v>按执行角色权限读取；策略只能使用可访问快照</x:v>
      </x:c>
    </x:row>
    <x:row r="1853" ht="32" customHeight="1">
      <x:c r="A1853" s="30" t="str">
        <x:v>A021</x:v>
      </x:c>
      <x:c r="B1853" s="30" t="str">
        <x:v>F025</x:v>
      </x:c>
      <x:c r="C1853" s="30" t="str">
        <x:v>hazard.expiry_s</x:v>
      </x:c>
      <x:c r="D1853" s="30" t="str">
        <x:v>候选输入schema</x:v>
      </x:c>
      <x:c r="E1853" s="30" t="str">
        <x:v>按执行角色权限读取；策略只能使用可访问快照</x:v>
      </x:c>
    </x:row>
    <x:row r="1854" ht="32" customHeight="1">
      <x:c r="A1854" s="30" t="str">
        <x:v>A021</x:v>
      </x:c>
      <x:c r="B1854" s="30" t="str">
        <x:v>F044</x:v>
      </x:c>
      <x:c r="C1854" s="30" t="str">
        <x:v>road.centerline</x:v>
      </x:c>
      <x:c r="D1854" s="30" t="str">
        <x:v>候选输入schema</x:v>
      </x:c>
      <x:c r="E1854" s="30" t="str">
        <x:v>按执行角色权限读取；策略只能使用可访问快照</x:v>
      </x:c>
    </x:row>
    <x:row r="1855" ht="32" customHeight="1">
      <x:c r="A1855" s="30" t="str">
        <x:v>A021</x:v>
      </x:c>
      <x:c r="B1855" s="30" t="str">
        <x:v>F045</x:v>
      </x:c>
      <x:c r="C1855" s="30" t="str">
        <x:v>road.width_m</x:v>
      </x:c>
      <x:c r="D1855" s="30" t="str">
        <x:v>候选输入schema</x:v>
      </x:c>
      <x:c r="E1855" s="30" t="str">
        <x:v>按执行角色权限读取；策略只能使用可访问快照</x:v>
      </x:c>
    </x:row>
    <x:row r="1856" ht="32" customHeight="1">
      <x:c r="A1856" s="30" t="str">
        <x:v>A021</x:v>
      </x:c>
      <x:c r="B1856" s="30" t="str">
        <x:v>F046</x:v>
      </x:c>
      <x:c r="C1856" s="30" t="str">
        <x:v>road.surface</x:v>
      </x:c>
      <x:c r="D1856" s="30" t="str">
        <x:v>候选输入schema</x:v>
      </x:c>
      <x:c r="E1856" s="30" t="str">
        <x:v>按执行角色权限读取；策略只能使用可访问快照</x:v>
      </x:c>
    </x:row>
    <x:row r="1857" ht="32" customHeight="1">
      <x:c r="A1857" s="30" t="str">
        <x:v>A021</x:v>
      </x:c>
      <x:c r="B1857" s="30" t="str">
        <x:v>F047</x:v>
      </x:c>
      <x:c r="C1857" s="30" t="str">
        <x:v>road.from_node</x:v>
      </x:c>
      <x:c r="D1857" s="30" t="str">
        <x:v>候选输入schema</x:v>
      </x:c>
      <x:c r="E1857" s="30" t="str">
        <x:v>按执行角色权限读取；策略只能使用可访问快照</x:v>
      </x:c>
    </x:row>
    <x:row r="1858" ht="32" customHeight="1">
      <x:c r="A1858" s="30" t="str">
        <x:v>A021</x:v>
      </x:c>
      <x:c r="B1858" s="30" t="str">
        <x:v>F048</x:v>
      </x:c>
      <x:c r="C1858" s="30" t="str">
        <x:v>road.to_node</x:v>
      </x:c>
      <x:c r="D1858" s="30" t="str">
        <x:v>候选输入schema</x:v>
      </x:c>
      <x:c r="E1858" s="30" t="str">
        <x:v>按执行角色权限读取；策略只能使用可访问快照</x:v>
      </x:c>
    </x:row>
    <x:row r="1859" ht="32" customHeight="1">
      <x:c r="A1859" s="30" t="str">
        <x:v>A021</x:v>
      </x:c>
      <x:c r="B1859" s="30" t="str">
        <x:v>F049</x:v>
      </x:c>
      <x:c r="C1859" s="30" t="str">
        <x:v>road.obstacle_ids</x:v>
      </x:c>
      <x:c r="D1859" s="30" t="str">
        <x:v>候选输入schema</x:v>
      </x:c>
      <x:c r="E1859" s="30" t="str">
        <x:v>按执行角色权限读取；策略只能使用可访问快照</x:v>
      </x:c>
    </x:row>
    <x:row r="1860" ht="32" customHeight="1">
      <x:c r="A1860" s="30" t="str">
        <x:v>A021</x:v>
      </x:c>
      <x:c r="B1860" s="30" t="str">
        <x:v>F050</x:v>
      </x:c>
      <x:c r="C1860" s="30" t="str">
        <x:v>road.clear_width_m</x:v>
      </x:c>
      <x:c r="D1860" s="30" t="str">
        <x:v>候选输入schema</x:v>
      </x:c>
      <x:c r="E1860" s="30" t="str">
        <x:v>按执行角色权限读取；策略只能使用可访问快照</x:v>
      </x:c>
    </x:row>
    <x:row r="1861" ht="32" customHeight="1">
      <x:c r="A1861" s="30" t="str">
        <x:v>A021</x:v>
      </x:c>
      <x:c r="B1861" s="30" t="str">
        <x:v>F051</x:v>
      </x:c>
      <x:c r="C1861" s="30" t="str">
        <x:v>road.clear_height_m</x:v>
      </x:c>
      <x:c r="D1861" s="30" t="str">
        <x:v>候选输入schema</x:v>
      </x:c>
      <x:c r="E1861" s="30" t="str">
        <x:v>按执行角色权限读取；策略只能使用可访问快照</x:v>
      </x:c>
    </x:row>
    <x:row r="1862" ht="32" customHeight="1">
      <x:c r="A1862" s="30" t="str">
        <x:v>A021</x:v>
      </x:c>
      <x:c r="B1862" s="30" t="str">
        <x:v>F052</x:v>
      </x:c>
      <x:c r="C1862" s="30" t="str">
        <x:v>road.turn_radius_m</x:v>
      </x:c>
      <x:c r="D1862" s="30" t="str">
        <x:v>候选输入schema</x:v>
      </x:c>
      <x:c r="E1862" s="30" t="str">
        <x:v>按执行角色权限读取；策略只能使用可访问快照</x:v>
      </x:c>
    </x:row>
    <x:row r="1863" ht="32" customHeight="1">
      <x:c r="A1863" s="30" t="str">
        <x:v>A021</x:v>
      </x:c>
      <x:c r="B1863" s="30" t="str">
        <x:v>F053</x:v>
      </x:c>
      <x:c r="C1863" s="30" t="str">
        <x:v>road.step_height_m</x:v>
      </x:c>
      <x:c r="D1863" s="30" t="str">
        <x:v>候选输入schema</x:v>
      </x:c>
      <x:c r="E1863" s="30" t="str">
        <x:v>按执行角色权限读取；策略只能使用可访问快照</x:v>
      </x:c>
    </x:row>
    <x:row r="1864" ht="32" customHeight="1">
      <x:c r="A1864" s="30" t="str">
        <x:v>A021</x:v>
      </x:c>
      <x:c r="B1864" s="30" t="str">
        <x:v>F054</x:v>
      </x:c>
      <x:c r="C1864" s="30" t="str">
        <x:v>road.entry_state</x:v>
      </x:c>
      <x:c r="D1864" s="30" t="str">
        <x:v>候选输入schema</x:v>
      </x:c>
      <x:c r="E1864" s="30" t="str">
        <x:v>按执行角色权限读取；策略只能使用可访问快照</x:v>
      </x:c>
    </x:row>
    <x:row r="1865" ht="32" customHeight="1">
      <x:c r="A1865" s="30" t="str">
        <x:v>A021</x:v>
      </x:c>
      <x:c r="B1865" s="30" t="str">
        <x:v>F055</x:v>
      </x:c>
      <x:c r="C1865" s="30" t="str">
        <x:v>road.water_depth_m</x:v>
      </x:c>
      <x:c r="D1865" s="30" t="str">
        <x:v>候选输入schema</x:v>
      </x:c>
      <x:c r="E1865" s="30" t="str">
        <x:v>按执行角色权限读取；策略只能使用可访问快照</x:v>
      </x:c>
    </x:row>
    <x:row r="1866" ht="32" customHeight="1">
      <x:c r="A1866" s="30" t="str">
        <x:v>A021</x:v>
      </x:c>
      <x:c r="B1866" s="30" t="str">
        <x:v>F056</x:v>
      </x:c>
      <x:c r="C1866" s="30" t="str">
        <x:v>road.passability</x:v>
      </x:c>
      <x:c r="D1866" s="30" t="str">
        <x:v>候选输入schema</x:v>
      </x:c>
      <x:c r="E1866" s="30" t="str">
        <x:v>按执行角色权限读取；策略只能使用可访问快照</x:v>
      </x:c>
    </x:row>
    <x:row r="1867" ht="32" customHeight="1">
      <x:c r="A1867" s="30" t="str">
        <x:v>A021</x:v>
      </x:c>
      <x:c r="B1867" s="30" t="str">
        <x:v>F057</x:v>
      </x:c>
      <x:c r="C1867" s="30" t="str">
        <x:v>road.travel_cost</x:v>
      </x:c>
      <x:c r="D1867" s="30" t="str">
        <x:v>候选输入schema</x:v>
      </x:c>
      <x:c r="E1867" s="30" t="str">
        <x:v>按执行角色权限读取；策略只能使用可访问快照</x:v>
      </x:c>
    </x:row>
    <x:row r="1868" ht="32" customHeight="1">
      <x:c r="A1868" s="30" t="str">
        <x:v>A021</x:v>
      </x:c>
      <x:c r="B1868" s="30" t="str">
        <x:v>F058</x:v>
      </x:c>
      <x:c r="C1868" s="30" t="str">
        <x:v>road.topology_revision</x:v>
      </x:c>
      <x:c r="D1868" s="30" t="str">
        <x:v>候选输入schema</x:v>
      </x:c>
      <x:c r="E1868" s="30" t="str">
        <x:v>按执行角色权限读取；策略只能使用可访问快照</x:v>
      </x:c>
    </x:row>
    <x:row r="1869" ht="32" customHeight="1">
      <x:c r="A1869" s="30" t="str">
        <x:v>A021</x:v>
      </x:c>
      <x:c r="B1869" s="30" t="str">
        <x:v>F071</x:v>
      </x:c>
      <x:c r="C1869" s="30" t="str">
        <x:v>human.location_context</x:v>
      </x:c>
      <x:c r="D1869" s="30" t="str">
        <x:v>候选输入schema</x:v>
      </x:c>
      <x:c r="E1869" s="30" t="str">
        <x:v>按执行角色权限读取；策略只能使用可访问快照</x:v>
      </x:c>
    </x:row>
    <x:row r="1870" ht="32" customHeight="1">
      <x:c r="A1870" s="30" t="str">
        <x:v>A021</x:v>
      </x:c>
      <x:c r="B1870" s="30" t="str">
        <x:v>F072</x:v>
      </x:c>
      <x:c r="C1870" s="30" t="str">
        <x:v>human.alive</x:v>
      </x:c>
      <x:c r="D1870" s="30" t="str">
        <x:v>候选输入schema</x:v>
      </x:c>
      <x:c r="E1870" s="30" t="str">
        <x:v>按执行角色权限读取；策略只能使用可访问快照</x:v>
      </x:c>
    </x:row>
    <x:row r="1871" ht="32" customHeight="1">
      <x:c r="A1871" s="30" t="str">
        <x:v>A021</x:v>
      </x:c>
      <x:c r="B1871" s="30" t="str">
        <x:v>F073</x:v>
      </x:c>
      <x:c r="C1871" s="30" t="str">
        <x:v>human.injury</x:v>
      </x:c>
      <x:c r="D1871" s="30" t="str">
        <x:v>候选输入schema</x:v>
      </x:c>
      <x:c r="E1871" s="30" t="str">
        <x:v>按执行角色权限读取；策略只能使用可访问快照</x:v>
      </x:c>
    </x:row>
    <x:row r="1872" ht="32" customHeight="1">
      <x:c r="A1872" s="30" t="str">
        <x:v>A021</x:v>
      </x:c>
      <x:c r="B1872" s="30" t="str">
        <x:v>F074</x:v>
      </x:c>
      <x:c r="C1872" s="30" t="str">
        <x:v>human.mobility</x:v>
      </x:c>
      <x:c r="D1872" s="30" t="str">
        <x:v>候选输入schema</x:v>
      </x:c>
      <x:c r="E1872" s="30" t="str">
        <x:v>按执行角色权限读取；策略只能使用可访问快照</x:v>
      </x:c>
    </x:row>
    <x:row r="1873" ht="32" customHeight="1">
      <x:c r="A1873" s="30" t="str">
        <x:v>A021</x:v>
      </x:c>
      <x:c r="B1873" s="30" t="str">
        <x:v>F075</x:v>
      </x:c>
      <x:c r="C1873" s="30" t="str">
        <x:v>human.buriedness</x:v>
      </x:c>
      <x:c r="D1873" s="30" t="str">
        <x:v>候选输入schema</x:v>
      </x:c>
      <x:c r="E1873" s="30" t="str">
        <x:v>按执行角色权限读取；策略只能使用可访问快照</x:v>
      </x:c>
    </x:row>
    <x:row r="1874" ht="32" customHeight="1">
      <x:c r="A1874" s="30" t="str">
        <x:v>A021</x:v>
      </x:c>
      <x:c r="B1874" s="30" t="str">
        <x:v>F076</x:v>
      </x:c>
      <x:c r="C1874" s="30" t="str">
        <x:v>human.needs</x:v>
      </x:c>
      <x:c r="D1874" s="30" t="str">
        <x:v>候选输入schema</x:v>
      </x:c>
      <x:c r="E1874" s="30" t="str">
        <x:v>按执行角色权限读取；策略只能使用可访问快照</x:v>
      </x:c>
    </x:row>
    <x:row r="1875" ht="32" customHeight="1">
      <x:c r="A1875" s="30" t="str">
        <x:v>A021</x:v>
      </x:c>
      <x:c r="B1875" s="30" t="str">
        <x:v>F077</x:v>
      </x:c>
      <x:c r="C1875" s="30" t="str">
        <x:v>human.pose</x:v>
      </x:c>
      <x:c r="D1875" s="30" t="str">
        <x:v>候选输入schema</x:v>
      </x:c>
      <x:c r="E1875" s="30" t="str">
        <x:v>按执行角色权限读取；策略只能使用可访问快照</x:v>
      </x:c>
    </x:row>
    <x:row r="1876" ht="32" customHeight="1">
      <x:c r="A1876" s="30" t="str">
        <x:v>A021</x:v>
      </x:c>
      <x:c r="B1876" s="30" t="str">
        <x:v>F078</x:v>
      </x:c>
      <x:c r="C1876" s="30" t="str">
        <x:v>human.visibility_context</x:v>
      </x:c>
      <x:c r="D1876" s="30" t="str">
        <x:v>候选输入schema</x:v>
      </x:c>
      <x:c r="E1876" s="30" t="str">
        <x:v>按执行角色权限读取；策略只能使用可访问快照</x:v>
      </x:c>
    </x:row>
    <x:row r="1877" ht="32" customHeight="1">
      <x:c r="A1877" s="30" t="str">
        <x:v>A021</x:v>
      </x:c>
      <x:c r="B1877" s="30" t="str">
        <x:v>F079</x:v>
      </x:c>
      <x:c r="C1877" s="30" t="str">
        <x:v>human.distress_signal</x:v>
      </x:c>
      <x:c r="D1877" s="30" t="str">
        <x:v>候选输入schema</x:v>
      </x:c>
      <x:c r="E1877" s="30" t="str">
        <x:v>按执行角色权限读取；策略只能使用可访问快照</x:v>
      </x:c>
    </x:row>
    <x:row r="1878" ht="32" customHeight="1">
      <x:c r="A1878" s="30" t="str">
        <x:v>A021</x:v>
      </x:c>
      <x:c r="B1878" s="30" t="str">
        <x:v>F080</x:v>
      </x:c>
      <x:c r="C1878" s="30" t="str">
        <x:v>human.health_model</x:v>
      </x:c>
      <x:c r="D1878" s="30" t="str">
        <x:v>候选输入schema</x:v>
      </x:c>
      <x:c r="E1878" s="30" t="str">
        <x:v>按执行角色权限读取；策略只能使用可访问快照</x:v>
      </x:c>
    </x:row>
    <x:row r="1879" ht="32" customHeight="1">
      <x:c r="A1879" s="30" t="str">
        <x:v>A021</x:v>
      </x:c>
      <x:c r="B1879" s="30" t="str">
        <x:v>F081</x:v>
      </x:c>
      <x:c r="C1879" s="30" t="str">
        <x:v>human.health_value</x:v>
      </x:c>
      <x:c r="D1879" s="30" t="str">
        <x:v>候选输入schema</x:v>
      </x:c>
      <x:c r="E1879" s="30" t="str">
        <x:v>按执行角色权限读取；策略只能使用可访问快照</x:v>
      </x:c>
    </x:row>
    <x:row r="1880" ht="32" customHeight="1">
      <x:c r="A1880" s="30" t="str">
        <x:v>A021</x:v>
      </x:c>
      <x:c r="B1880" s="30" t="str">
        <x:v>F082</x:v>
      </x:c>
      <x:c r="C1880" s="30" t="str">
        <x:v>human.support_received</x:v>
      </x:c>
      <x:c r="D1880" s="30" t="str">
        <x:v>候选输入schema</x:v>
      </x:c>
      <x:c r="E1880" s="30" t="str">
        <x:v>按执行角色权限读取；策略只能使用可访问快照</x:v>
      </x:c>
    </x:row>
    <x:row r="1881" ht="32" customHeight="1">
      <x:c r="A1881" s="30" t="str">
        <x:v>A021</x:v>
      </x:c>
      <x:c r="B1881" s="30" t="str">
        <x:v>F083</x:v>
      </x:c>
      <x:c r="C1881" s="30" t="str">
        <x:v>human.carrier_id</x:v>
      </x:c>
      <x:c r="D1881" s="30" t="str">
        <x:v>候选输入schema</x:v>
      </x:c>
      <x:c r="E1881" s="30" t="str">
        <x:v>按执行角色权限读取；策略只能使用可访问快照</x:v>
      </x:c>
    </x:row>
    <x:row r="1882" ht="32" customHeight="1">
      <x:c r="A1882" s="30" t="str">
        <x:v>A021</x:v>
      </x:c>
      <x:c r="B1882" s="30" t="str">
        <x:v>F084</x:v>
      </x:c>
      <x:c r="C1882" s="30" t="str">
        <x:v>human.destination_id</x:v>
      </x:c>
      <x:c r="D1882" s="30" t="str">
        <x:v>候选输入schema</x:v>
      </x:c>
      <x:c r="E1882" s="30" t="str">
        <x:v>按执行角色权限读取；策略只能使用可访问快照</x:v>
      </x:c>
    </x:row>
    <x:row r="1883" ht="32" customHeight="1">
      <x:c r="A1883" s="30" t="str">
        <x:v>A021</x:v>
      </x:c>
      <x:c r="B1883" s="30" t="str">
        <x:v>F085</x:v>
      </x:c>
      <x:c r="C1883" s="30" t="str">
        <x:v>human.handover_status</x:v>
      </x:c>
      <x:c r="D1883" s="30" t="str">
        <x:v>候选输入schema</x:v>
      </x:c>
      <x:c r="E1883" s="30" t="str">
        <x:v>按执行角色权限读取；策略只能使用可访问快照</x:v>
      </x:c>
    </x:row>
    <x:row r="1884" ht="32" customHeight="1">
      <x:c r="A1884" s="30" t="str">
        <x:v>A021</x:v>
      </x:c>
      <x:c r="B1884" s="30" t="str">
        <x:v>F086</x:v>
      </x:c>
      <x:c r="C1884" s="30" t="str">
        <x:v>human.last_assessed_s</x:v>
      </x:c>
      <x:c r="D1884" s="30" t="str">
        <x:v>候选输入schema</x:v>
      </x:c>
      <x:c r="E1884" s="30" t="str">
        <x:v>按执行角色权限读取；策略只能使用可访问快照</x:v>
      </x:c>
    </x:row>
    <x:row r="1885" ht="32" customHeight="1">
      <x:c r="A1885" s="30" t="str">
        <x:v>A021</x:v>
      </x:c>
      <x:c r="B1885" s="30" t="str">
        <x:v>F087</x:v>
      </x:c>
      <x:c r="C1885" s="30" t="str">
        <x:v>human.identity_association</x:v>
      </x:c>
      <x:c r="D1885" s="30" t="str">
        <x:v>候选输入schema</x:v>
      </x:c>
      <x:c r="E1885" s="30" t="str">
        <x:v>按执行角色权限读取；策略只能使用可访问快照</x:v>
      </x:c>
    </x:row>
    <x:row r="1886" ht="32" customHeight="1">
      <x:c r="A1886" s="30" t="str">
        <x:v>A021</x:v>
      </x:c>
      <x:c r="B1886" s="30" t="str">
        <x:v>F095</x:v>
      </x:c>
      <x:c r="C1886" s="30" t="str">
        <x:v>platform.kind</x:v>
      </x:c>
      <x:c r="D1886" s="30" t="str">
        <x:v>候选输入schema</x:v>
      </x:c>
      <x:c r="E1886" s="30" t="str">
        <x:v>按执行角色权限读取；策略只能使用可访问快照</x:v>
      </x:c>
    </x:row>
    <x:row r="1887" ht="32" customHeight="1">
      <x:c r="A1887" s="30" t="str">
        <x:v>A021</x:v>
      </x:c>
      <x:c r="B1887" s="30" t="str">
        <x:v>F096</x:v>
      </x:c>
      <x:c r="C1887" s="30" t="str">
        <x:v>platform.capability_ids</x:v>
      </x:c>
      <x:c r="D1887" s="30" t="str">
        <x:v>候选输入schema</x:v>
      </x:c>
      <x:c r="E1887" s="30" t="str">
        <x:v>按执行角色权限读取；策略只能使用可访问快照</x:v>
      </x:c>
    </x:row>
    <x:row r="1888" ht="32" customHeight="1">
      <x:c r="A1888" s="30" t="str">
        <x:v>A021</x:v>
      </x:c>
      <x:c r="B1888" s="30" t="str">
        <x:v>F097</x:v>
      </x:c>
      <x:c r="C1888" s="30" t="str">
        <x:v>platform.equipment_ids</x:v>
      </x:c>
      <x:c r="D1888" s="30" t="str">
        <x:v>候选输入schema</x:v>
      </x:c>
      <x:c r="E1888" s="30" t="str">
        <x:v>按执行角色权限读取；策略只能使用可访问快照</x:v>
      </x:c>
    </x:row>
    <x:row r="1889" ht="32" customHeight="1">
      <x:c r="A1889" s="30" t="str">
        <x:v>A021</x:v>
      </x:c>
      <x:c r="B1889" s="30" t="str">
        <x:v>F098</x:v>
      </x:c>
      <x:c r="C1889" s="30" t="str">
        <x:v>platform.width_m</x:v>
      </x:c>
      <x:c r="D1889" s="30" t="str">
        <x:v>候选输入schema</x:v>
      </x:c>
      <x:c r="E1889" s="30" t="str">
        <x:v>按执行角色权限读取；策略只能使用可访问快照</x:v>
      </x:c>
    </x:row>
    <x:row r="1890" ht="32" customHeight="1">
      <x:c r="A1890" s="30" t="str">
        <x:v>A021</x:v>
      </x:c>
      <x:c r="B1890" s="30" t="str">
        <x:v>F099</x:v>
      </x:c>
      <x:c r="C1890" s="30" t="str">
        <x:v>platform.height_m</x:v>
      </x:c>
      <x:c r="D1890" s="30" t="str">
        <x:v>候选输入schema</x:v>
      </x:c>
      <x:c r="E1890" s="30" t="str">
        <x:v>按执行角色权限读取；策略只能使用可访问快照</x:v>
      </x:c>
    </x:row>
    <x:row r="1891" ht="32" customHeight="1">
      <x:c r="A1891" s="30" t="str">
        <x:v>A021</x:v>
      </x:c>
      <x:c r="B1891" s="30" t="str">
        <x:v>F100</x:v>
      </x:c>
      <x:c r="C1891" s="30" t="str">
        <x:v>platform.swept_radius_m</x:v>
      </x:c>
      <x:c r="D1891" s="30" t="str">
        <x:v>候选输入schema</x:v>
      </x:c>
      <x:c r="E1891" s="30" t="str">
        <x:v>按执行角色权限读取；策略只能使用可访问快照</x:v>
      </x:c>
    </x:row>
    <x:row r="1892" ht="32" customHeight="1">
      <x:c r="A1892" s="30" t="str">
        <x:v>A021</x:v>
      </x:c>
      <x:c r="B1892" s="30" t="str">
        <x:v>F101</x:v>
      </x:c>
      <x:c r="C1892" s="30" t="str">
        <x:v>platform.payload_capacity_kg</x:v>
      </x:c>
      <x:c r="D1892" s="30" t="str">
        <x:v>候选输入schema</x:v>
      </x:c>
      <x:c r="E1892" s="30" t="str">
        <x:v>按执行角色权限读取；策略只能使用可访问快照</x:v>
      </x:c>
    </x:row>
    <x:row r="1893" ht="32" customHeight="1">
      <x:c r="A1893" s="30" t="str">
        <x:v>A021</x:v>
      </x:c>
      <x:c r="B1893" s="30" t="str">
        <x:v>F102</x:v>
      </x:c>
      <x:c r="C1893" s="30" t="str">
        <x:v>platform.payload_used_kg</x:v>
      </x:c>
      <x:c r="D1893" s="30" t="str">
        <x:v>候选输入schema</x:v>
      </x:c>
      <x:c r="E1893" s="30" t="str">
        <x:v>按执行角色权限读取；策略只能使用可访问快照</x:v>
      </x:c>
    </x:row>
    <x:row r="1894" ht="32" customHeight="1">
      <x:c r="A1894" s="30" t="str">
        <x:v>A021</x:v>
      </x:c>
      <x:c r="B1894" s="30" t="str">
        <x:v>F103</x:v>
      </x:c>
      <x:c r="C1894" s="30" t="str">
        <x:v>platform.payload_item_ids</x:v>
      </x:c>
      <x:c r="D1894" s="30" t="str">
        <x:v>候选输入schema</x:v>
      </x:c>
      <x:c r="E1894" s="30" t="str">
        <x:v>按执行角色权限读取；策略只能使用可访问快照</x:v>
      </x:c>
    </x:row>
    <x:row r="1895" ht="32" customHeight="1">
      <x:c r="A1895" s="30" t="str">
        <x:v>A021</x:v>
      </x:c>
      <x:c r="B1895" s="30" t="str">
        <x:v>F104</x:v>
      </x:c>
      <x:c r="C1895" s="30" t="str">
        <x:v>platform.battery_capacity_Wh</x:v>
      </x:c>
      <x:c r="D1895" s="30" t="str">
        <x:v>候选输入schema</x:v>
      </x:c>
      <x:c r="E1895" s="30" t="str">
        <x:v>按执行角色权限读取；策略只能使用可访问快照</x:v>
      </x:c>
    </x:row>
    <x:row r="1896" ht="32" customHeight="1">
      <x:c r="A1896" s="30" t="str">
        <x:v>A021</x:v>
      </x:c>
      <x:c r="B1896" s="30" t="str">
        <x:v>F105</x:v>
      </x:c>
      <x:c r="C1896" s="30" t="str">
        <x:v>platform.battery_remaining_Wh</x:v>
      </x:c>
      <x:c r="D1896" s="30" t="str">
        <x:v>候选输入schema</x:v>
      </x:c>
      <x:c r="E1896" s="30" t="str">
        <x:v>按执行角色权限读取；策略只能使用可访问快照</x:v>
      </x:c>
    </x:row>
    <x:row r="1897" ht="32" customHeight="1">
      <x:c r="A1897" s="30" t="str">
        <x:v>A021</x:v>
      </x:c>
      <x:c r="B1897" s="30" t="str">
        <x:v>F106</x:v>
      </x:c>
      <x:c r="C1897" s="30" t="str">
        <x:v>platform.reserve_Wh</x:v>
      </x:c>
      <x:c r="D1897" s="30" t="str">
        <x:v>候选输入schema</x:v>
      </x:c>
      <x:c r="E1897" s="30" t="str">
        <x:v>按执行角色权限读取；策略只能使用可访问快照</x:v>
      </x:c>
    </x:row>
    <x:row r="1898" ht="32" customHeight="1">
      <x:c r="A1898" s="30" t="str">
        <x:v>A021</x:v>
      </x:c>
      <x:c r="B1898" s="30" t="str">
        <x:v>F107</x:v>
      </x:c>
      <x:c r="C1898" s="30" t="str">
        <x:v>platform.speed_limit_mps</x:v>
      </x:c>
      <x:c r="D1898" s="30" t="str">
        <x:v>候选输入schema</x:v>
      </x:c>
      <x:c r="E1898" s="30" t="str">
        <x:v>按执行角色权限读取；策略只能使用可访问快照</x:v>
      </x:c>
    </x:row>
    <x:row r="1899" ht="32" customHeight="1">
      <x:c r="A1899" s="30" t="str">
        <x:v>A021</x:v>
      </x:c>
      <x:c r="B1899" s="30" t="str">
        <x:v>F108</x:v>
      </x:c>
      <x:c r="C1899" s="30" t="str">
        <x:v>platform.energy_model</x:v>
      </x:c>
      <x:c r="D1899" s="30" t="str">
        <x:v>候选输入schema</x:v>
      </x:c>
      <x:c r="E1899" s="30" t="str">
        <x:v>按执行角色权限读取；策略只能使用可访问快照</x:v>
      </x:c>
    </x:row>
    <x:row r="1900" ht="32" customHeight="1">
      <x:c r="A1900" s="30" t="str">
        <x:v>A021</x:v>
      </x:c>
      <x:c r="B1900" s="30" t="str">
        <x:v>F109</x:v>
      </x:c>
      <x:c r="C1900" s="30" t="str">
        <x:v>platform.motion_state</x:v>
      </x:c>
      <x:c r="D1900" s="30" t="str">
        <x:v>候选输入schema</x:v>
      </x:c>
      <x:c r="E1900" s="30" t="str">
        <x:v>按执行角色权限读取；策略只能使用可访问快照</x:v>
      </x:c>
    </x:row>
    <x:row r="1901" ht="32" customHeight="1">
      <x:c r="A1901" s="30" t="str">
        <x:v>A021</x:v>
      </x:c>
      <x:c r="B1901" s="30" t="str">
        <x:v>F110</x:v>
      </x:c>
      <x:c r="C1901" s="30" t="str">
        <x:v>platform.health_state</x:v>
      </x:c>
      <x:c r="D1901" s="30" t="str">
        <x:v>候选输入schema</x:v>
      </x:c>
      <x:c r="E1901" s="30" t="str">
        <x:v>按执行角色权限读取；策略只能使用可访问快照</x:v>
      </x:c>
    </x:row>
    <x:row r="1902" ht="32" customHeight="1">
      <x:c r="A1902" s="30" t="str">
        <x:v>A021</x:v>
      </x:c>
      <x:c r="B1902" s="30" t="str">
        <x:v>F111</x:v>
      </x:c>
      <x:c r="C1902" s="30" t="str">
        <x:v>platform.current_action_id</x:v>
      </x:c>
      <x:c r="D1902" s="30" t="str">
        <x:v>候选输入schema</x:v>
      </x:c>
      <x:c r="E1902" s="30" t="str">
        <x:v>按执行角色权限读取；策略只能使用可访问快照</x:v>
      </x:c>
    </x:row>
    <x:row r="1903" ht="32" customHeight="1">
      <x:c r="A1903" s="30" t="str">
        <x:v>A021</x:v>
      </x:c>
      <x:c r="B1903" s="30" t="str">
        <x:v>F112</x:v>
      </x:c>
      <x:c r="C1903" s="30" t="str">
        <x:v>platform.busy_until_est_s</x:v>
      </x:c>
      <x:c r="D1903" s="30" t="str">
        <x:v>候选输入schema</x:v>
      </x:c>
      <x:c r="E1903" s="30" t="str">
        <x:v>按执行角色权限读取；策略只能使用可访问快照</x:v>
      </x:c>
    </x:row>
    <x:row r="1904" ht="32" customHeight="1">
      <x:c r="A1904" s="30" t="str">
        <x:v>A021</x:v>
      </x:c>
      <x:c r="B1904" s="30" t="str">
        <x:v>F113</x:v>
      </x:c>
      <x:c r="C1904" s="30" t="str">
        <x:v>platform.return_site_id</x:v>
      </x:c>
      <x:c r="D1904" s="30" t="str">
        <x:v>候选输入schema</x:v>
      </x:c>
      <x:c r="E1904" s="30" t="str">
        <x:v>按执行角色权限读取；策略只能使用可访问快照</x:v>
      </x:c>
    </x:row>
    <x:row r="1905" ht="32" customHeight="1">
      <x:c r="A1905" s="30" t="str">
        <x:v>A021</x:v>
      </x:c>
      <x:c r="B1905" s="30" t="str">
        <x:v>F114</x:v>
      </x:c>
      <x:c r="C1905" s="30" t="str">
        <x:v>platform.water_tolerance_m</x:v>
      </x:c>
      <x:c r="D1905" s="30" t="str">
        <x:v>候选输入schema</x:v>
      </x:c>
      <x:c r="E1905" s="30" t="str">
        <x:v>按执行角色权限读取；策略只能使用可访问快照</x:v>
      </x:c>
    </x:row>
    <x:row r="1906" ht="32" customHeight="1">
      <x:c r="A1906" s="30" t="str">
        <x:v>A021</x:v>
      </x:c>
      <x:c r="B1906" s="30" t="str">
        <x:v>F115</x:v>
      </x:c>
      <x:c r="C1906" s="30" t="str">
        <x:v>platform.concurrency_policy</x:v>
      </x:c>
      <x:c r="D1906" s="30" t="str">
        <x:v>候选输入schema</x:v>
      </x:c>
      <x:c r="E1906" s="30" t="str">
        <x:v>按执行角色权限读取；策略只能使用可访问快照</x:v>
      </x:c>
    </x:row>
    <x:row r="1907" ht="32" customHeight="1">
      <x:c r="A1907" s="30" t="str">
        <x:v>A021</x:v>
      </x:c>
      <x:c r="B1907" s="30" t="str">
        <x:v>F141</x:v>
      </x:c>
      <x:c r="C1907" s="30" t="str">
        <x:v>station.kind</x:v>
      </x:c>
      <x:c r="D1907" s="30" t="str">
        <x:v>候选输入schema</x:v>
      </x:c>
      <x:c r="E1907" s="30" t="str">
        <x:v>按执行角色权限读取；策略只能使用可访问快照</x:v>
      </x:c>
    </x:row>
    <x:row r="1908" ht="32" customHeight="1">
      <x:c r="A1908" s="30" t="str">
        <x:v>A021</x:v>
      </x:c>
      <x:c r="B1908" s="30" t="str">
        <x:v>F142</x:v>
      </x:c>
      <x:c r="C1908" s="30" t="str">
        <x:v>station.capacity</x:v>
      </x:c>
      <x:c r="D1908" s="30" t="str">
        <x:v>候选输入schema</x:v>
      </x:c>
      <x:c r="E1908" s="30" t="str">
        <x:v>按执行角色权限读取；策略只能使用可访问快照</x:v>
      </x:c>
    </x:row>
    <x:row r="1909" ht="32" customHeight="1">
      <x:c r="A1909" s="30" t="str">
        <x:v>A021</x:v>
      </x:c>
      <x:c r="B1909" s="30" t="str">
        <x:v>F143</x:v>
      </x:c>
      <x:c r="C1909" s="30" t="str">
        <x:v>station.occupied</x:v>
      </x:c>
      <x:c r="D1909" s="30" t="str">
        <x:v>候选输入schema</x:v>
      </x:c>
      <x:c r="E1909" s="30" t="str">
        <x:v>按执行角色权限读取；策略只能使用可访问快照</x:v>
      </x:c>
    </x:row>
    <x:row r="1910" ht="32" customHeight="1">
      <x:c r="A1910" s="30" t="str">
        <x:v>A021</x:v>
      </x:c>
      <x:c r="B1910" s="30" t="str">
        <x:v>F144</x:v>
      </x:c>
      <x:c r="C1910" s="30" t="str">
        <x:v>station.inventory</x:v>
      </x:c>
      <x:c r="D1910" s="30" t="str">
        <x:v>候选输入schema</x:v>
      </x:c>
      <x:c r="E1910" s="30" t="str">
        <x:v>按执行角色权限读取；策略只能使用可访问快照</x:v>
      </x:c>
    </x:row>
    <x:row r="1911" ht="32" customHeight="1">
      <x:c r="A1911" s="30" t="str">
        <x:v>A021</x:v>
      </x:c>
      <x:c r="B1911" s="30" t="str">
        <x:v>F145</x:v>
      </x:c>
      <x:c r="C1911" s="30" t="str">
        <x:v>station.power_W</x:v>
      </x:c>
      <x:c r="D1911" s="30" t="str">
        <x:v>候选输入schema</x:v>
      </x:c>
      <x:c r="E1911" s="30" t="str">
        <x:v>按执行角色权限读取；策略只能使用可访问快照</x:v>
      </x:c>
    </x:row>
    <x:row r="1912" ht="32" customHeight="1">
      <x:c r="A1912" s="30" t="str">
        <x:v>A021</x:v>
      </x:c>
      <x:c r="B1912" s="30" t="str">
        <x:v>F146</x:v>
      </x:c>
      <x:c r="C1912" s="30" t="str">
        <x:v>station.connector_types</x:v>
      </x:c>
      <x:c r="D1912" s="30" t="str">
        <x:v>候选输入schema</x:v>
      </x:c>
      <x:c r="E1912" s="30" t="str">
        <x:v>按执行角色权限读取；策略只能使用可访问快照</x:v>
      </x:c>
    </x:row>
    <x:row r="1913" ht="32" customHeight="1">
      <x:c r="A1913" s="30" t="str">
        <x:v>A021</x:v>
      </x:c>
      <x:c r="B1913" s="30" t="str">
        <x:v>F147</x:v>
      </x:c>
      <x:c r="C1913" s="30" t="str">
        <x:v>station.queue_ids</x:v>
      </x:c>
      <x:c r="D1913" s="30" t="str">
        <x:v>候选输入schema</x:v>
      </x:c>
      <x:c r="E1913" s="30" t="str">
        <x:v>按执行角色权限读取；策略只能使用可访问快照</x:v>
      </x:c>
    </x:row>
    <x:row r="1914" ht="32" customHeight="1">
      <x:c r="A1914" s="30" t="str">
        <x:v>A021</x:v>
      </x:c>
      <x:c r="B1914" s="30" t="str">
        <x:v>F148</x:v>
      </x:c>
      <x:c r="C1914" s="30" t="str">
        <x:v>station.open_state</x:v>
      </x:c>
      <x:c r="D1914" s="30" t="str">
        <x:v>候选输入schema</x:v>
      </x:c>
      <x:c r="E1914" s="30" t="str">
        <x:v>按执行角色权限读取；策略只能使用可访问快照</x:v>
      </x:c>
    </x:row>
    <x:row r="1915" ht="32" customHeight="1">
      <x:c r="A1915" s="30" t="str">
        <x:v>A021</x:v>
      </x:c>
      <x:c r="B1915" s="30" t="str">
        <x:v>F149</x:v>
      </x:c>
      <x:c r="C1915" s="30" t="str">
        <x:v>station.accepted_need_types</x:v>
      </x:c>
      <x:c r="D1915" s="30" t="str">
        <x:v>候选输入schema</x:v>
      </x:c>
      <x:c r="E1915" s="30" t="str">
        <x:v>按执行角色权限读取；策略只能使用可访问快照</x:v>
      </x:c>
    </x:row>
    <x:row r="1916" ht="32" customHeight="1">
      <x:c r="A1916" s="30" t="str">
        <x:v>A021</x:v>
      </x:c>
      <x:c r="B1916" s="30" t="str">
        <x:v>F150</x:v>
      </x:c>
      <x:c r="C1916" s="30" t="str">
        <x:v>station.access_region</x:v>
      </x:c>
      <x:c r="D1916" s="30" t="str">
        <x:v>候选输入schema</x:v>
      </x:c>
      <x:c r="E1916" s="30" t="str">
        <x:v>按执行角色权限读取；策略只能使用可访问快照</x:v>
      </x:c>
    </x:row>
    <x:row r="1917" ht="32" customHeight="1">
      <x:c r="A1917" s="30" t="str">
        <x:v>A021</x:v>
      </x:c>
      <x:c r="B1917" s="30" t="str">
        <x:v>F230</x:v>
      </x:c>
      <x:c r="C1917" s="30" t="str">
        <x:v>action.type</x:v>
      </x:c>
      <x:c r="D1917" s="30" t="str">
        <x:v>候选输入schema</x:v>
      </x:c>
      <x:c r="E1917" s="30" t="str">
        <x:v>按执行角色权限读取；策略只能使用可访问快照</x:v>
      </x:c>
    </x:row>
    <x:row r="1918" ht="32" customHeight="1">
      <x:c r="A1918" s="30" t="str">
        <x:v>A021</x:v>
      </x:c>
      <x:c r="B1918" s="30" t="str">
        <x:v>F231</x:v>
      </x:c>
      <x:c r="C1918" s="30" t="str">
        <x:v>action.executor_id</x:v>
      </x:c>
      <x:c r="D1918" s="30" t="str">
        <x:v>候选输入schema</x:v>
      </x:c>
      <x:c r="E1918" s="30" t="str">
        <x:v>按执行角色权限读取；策略只能使用可访问快照</x:v>
      </x:c>
    </x:row>
    <x:row r="1919" ht="32" customHeight="1">
      <x:c r="A1919" s="30" t="str">
        <x:v>A021</x:v>
      </x:c>
      <x:c r="B1919" s="30" t="str">
        <x:v>F232</x:v>
      </x:c>
      <x:c r="C1919" s="30" t="str">
        <x:v>action.task_ref</x:v>
      </x:c>
      <x:c r="D1919" s="30" t="str">
        <x:v>候选输入schema</x:v>
      </x:c>
      <x:c r="E1919" s="30" t="str">
        <x:v>按执行角色权限读取；策略只能使用可访问快照</x:v>
      </x:c>
    </x:row>
    <x:row r="1920" ht="32" customHeight="1">
      <x:c r="A1920" s="30" t="str">
        <x:v>A021</x:v>
      </x:c>
      <x:c r="B1920" s="30" t="str">
        <x:v>F233</x:v>
      </x:c>
      <x:c r="C1920" s="30" t="str">
        <x:v>action.target_ref</x:v>
      </x:c>
      <x:c r="D1920" s="30" t="str">
        <x:v>候选输入schema</x:v>
      </x:c>
      <x:c r="E1920" s="30" t="str">
        <x:v>按执行角色权限读取；策略只能使用可访问快照</x:v>
      </x:c>
    </x:row>
    <x:row r="1921" ht="32" customHeight="1">
      <x:c r="A1921" s="30" t="str">
        <x:v>A021</x:v>
      </x:c>
      <x:c r="B1921" s="30" t="str">
        <x:v>F234</x:v>
      </x:c>
      <x:c r="C1921" s="30" t="str">
        <x:v>action.parameters</x:v>
      </x:c>
      <x:c r="D1921" s="30" t="str">
        <x:v>候选输入schema</x:v>
      </x:c>
      <x:c r="E1921" s="30" t="str">
        <x:v>按执行角色权限读取；策略只能使用可访问快照</x:v>
      </x:c>
    </x:row>
    <x:row r="1922" ht="32" customHeight="1">
      <x:c r="A1922" s="30" t="str">
        <x:v>A021</x:v>
      </x:c>
      <x:c r="B1922" s="30" t="str">
        <x:v>F235</x:v>
      </x:c>
      <x:c r="C1922" s="30" t="str">
        <x:v>action.status</x:v>
      </x:c>
      <x:c r="D1922" s="30" t="str">
        <x:v>候选输入schema</x:v>
      </x:c>
      <x:c r="E1922" s="30" t="str">
        <x:v>按执行角色权限读取；策略只能使用可访问快照</x:v>
      </x:c>
    </x:row>
    <x:row r="1923" ht="32" customHeight="1">
      <x:c r="A1923" s="30" t="str">
        <x:v>A021</x:v>
      </x:c>
      <x:c r="B1923" s="30" t="str">
        <x:v>F236</x:v>
      </x:c>
      <x:c r="C1923" s="30" t="str">
        <x:v>action.start_s</x:v>
      </x:c>
      <x:c r="D1923" s="30" t="str">
        <x:v>候选输入schema</x:v>
      </x:c>
      <x:c r="E1923" s="30" t="str">
        <x:v>按执行角色权限读取；策略只能使用可访问快照</x:v>
      </x:c>
    </x:row>
    <x:row r="1924" ht="32" customHeight="1">
      <x:c r="A1924" s="30" t="str">
        <x:v>A021</x:v>
      </x:c>
      <x:c r="B1924" s="30" t="str">
        <x:v>F237</x:v>
      </x:c>
      <x:c r="C1924" s="30" t="str">
        <x:v>action.finish_s</x:v>
      </x:c>
      <x:c r="D1924" s="30" t="str">
        <x:v>候选输入schema</x:v>
      </x:c>
      <x:c r="E1924" s="30" t="str">
        <x:v>按执行角色权限读取；策略只能使用可访问快照</x:v>
      </x:c>
    </x:row>
    <x:row r="1925" ht="32" customHeight="1">
      <x:c r="A1925" s="30" t="str">
        <x:v>A021</x:v>
      </x:c>
      <x:c r="B1925" s="30" t="str">
        <x:v>F238</x:v>
      </x:c>
      <x:c r="C1925" s="30" t="str">
        <x:v>action.reserved_resources</x:v>
      </x:c>
      <x:c r="D1925" s="30" t="str">
        <x:v>候选输入schema</x:v>
      </x:c>
      <x:c r="E1925" s="30" t="str">
        <x:v>按执行角色权限读取；策略只能使用可访问快照</x:v>
      </x:c>
    </x:row>
    <x:row r="1926" ht="32" customHeight="1">
      <x:c r="A1926" s="30" t="str">
        <x:v>A021</x:v>
      </x:c>
      <x:c r="B1926" s="30" t="str">
        <x:v>F239</x:v>
      </x:c>
      <x:c r="C1926" s="30" t="str">
        <x:v>action.consumed_resources</x:v>
      </x:c>
      <x:c r="D1926" s="30" t="str">
        <x:v>候选输入schema</x:v>
      </x:c>
      <x:c r="E1926" s="30" t="str">
        <x:v>按执行角色权限读取；策略只能使用可访问快照</x:v>
      </x:c>
    </x:row>
    <x:row r="1927" ht="32" customHeight="1">
      <x:c r="A1927" s="30" t="str">
        <x:v>A021</x:v>
      </x:c>
      <x:c r="B1927" s="30" t="str">
        <x:v>F240</x:v>
      </x:c>
      <x:c r="C1927" s="30" t="str">
        <x:v>action.feedback</x:v>
      </x:c>
      <x:c r="D1927" s="30" t="str">
        <x:v>候选输入schema</x:v>
      </x:c>
      <x:c r="E1927" s="30" t="str">
        <x:v>按执行角色权限读取；策略只能使用可访问快照</x:v>
      </x:c>
    </x:row>
    <x:row r="1928" ht="32" customHeight="1">
      <x:c r="A1928" s="30" t="str">
        <x:v>A021</x:v>
      </x:c>
      <x:c r="B1928" s="30" t="str">
        <x:v>F241</x:v>
      </x:c>
      <x:c r="C1928" s="30" t="str">
        <x:v>action.result</x:v>
      </x:c>
      <x:c r="D1928" s="30" t="str">
        <x:v>候选输入schema</x:v>
      </x:c>
      <x:c r="E1928" s="30" t="str">
        <x:v>按执行角色权限读取；策略只能使用可访问快照</x:v>
      </x:c>
    </x:row>
    <x:row r="1929" ht="32" customHeight="1">
      <x:c r="A1929" s="30" t="str">
        <x:v>A021</x:v>
      </x:c>
      <x:c r="B1929" s="30" t="str">
        <x:v>F242</x:v>
      </x:c>
      <x:c r="C1929" s="30" t="str">
        <x:v>action.rejection_code</x:v>
      </x:c>
      <x:c r="D1929" s="30" t="str">
        <x:v>候选输入schema</x:v>
      </x:c>
      <x:c r="E1929" s="30" t="str">
        <x:v>按执行角色权限读取；策略只能使用可访问快照</x:v>
      </x:c>
    </x:row>
    <x:row r="1930" ht="32" customHeight="1">
      <x:c r="A1930" s="30" t="str">
        <x:v>A021</x:v>
      </x:c>
      <x:c r="B1930" s="30" t="str">
        <x:v>F243</x:v>
      </x:c>
      <x:c r="C1930" s="30" t="str">
        <x:v>action.failure_code</x:v>
      </x:c>
      <x:c r="D1930" s="30" t="str">
        <x:v>候选输入schema</x:v>
      </x:c>
      <x:c r="E1930" s="30" t="str">
        <x:v>按执行角色权限读取；策略只能使用可访问快照</x:v>
      </x:c>
    </x:row>
    <x:row r="1931" ht="32" customHeight="1">
      <x:c r="A1931" s="30" t="str">
        <x:v>A021</x:v>
      </x:c>
      <x:c r="B1931" s="30" t="str">
        <x:v>F244</x:v>
      </x:c>
      <x:c r="C1931" s="30" t="str">
        <x:v>action.cancel_requested</x:v>
      </x:c>
      <x:c r="D1931" s="30" t="str">
        <x:v>候选输入schema</x:v>
      </x:c>
      <x:c r="E1931" s="30" t="str">
        <x:v>按执行角色权限读取；策略只能使用可访问快照</x:v>
      </x:c>
    </x:row>
    <x:row r="1932" ht="32" customHeight="1">
      <x:c r="A1932" s="30" t="str">
        <x:v>A021</x:v>
      </x:c>
      <x:c r="B1932" s="30" t="str">
        <x:v>F245</x:v>
      </x:c>
      <x:c r="C1932" s="30" t="str">
        <x:v>action.backend_mode</x:v>
      </x:c>
      <x:c r="D1932" s="30" t="str">
        <x:v>候选输入schema</x:v>
      </x:c>
      <x:c r="E1932" s="30" t="str">
        <x:v>按执行角色权限读取；策略只能使用可访问快照</x:v>
      </x:c>
    </x:row>
    <x:row r="1933" ht="32" customHeight="1">
      <x:c r="A1933" s="30" t="str">
        <x:v>A021</x:v>
      </x:c>
      <x:c r="B1933" s="30" t="str">
        <x:v>F004</x:v>
      </x:c>
      <x:c r="C1933" s="30" t="str">
        <x:v>entity.pose</x:v>
      </x:c>
      <x:c r="D1933" s="30" t="str">
        <x:v>直接效果</x:v>
      </x:c>
      <x:c r="E1933" s="30" t="str">
        <x:v>经实际执行/回执提交；不是规划时提前修改</x:v>
      </x:c>
    </x:row>
    <x:row r="1934" ht="32" customHeight="1">
      <x:c r="A1934" s="30" t="str">
        <x:v>A021</x:v>
      </x:c>
      <x:c r="B1934" s="30" t="str">
        <x:v>F085</x:v>
      </x:c>
      <x:c r="C1934" s="30" t="str">
        <x:v>human.handover_status</x:v>
      </x:c>
      <x:c r="D1934" s="30" t="str">
        <x:v>直接效果</x:v>
      </x:c>
      <x:c r="E1934" s="30" t="str">
        <x:v>经实际执行/回执提交；不是规划时提前修改</x:v>
      </x:c>
    </x:row>
    <x:row r="1935" ht="32" customHeight="1">
      <x:c r="A1935" s="30" t="str">
        <x:v>A022</x:v>
      </x:c>
      <x:c r="B1935" s="30" t="str">
        <x:v>F071</x:v>
      </x:c>
      <x:c r="C1935" s="30" t="str">
        <x:v>human.location_context</x:v>
      </x:c>
      <x:c r="D1935" s="30" t="str">
        <x:v>候选输入schema</x:v>
      </x:c>
      <x:c r="E1935" s="30" t="str">
        <x:v>按执行角色权限读取；策略只能使用可访问快照</x:v>
      </x:c>
    </x:row>
    <x:row r="1936" ht="32" customHeight="1">
      <x:c r="A1936" s="30" t="str">
        <x:v>A022</x:v>
      </x:c>
      <x:c r="B1936" s="30" t="str">
        <x:v>F072</x:v>
      </x:c>
      <x:c r="C1936" s="30" t="str">
        <x:v>human.alive</x:v>
      </x:c>
      <x:c r="D1936" s="30" t="str">
        <x:v>候选输入schema</x:v>
      </x:c>
      <x:c r="E1936" s="30" t="str">
        <x:v>按执行角色权限读取；策略只能使用可访问快照</x:v>
      </x:c>
    </x:row>
    <x:row r="1937" ht="32" customHeight="1">
      <x:c r="A1937" s="30" t="str">
        <x:v>A022</x:v>
      </x:c>
      <x:c r="B1937" s="30" t="str">
        <x:v>F073</x:v>
      </x:c>
      <x:c r="C1937" s="30" t="str">
        <x:v>human.injury</x:v>
      </x:c>
      <x:c r="D1937" s="30" t="str">
        <x:v>候选输入schema</x:v>
      </x:c>
      <x:c r="E1937" s="30" t="str">
        <x:v>按执行角色权限读取；策略只能使用可访问快照</x:v>
      </x:c>
    </x:row>
    <x:row r="1938" ht="32" customHeight="1">
      <x:c r="A1938" s="30" t="str">
        <x:v>A022</x:v>
      </x:c>
      <x:c r="B1938" s="30" t="str">
        <x:v>F074</x:v>
      </x:c>
      <x:c r="C1938" s="30" t="str">
        <x:v>human.mobility</x:v>
      </x:c>
      <x:c r="D1938" s="30" t="str">
        <x:v>候选输入schema</x:v>
      </x:c>
      <x:c r="E1938" s="30" t="str">
        <x:v>按执行角色权限读取；策略只能使用可访问快照</x:v>
      </x:c>
    </x:row>
    <x:row r="1939" ht="32" customHeight="1">
      <x:c r="A1939" s="30" t="str">
        <x:v>A022</x:v>
      </x:c>
      <x:c r="B1939" s="30" t="str">
        <x:v>F075</x:v>
      </x:c>
      <x:c r="C1939" s="30" t="str">
        <x:v>human.buriedness</x:v>
      </x:c>
      <x:c r="D1939" s="30" t="str">
        <x:v>候选输入schema</x:v>
      </x:c>
      <x:c r="E1939" s="30" t="str">
        <x:v>按执行角色权限读取；策略只能使用可访问快照</x:v>
      </x:c>
    </x:row>
    <x:row r="1940" ht="32" customHeight="1">
      <x:c r="A1940" s="30" t="str">
        <x:v>A022</x:v>
      </x:c>
      <x:c r="B1940" s="30" t="str">
        <x:v>F076</x:v>
      </x:c>
      <x:c r="C1940" s="30" t="str">
        <x:v>human.needs</x:v>
      </x:c>
      <x:c r="D1940" s="30" t="str">
        <x:v>候选输入schema</x:v>
      </x:c>
      <x:c r="E1940" s="30" t="str">
        <x:v>按执行角色权限读取；策略只能使用可访问快照</x:v>
      </x:c>
    </x:row>
    <x:row r="1941" ht="32" customHeight="1">
      <x:c r="A1941" s="30" t="str">
        <x:v>A022</x:v>
      </x:c>
      <x:c r="B1941" s="30" t="str">
        <x:v>F077</x:v>
      </x:c>
      <x:c r="C1941" s="30" t="str">
        <x:v>human.pose</x:v>
      </x:c>
      <x:c r="D1941" s="30" t="str">
        <x:v>候选输入schema</x:v>
      </x:c>
      <x:c r="E1941" s="30" t="str">
        <x:v>按执行角色权限读取；策略只能使用可访问快照</x:v>
      </x:c>
    </x:row>
    <x:row r="1942" ht="32" customHeight="1">
      <x:c r="A1942" s="30" t="str">
        <x:v>A022</x:v>
      </x:c>
      <x:c r="B1942" s="30" t="str">
        <x:v>F078</x:v>
      </x:c>
      <x:c r="C1942" s="30" t="str">
        <x:v>human.visibility_context</x:v>
      </x:c>
      <x:c r="D1942" s="30" t="str">
        <x:v>候选输入schema</x:v>
      </x:c>
      <x:c r="E1942" s="30" t="str">
        <x:v>按执行角色权限读取；策略只能使用可访问快照</x:v>
      </x:c>
    </x:row>
    <x:row r="1943" ht="32" customHeight="1">
      <x:c r="A1943" s="30" t="str">
        <x:v>A022</x:v>
      </x:c>
      <x:c r="B1943" s="30" t="str">
        <x:v>F079</x:v>
      </x:c>
      <x:c r="C1943" s="30" t="str">
        <x:v>human.distress_signal</x:v>
      </x:c>
      <x:c r="D1943" s="30" t="str">
        <x:v>候选输入schema</x:v>
      </x:c>
      <x:c r="E1943" s="30" t="str">
        <x:v>按执行角色权限读取；策略只能使用可访问快照</x:v>
      </x:c>
    </x:row>
    <x:row r="1944" ht="32" customHeight="1">
      <x:c r="A1944" s="30" t="str">
        <x:v>A022</x:v>
      </x:c>
      <x:c r="B1944" s="30" t="str">
        <x:v>F080</x:v>
      </x:c>
      <x:c r="C1944" s="30" t="str">
        <x:v>human.health_model</x:v>
      </x:c>
      <x:c r="D1944" s="30" t="str">
        <x:v>候选输入schema</x:v>
      </x:c>
      <x:c r="E1944" s="30" t="str">
        <x:v>按执行角色权限读取；策略只能使用可访问快照</x:v>
      </x:c>
    </x:row>
    <x:row r="1945" ht="32" customHeight="1">
      <x:c r="A1945" s="30" t="str">
        <x:v>A022</x:v>
      </x:c>
      <x:c r="B1945" s="30" t="str">
        <x:v>F081</x:v>
      </x:c>
      <x:c r="C1945" s="30" t="str">
        <x:v>human.health_value</x:v>
      </x:c>
      <x:c r="D1945" s="30" t="str">
        <x:v>候选输入schema</x:v>
      </x:c>
      <x:c r="E1945" s="30" t="str">
        <x:v>按执行角色权限读取；策略只能使用可访问快照</x:v>
      </x:c>
    </x:row>
    <x:row r="1946" ht="32" customHeight="1">
      <x:c r="A1946" s="30" t="str">
        <x:v>A022</x:v>
      </x:c>
      <x:c r="B1946" s="30" t="str">
        <x:v>F082</x:v>
      </x:c>
      <x:c r="C1946" s="30" t="str">
        <x:v>human.support_received</x:v>
      </x:c>
      <x:c r="D1946" s="30" t="str">
        <x:v>候选输入schema</x:v>
      </x:c>
      <x:c r="E1946" s="30" t="str">
        <x:v>按执行角色权限读取；策略只能使用可访问快照</x:v>
      </x:c>
    </x:row>
    <x:row r="1947" ht="32" customHeight="1">
      <x:c r="A1947" s="30" t="str">
        <x:v>A022</x:v>
      </x:c>
      <x:c r="B1947" s="30" t="str">
        <x:v>F083</x:v>
      </x:c>
      <x:c r="C1947" s="30" t="str">
        <x:v>human.carrier_id</x:v>
      </x:c>
      <x:c r="D1947" s="30" t="str">
        <x:v>候选输入schema</x:v>
      </x:c>
      <x:c r="E1947" s="30" t="str">
        <x:v>按执行角色权限读取；策略只能使用可访问快照</x:v>
      </x:c>
    </x:row>
    <x:row r="1948" ht="32" customHeight="1">
      <x:c r="A1948" s="30" t="str">
        <x:v>A022</x:v>
      </x:c>
      <x:c r="B1948" s="30" t="str">
        <x:v>F084</x:v>
      </x:c>
      <x:c r="C1948" s="30" t="str">
        <x:v>human.destination_id</x:v>
      </x:c>
      <x:c r="D1948" s="30" t="str">
        <x:v>候选输入schema</x:v>
      </x:c>
      <x:c r="E1948" s="30" t="str">
        <x:v>按执行角色权限读取；策略只能使用可访问快照</x:v>
      </x:c>
    </x:row>
    <x:row r="1949" ht="32" customHeight="1">
      <x:c r="A1949" s="30" t="str">
        <x:v>A022</x:v>
      </x:c>
      <x:c r="B1949" s="30" t="str">
        <x:v>F085</x:v>
      </x:c>
      <x:c r="C1949" s="30" t="str">
        <x:v>human.handover_status</x:v>
      </x:c>
      <x:c r="D1949" s="30" t="str">
        <x:v>候选输入schema</x:v>
      </x:c>
      <x:c r="E1949" s="30" t="str">
        <x:v>按执行角色权限读取；策略只能使用可访问快照</x:v>
      </x:c>
    </x:row>
    <x:row r="1950" ht="32" customHeight="1">
      <x:c r="A1950" s="30" t="str">
        <x:v>A022</x:v>
      </x:c>
      <x:c r="B1950" s="30" t="str">
        <x:v>F086</x:v>
      </x:c>
      <x:c r="C1950" s="30" t="str">
        <x:v>human.last_assessed_s</x:v>
      </x:c>
      <x:c r="D1950" s="30" t="str">
        <x:v>候选输入schema</x:v>
      </x:c>
      <x:c r="E1950" s="30" t="str">
        <x:v>按执行角色权限读取；策略只能使用可访问快照</x:v>
      </x:c>
    </x:row>
    <x:row r="1951" ht="32" customHeight="1">
      <x:c r="A1951" s="30" t="str">
        <x:v>A022</x:v>
      </x:c>
      <x:c r="B1951" s="30" t="str">
        <x:v>F087</x:v>
      </x:c>
      <x:c r="C1951" s="30" t="str">
        <x:v>human.identity_association</x:v>
      </x:c>
      <x:c r="D1951" s="30" t="str">
        <x:v>候选输入schema</x:v>
      </x:c>
      <x:c r="E1951" s="30" t="str">
        <x:v>按执行角色权限读取；策略只能使用可访问快照</x:v>
      </x:c>
    </x:row>
    <x:row r="1952" ht="32" customHeight="1">
      <x:c r="A1952" s="30" t="str">
        <x:v>A022</x:v>
      </x:c>
      <x:c r="B1952" s="30" t="str">
        <x:v>F141</x:v>
      </x:c>
      <x:c r="C1952" s="30" t="str">
        <x:v>station.kind</x:v>
      </x:c>
      <x:c r="D1952" s="30" t="str">
        <x:v>候选输入schema</x:v>
      </x:c>
      <x:c r="E1952" s="30" t="str">
        <x:v>按执行角色权限读取；策略只能使用可访问快照</x:v>
      </x:c>
    </x:row>
    <x:row r="1953" ht="32" customHeight="1">
      <x:c r="A1953" s="30" t="str">
        <x:v>A022</x:v>
      </x:c>
      <x:c r="B1953" s="30" t="str">
        <x:v>F142</x:v>
      </x:c>
      <x:c r="C1953" s="30" t="str">
        <x:v>station.capacity</x:v>
      </x:c>
      <x:c r="D1953" s="30" t="str">
        <x:v>候选输入schema</x:v>
      </x:c>
      <x:c r="E1953" s="30" t="str">
        <x:v>按执行角色权限读取；策略只能使用可访问快照</x:v>
      </x:c>
    </x:row>
    <x:row r="1954" ht="32" customHeight="1">
      <x:c r="A1954" s="30" t="str">
        <x:v>A022</x:v>
      </x:c>
      <x:c r="B1954" s="30" t="str">
        <x:v>F143</x:v>
      </x:c>
      <x:c r="C1954" s="30" t="str">
        <x:v>station.occupied</x:v>
      </x:c>
      <x:c r="D1954" s="30" t="str">
        <x:v>候选输入schema</x:v>
      </x:c>
      <x:c r="E1954" s="30" t="str">
        <x:v>按执行角色权限读取；策略只能使用可访问快照</x:v>
      </x:c>
    </x:row>
    <x:row r="1955" ht="32" customHeight="1">
      <x:c r="A1955" s="30" t="str">
        <x:v>A022</x:v>
      </x:c>
      <x:c r="B1955" s="30" t="str">
        <x:v>F144</x:v>
      </x:c>
      <x:c r="C1955" s="30" t="str">
        <x:v>station.inventory</x:v>
      </x:c>
      <x:c r="D1955" s="30" t="str">
        <x:v>候选输入schema</x:v>
      </x:c>
      <x:c r="E1955" s="30" t="str">
        <x:v>按执行角色权限读取；策略只能使用可访问快照</x:v>
      </x:c>
    </x:row>
    <x:row r="1956" ht="32" customHeight="1">
      <x:c r="A1956" s="30" t="str">
        <x:v>A022</x:v>
      </x:c>
      <x:c r="B1956" s="30" t="str">
        <x:v>F145</x:v>
      </x:c>
      <x:c r="C1956" s="30" t="str">
        <x:v>station.power_W</x:v>
      </x:c>
      <x:c r="D1956" s="30" t="str">
        <x:v>候选输入schema</x:v>
      </x:c>
      <x:c r="E1956" s="30" t="str">
        <x:v>按执行角色权限读取；策略只能使用可访问快照</x:v>
      </x:c>
    </x:row>
    <x:row r="1957" ht="32" customHeight="1">
      <x:c r="A1957" s="30" t="str">
        <x:v>A022</x:v>
      </x:c>
      <x:c r="B1957" s="30" t="str">
        <x:v>F146</x:v>
      </x:c>
      <x:c r="C1957" s="30" t="str">
        <x:v>station.connector_types</x:v>
      </x:c>
      <x:c r="D1957" s="30" t="str">
        <x:v>候选输入schema</x:v>
      </x:c>
      <x:c r="E1957" s="30" t="str">
        <x:v>按执行角色权限读取；策略只能使用可访问快照</x:v>
      </x:c>
    </x:row>
    <x:row r="1958" ht="32" customHeight="1">
      <x:c r="A1958" s="30" t="str">
        <x:v>A022</x:v>
      </x:c>
      <x:c r="B1958" s="30" t="str">
        <x:v>F147</x:v>
      </x:c>
      <x:c r="C1958" s="30" t="str">
        <x:v>station.queue_ids</x:v>
      </x:c>
      <x:c r="D1958" s="30" t="str">
        <x:v>候选输入schema</x:v>
      </x:c>
      <x:c r="E1958" s="30" t="str">
        <x:v>按执行角色权限读取；策略只能使用可访问快照</x:v>
      </x:c>
    </x:row>
    <x:row r="1959" ht="32" customHeight="1">
      <x:c r="A1959" s="30" t="str">
        <x:v>A022</x:v>
      </x:c>
      <x:c r="B1959" s="30" t="str">
        <x:v>F148</x:v>
      </x:c>
      <x:c r="C1959" s="30" t="str">
        <x:v>station.open_state</x:v>
      </x:c>
      <x:c r="D1959" s="30" t="str">
        <x:v>候选输入schema</x:v>
      </x:c>
      <x:c r="E1959" s="30" t="str">
        <x:v>按执行角色权限读取；策略只能使用可访问快照</x:v>
      </x:c>
    </x:row>
    <x:row r="1960" ht="32" customHeight="1">
      <x:c r="A1960" s="30" t="str">
        <x:v>A022</x:v>
      </x:c>
      <x:c r="B1960" s="30" t="str">
        <x:v>F149</x:v>
      </x:c>
      <x:c r="C1960" s="30" t="str">
        <x:v>station.accepted_need_types</x:v>
      </x:c>
      <x:c r="D1960" s="30" t="str">
        <x:v>候选输入schema</x:v>
      </x:c>
      <x:c r="E1960" s="30" t="str">
        <x:v>按执行角色权限读取；策略只能使用可访问快照</x:v>
      </x:c>
    </x:row>
    <x:row r="1961" ht="32" customHeight="1">
      <x:c r="A1961" s="30" t="str">
        <x:v>A022</x:v>
      </x:c>
      <x:c r="B1961" s="30" t="str">
        <x:v>F150</x:v>
      </x:c>
      <x:c r="C1961" s="30" t="str">
        <x:v>station.access_region</x:v>
      </x:c>
      <x:c r="D1961" s="30" t="str">
        <x:v>候选输入schema</x:v>
      </x:c>
      <x:c r="E1961" s="30" t="str">
        <x:v>按执行角色权限读取；策略只能使用可访问快照</x:v>
      </x:c>
    </x:row>
    <x:row r="1962" ht="32" customHeight="1">
      <x:c r="A1962" s="30" t="str">
        <x:v>A022</x:v>
      </x:c>
      <x:c r="B1962" s="30" t="str">
        <x:v>F196</x:v>
      </x:c>
      <x:c r="C1962" s="30" t="str">
        <x:v>task.type</x:v>
      </x:c>
      <x:c r="D1962" s="30" t="str">
        <x:v>候选输入schema</x:v>
      </x:c>
      <x:c r="E1962" s="30" t="str">
        <x:v>按执行角色权限读取；策略只能使用可访问快照</x:v>
      </x:c>
    </x:row>
    <x:row r="1963" ht="32" customHeight="1">
      <x:c r="A1963" s="30" t="str">
        <x:v>A022</x:v>
      </x:c>
      <x:c r="B1963" s="30" t="str">
        <x:v>F197</x:v>
      </x:c>
      <x:c r="C1963" s="30" t="str">
        <x:v>task.creator_id</x:v>
      </x:c>
      <x:c r="D1963" s="30" t="str">
        <x:v>候选输入schema</x:v>
      </x:c>
      <x:c r="E1963" s="30" t="str">
        <x:v>按执行角色权限读取；策略只能使用可访问快照</x:v>
      </x:c>
    </x:row>
    <x:row r="1964" ht="32" customHeight="1">
      <x:c r="A1964" s="30" t="str">
        <x:v>A022</x:v>
      </x:c>
      <x:c r="B1964" s="30" t="str">
        <x:v>F198</x:v>
      </x:c>
      <x:c r="C1964" s="30" t="str">
        <x:v>task.target_ref</x:v>
      </x:c>
      <x:c r="D1964" s="30" t="str">
        <x:v>候选输入schema</x:v>
      </x:c>
      <x:c r="E1964" s="30" t="str">
        <x:v>按执行角色权限读取；策略只能使用可访问快照</x:v>
      </x:c>
    </x:row>
    <x:row r="1965" ht="32" customHeight="1">
      <x:c r="A1965" s="30" t="str">
        <x:v>A022</x:v>
      </x:c>
      <x:c r="B1965" s="30" t="str">
        <x:v>F199</x:v>
      </x:c>
      <x:c r="C1965" s="30" t="str">
        <x:v>task.goal_predicate</x:v>
      </x:c>
      <x:c r="D1965" s="30" t="str">
        <x:v>候选输入schema</x:v>
      </x:c>
      <x:c r="E1965" s="30" t="str">
        <x:v>按执行角色权限读取；策略只能使用可访问快照</x:v>
      </x:c>
    </x:row>
    <x:row r="1966" ht="32" customHeight="1">
      <x:c r="A1966" s="30" t="str">
        <x:v>A022</x:v>
      </x:c>
      <x:c r="B1966" s="30" t="str">
        <x:v>F200</x:v>
      </x:c>
      <x:c r="C1966" s="30" t="str">
        <x:v>task.revision</x:v>
      </x:c>
      <x:c r="D1966" s="30" t="str">
        <x:v>候选输入schema</x:v>
      </x:c>
      <x:c r="E1966" s="30" t="str">
        <x:v>按执行角色权限读取；策略只能使用可访问快照</x:v>
      </x:c>
    </x:row>
    <x:row r="1967" ht="32" customHeight="1">
      <x:c r="A1967" s="30" t="str">
        <x:v>A022</x:v>
      </x:c>
      <x:c r="B1967" s="30" t="str">
        <x:v>F201</x:v>
      </x:c>
      <x:c r="C1967" s="30" t="str">
        <x:v>task.status</x:v>
      </x:c>
      <x:c r="D1967" s="30" t="str">
        <x:v>候选输入schema</x:v>
      </x:c>
      <x:c r="E1967" s="30" t="str">
        <x:v>按执行角色权限读取；策略只能使用可访问快照</x:v>
      </x:c>
    </x:row>
    <x:row r="1968" ht="32" customHeight="1">
      <x:c r="A1968" s="30" t="str">
        <x:v>A022</x:v>
      </x:c>
      <x:c r="B1968" s="30" t="str">
        <x:v>F202</x:v>
      </x:c>
      <x:c r="C1968" s="30" t="str">
        <x:v>task.priority</x:v>
      </x:c>
      <x:c r="D1968" s="30" t="str">
        <x:v>候选输入schema</x:v>
      </x:c>
      <x:c r="E1968" s="30" t="str">
        <x:v>按执行角色权限读取；策略只能使用可访问快照</x:v>
      </x:c>
    </x:row>
    <x:row r="1969" ht="32" customHeight="1">
      <x:c r="A1969" s="30" t="str">
        <x:v>A022</x:v>
      </x:c>
      <x:c r="B1969" s="30" t="str">
        <x:v>F203</x:v>
      </x:c>
      <x:c r="C1969" s="30" t="str">
        <x:v>task.deadline_s</x:v>
      </x:c>
      <x:c r="D1969" s="30" t="str">
        <x:v>候选输入schema</x:v>
      </x:c>
      <x:c r="E1969" s="30" t="str">
        <x:v>按执行角色权限读取；策略只能使用可访问快照</x:v>
      </x:c>
    </x:row>
    <x:row r="1970" ht="32" customHeight="1">
      <x:c r="A1970" s="30" t="str">
        <x:v>A022</x:v>
      </x:c>
      <x:c r="B1970" s="30" t="str">
        <x:v>F204</x:v>
      </x:c>
      <x:c r="C1970" s="30" t="str">
        <x:v>task.dependency_ids</x:v>
      </x:c>
      <x:c r="D1970" s="30" t="str">
        <x:v>候选输入schema</x:v>
      </x:c>
      <x:c r="E1970" s="30" t="str">
        <x:v>按执行角色权限读取；策略只能使用可访问快照</x:v>
      </x:c>
    </x:row>
    <x:row r="1971" ht="32" customHeight="1">
      <x:c r="A1971" s="30" t="str">
        <x:v>A022</x:v>
      </x:c>
      <x:c r="B1971" s="30" t="str">
        <x:v>F205</x:v>
      </x:c>
      <x:c r="C1971" s="30" t="str">
        <x:v>task.required_capability_ids</x:v>
      </x:c>
      <x:c r="D1971" s="30" t="str">
        <x:v>候选输入schema</x:v>
      </x:c>
      <x:c r="E1971" s="30" t="str">
        <x:v>按执行角色权限读取；策略只能使用可访问快照</x:v>
      </x:c>
    </x:row>
    <x:row r="1972" ht="32" customHeight="1">
      <x:c r="A1972" s="30" t="str">
        <x:v>A022</x:v>
      </x:c>
      <x:c r="B1972" s="30" t="str">
        <x:v>F206</x:v>
      </x:c>
      <x:c r="C1972" s="30" t="str">
        <x:v>task.resource_budget</x:v>
      </x:c>
      <x:c r="D1972" s="30" t="str">
        <x:v>候选输入schema</x:v>
      </x:c>
      <x:c r="E1972" s="30" t="str">
        <x:v>按执行角色权限读取；策略只能使用可访问快照</x:v>
      </x:c>
    </x:row>
    <x:row r="1973" ht="32" customHeight="1">
      <x:c r="A1973" s="30" t="str">
        <x:v>A022</x:v>
      </x:c>
      <x:c r="B1973" s="30" t="str">
        <x:v>F207</x:v>
      </x:c>
      <x:c r="C1973" s="30" t="str">
        <x:v>task.assigned_to</x:v>
      </x:c>
      <x:c r="D1973" s="30" t="str">
        <x:v>候选输入schema</x:v>
      </x:c>
      <x:c r="E1973" s="30" t="str">
        <x:v>按执行角色权限读取；策略只能使用可访问快照</x:v>
      </x:c>
    </x:row>
    <x:row r="1974" ht="32" customHeight="1">
      <x:c r="A1974" s="30" t="str">
        <x:v>A022</x:v>
      </x:c>
      <x:c r="B1974" s="30" t="str">
        <x:v>F208</x:v>
      </x:c>
      <x:c r="C1974" s="30" t="str">
        <x:v>task.accepted_by</x:v>
      </x:c>
      <x:c r="D1974" s="30" t="str">
        <x:v>候选输入schema</x:v>
      </x:c>
      <x:c r="E1974" s="30" t="str">
        <x:v>按执行角色权限读取；策略只能使用可访问快照</x:v>
      </x:c>
    </x:row>
    <x:row r="1975" ht="32" customHeight="1">
      <x:c r="A1975" s="30" t="str">
        <x:v>A022</x:v>
      </x:c>
      <x:c r="B1975" s="30" t="str">
        <x:v>F209</x:v>
      </x:c>
      <x:c r="C1975" s="30" t="str">
        <x:v>task.commitment_window</x:v>
      </x:c>
      <x:c r="D1975" s="30" t="str">
        <x:v>候选输入schema</x:v>
      </x:c>
      <x:c r="E1975" s="30" t="str">
        <x:v>按执行角色权限读取；策略只能使用可访问快照</x:v>
      </x:c>
    </x:row>
    <x:row r="1976" ht="32" customHeight="1">
      <x:c r="A1976" s="30" t="str">
        <x:v>A022</x:v>
      </x:c>
      <x:c r="B1976" s="30" t="str">
        <x:v>F210</x:v>
      </x:c>
      <x:c r="C1976" s="30" t="str">
        <x:v>task.progress</x:v>
      </x:c>
      <x:c r="D1976" s="30" t="str">
        <x:v>候选输入schema</x:v>
      </x:c>
      <x:c r="E1976" s="30" t="str">
        <x:v>按执行角色权限读取；策略只能使用可访问快照</x:v>
      </x:c>
    </x:row>
    <x:row r="1977" ht="32" customHeight="1">
      <x:c r="A1977" s="30" t="str">
        <x:v>A022</x:v>
      </x:c>
      <x:c r="B1977" s="30" t="str">
        <x:v>F211</x:v>
      </x:c>
      <x:c r="C1977" s="30" t="str">
        <x:v>task.active_action_ids</x:v>
      </x:c>
      <x:c r="D1977" s="30" t="str">
        <x:v>候选输入schema</x:v>
      </x:c>
      <x:c r="E1977" s="30" t="str">
        <x:v>按执行角色权限读取；策略只能使用可访问快照</x:v>
      </x:c>
    </x:row>
    <x:row r="1978" ht="32" customHeight="1">
      <x:c r="A1978" s="30" t="str">
        <x:v>A022</x:v>
      </x:c>
      <x:c r="B1978" s="30" t="str">
        <x:v>F212</x:v>
      </x:c>
      <x:c r="C1978" s="30" t="str">
        <x:v>task.interruptibility</x:v>
      </x:c>
      <x:c r="D1978" s="30" t="str">
        <x:v>候选输入schema</x:v>
      </x:c>
      <x:c r="E1978" s="30" t="str">
        <x:v>按执行角色权限读取；策略只能使用可访问快照</x:v>
      </x:c>
    </x:row>
    <x:row r="1979" ht="32" customHeight="1">
      <x:c r="A1979" s="30" t="str">
        <x:v>A022</x:v>
      </x:c>
      <x:c r="B1979" s="30" t="str">
        <x:v>F213</x:v>
      </x:c>
      <x:c r="C1979" s="30" t="str">
        <x:v>task.original_task_id</x:v>
      </x:c>
      <x:c r="D1979" s="30" t="str">
        <x:v>候选输入schema</x:v>
      </x:c>
      <x:c r="E1979" s="30" t="str">
        <x:v>按执行角色权限读取；策略只能使用可访问快照</x:v>
      </x:c>
    </x:row>
    <x:row r="1980" ht="32" customHeight="1">
      <x:c r="A1980" s="30" t="str">
        <x:v>A022</x:v>
      </x:c>
      <x:c r="B1980" s="30" t="str">
        <x:v>F214</x:v>
      </x:c>
      <x:c r="C1980" s="30" t="str">
        <x:v>task.resume_checkpoint</x:v>
      </x:c>
      <x:c r="D1980" s="30" t="str">
        <x:v>候选输入schema</x:v>
      </x:c>
      <x:c r="E1980" s="30" t="str">
        <x:v>按执行角色权限读取；策略只能使用可访问快照</x:v>
      </x:c>
    </x:row>
    <x:row r="1981" ht="32" customHeight="1">
      <x:c r="A1981" s="30" t="str">
        <x:v>A022</x:v>
      </x:c>
      <x:c r="B1981" s="30" t="str">
        <x:v>F215</x:v>
      </x:c>
      <x:c r="C1981" s="30" t="str">
        <x:v>task.handoff_target_id</x:v>
      </x:c>
      <x:c r="D1981" s="30" t="str">
        <x:v>候选输入schema</x:v>
      </x:c>
      <x:c r="E1981" s="30" t="str">
        <x:v>按执行角色权限读取；策略只能使用可访问快照</x:v>
      </x:c>
    </x:row>
    <x:row r="1982" ht="32" customHeight="1">
      <x:c r="A1982" s="30" t="str">
        <x:v>A022</x:v>
      </x:c>
      <x:c r="B1982" s="30" t="str">
        <x:v>F216</x:v>
      </x:c>
      <x:c r="C1982" s="30" t="str">
        <x:v>task.result_evidence_ids</x:v>
      </x:c>
      <x:c r="D1982" s="30" t="str">
        <x:v>候选输入schema</x:v>
      </x:c>
      <x:c r="E1982" s="30" t="str">
        <x:v>按执行角色权限读取；策略只能使用可访问快照</x:v>
      </x:c>
    </x:row>
    <x:row r="1983" ht="32" customHeight="1">
      <x:c r="A1983" s="30" t="str">
        <x:v>A022</x:v>
      </x:c>
      <x:c r="B1983" s="30" t="str">
        <x:v>F217</x:v>
      </x:c>
      <x:c r="C1983" s="30" t="str">
        <x:v>task.failure_reason</x:v>
      </x:c>
      <x:c r="D1983" s="30" t="str">
        <x:v>候选输入schema</x:v>
      </x:c>
      <x:c r="E1983" s="30" t="str">
        <x:v>按执行角色权限读取；策略只能使用可访问快照</x:v>
      </x:c>
    </x:row>
    <x:row r="1984" ht="32" customHeight="1">
      <x:c r="A1984" s="30" t="str">
        <x:v>A022</x:v>
      </x:c>
      <x:c r="B1984" s="30" t="str">
        <x:v>F218</x:v>
      </x:c>
      <x:c r="C1984" s="30" t="str">
        <x:v>task.last_event_s</x:v>
      </x:c>
      <x:c r="D1984" s="30" t="str">
        <x:v>候选输入schema</x:v>
      </x:c>
      <x:c r="E1984" s="30" t="str">
        <x:v>按执行角色权限读取；策略只能使用可访问快照</x:v>
      </x:c>
    </x:row>
    <x:row r="1985" ht="32" customHeight="1">
      <x:c r="A1985" s="30" t="str">
        <x:v>A022</x:v>
      </x:c>
      <x:c r="B1985" s="30" t="str">
        <x:v>F219</x:v>
      </x:c>
      <x:c r="C1985" s="30" t="str">
        <x:v>task.opportunity_cost</x:v>
      </x:c>
      <x:c r="D1985" s="30" t="str">
        <x:v>候选输入schema</x:v>
      </x:c>
      <x:c r="E1985" s="30" t="str">
        <x:v>按执行角色权限读取；策略只能使用可访问快照</x:v>
      </x:c>
    </x:row>
    <x:row r="1986" ht="32" customHeight="1">
      <x:c r="A1986" s="30" t="str">
        <x:v>A022</x:v>
      </x:c>
      <x:c r="B1986" s="30" t="str">
        <x:v>F230</x:v>
      </x:c>
      <x:c r="C1986" s="30" t="str">
        <x:v>action.type</x:v>
      </x:c>
      <x:c r="D1986" s="30" t="str">
        <x:v>候选输入schema</x:v>
      </x:c>
      <x:c r="E1986" s="30" t="str">
        <x:v>按执行角色权限读取；策略只能使用可访问快照</x:v>
      </x:c>
    </x:row>
    <x:row r="1987" ht="32" customHeight="1">
      <x:c r="A1987" s="30" t="str">
        <x:v>A022</x:v>
      </x:c>
      <x:c r="B1987" s="30" t="str">
        <x:v>F231</x:v>
      </x:c>
      <x:c r="C1987" s="30" t="str">
        <x:v>action.executor_id</x:v>
      </x:c>
      <x:c r="D1987" s="30" t="str">
        <x:v>候选输入schema</x:v>
      </x:c>
      <x:c r="E1987" s="30" t="str">
        <x:v>按执行角色权限读取；策略只能使用可访问快照</x:v>
      </x:c>
    </x:row>
    <x:row r="1988" ht="32" customHeight="1">
      <x:c r="A1988" s="30" t="str">
        <x:v>A022</x:v>
      </x:c>
      <x:c r="B1988" s="30" t="str">
        <x:v>F232</x:v>
      </x:c>
      <x:c r="C1988" s="30" t="str">
        <x:v>action.task_ref</x:v>
      </x:c>
      <x:c r="D1988" s="30" t="str">
        <x:v>候选输入schema</x:v>
      </x:c>
      <x:c r="E1988" s="30" t="str">
        <x:v>按执行角色权限读取；策略只能使用可访问快照</x:v>
      </x:c>
    </x:row>
    <x:row r="1989" ht="32" customHeight="1">
      <x:c r="A1989" s="30" t="str">
        <x:v>A022</x:v>
      </x:c>
      <x:c r="B1989" s="30" t="str">
        <x:v>F233</x:v>
      </x:c>
      <x:c r="C1989" s="30" t="str">
        <x:v>action.target_ref</x:v>
      </x:c>
      <x:c r="D1989" s="30" t="str">
        <x:v>候选输入schema</x:v>
      </x:c>
      <x:c r="E1989" s="30" t="str">
        <x:v>按执行角色权限读取；策略只能使用可访问快照</x:v>
      </x:c>
    </x:row>
    <x:row r="1990" ht="32" customHeight="1">
      <x:c r="A1990" s="30" t="str">
        <x:v>A022</x:v>
      </x:c>
      <x:c r="B1990" s="30" t="str">
        <x:v>F234</x:v>
      </x:c>
      <x:c r="C1990" s="30" t="str">
        <x:v>action.parameters</x:v>
      </x:c>
      <x:c r="D1990" s="30" t="str">
        <x:v>候选输入schema</x:v>
      </x:c>
      <x:c r="E1990" s="30" t="str">
        <x:v>按执行角色权限读取；策略只能使用可访问快照</x:v>
      </x:c>
    </x:row>
    <x:row r="1991" ht="32" customHeight="1">
      <x:c r="A1991" s="30" t="str">
        <x:v>A022</x:v>
      </x:c>
      <x:c r="B1991" s="30" t="str">
        <x:v>F235</x:v>
      </x:c>
      <x:c r="C1991" s="30" t="str">
        <x:v>action.status</x:v>
      </x:c>
      <x:c r="D1991" s="30" t="str">
        <x:v>候选输入schema</x:v>
      </x:c>
      <x:c r="E1991" s="30" t="str">
        <x:v>按执行角色权限读取；策略只能使用可访问快照</x:v>
      </x:c>
    </x:row>
    <x:row r="1992" ht="32" customHeight="1">
      <x:c r="A1992" s="30" t="str">
        <x:v>A022</x:v>
      </x:c>
      <x:c r="B1992" s="30" t="str">
        <x:v>F236</x:v>
      </x:c>
      <x:c r="C1992" s="30" t="str">
        <x:v>action.start_s</x:v>
      </x:c>
      <x:c r="D1992" s="30" t="str">
        <x:v>候选输入schema</x:v>
      </x:c>
      <x:c r="E1992" s="30" t="str">
        <x:v>按执行角色权限读取；策略只能使用可访问快照</x:v>
      </x:c>
    </x:row>
    <x:row r="1993" ht="32" customHeight="1">
      <x:c r="A1993" s="30" t="str">
        <x:v>A022</x:v>
      </x:c>
      <x:c r="B1993" s="30" t="str">
        <x:v>F237</x:v>
      </x:c>
      <x:c r="C1993" s="30" t="str">
        <x:v>action.finish_s</x:v>
      </x:c>
      <x:c r="D1993" s="30" t="str">
        <x:v>候选输入schema</x:v>
      </x:c>
      <x:c r="E1993" s="30" t="str">
        <x:v>按执行角色权限读取；策略只能使用可访问快照</x:v>
      </x:c>
    </x:row>
    <x:row r="1994" ht="32" customHeight="1">
      <x:c r="A1994" s="30" t="str">
        <x:v>A022</x:v>
      </x:c>
      <x:c r="B1994" s="30" t="str">
        <x:v>F238</x:v>
      </x:c>
      <x:c r="C1994" s="30" t="str">
        <x:v>action.reserved_resources</x:v>
      </x:c>
      <x:c r="D1994" s="30" t="str">
        <x:v>候选输入schema</x:v>
      </x:c>
      <x:c r="E1994" s="30" t="str">
        <x:v>按执行角色权限读取；策略只能使用可访问快照</x:v>
      </x:c>
    </x:row>
    <x:row r="1995" ht="32" customHeight="1">
      <x:c r="A1995" s="30" t="str">
        <x:v>A022</x:v>
      </x:c>
      <x:c r="B1995" s="30" t="str">
        <x:v>F239</x:v>
      </x:c>
      <x:c r="C1995" s="30" t="str">
        <x:v>action.consumed_resources</x:v>
      </x:c>
      <x:c r="D1995" s="30" t="str">
        <x:v>候选输入schema</x:v>
      </x:c>
      <x:c r="E1995" s="30" t="str">
        <x:v>按执行角色权限读取；策略只能使用可访问快照</x:v>
      </x:c>
    </x:row>
    <x:row r="1996" ht="32" customHeight="1">
      <x:c r="A1996" s="30" t="str">
        <x:v>A022</x:v>
      </x:c>
      <x:c r="B1996" s="30" t="str">
        <x:v>F240</x:v>
      </x:c>
      <x:c r="C1996" s="30" t="str">
        <x:v>action.feedback</x:v>
      </x:c>
      <x:c r="D1996" s="30" t="str">
        <x:v>候选输入schema</x:v>
      </x:c>
      <x:c r="E1996" s="30" t="str">
        <x:v>按执行角色权限读取；策略只能使用可访问快照</x:v>
      </x:c>
    </x:row>
    <x:row r="1997" ht="32" customHeight="1">
      <x:c r="A1997" s="30" t="str">
        <x:v>A022</x:v>
      </x:c>
      <x:c r="B1997" s="30" t="str">
        <x:v>F241</x:v>
      </x:c>
      <x:c r="C1997" s="30" t="str">
        <x:v>action.result</x:v>
      </x:c>
      <x:c r="D1997" s="30" t="str">
        <x:v>候选输入schema</x:v>
      </x:c>
      <x:c r="E1997" s="30" t="str">
        <x:v>按执行角色权限读取；策略只能使用可访问快照</x:v>
      </x:c>
    </x:row>
    <x:row r="1998" ht="32" customHeight="1">
      <x:c r="A1998" s="30" t="str">
        <x:v>A022</x:v>
      </x:c>
      <x:c r="B1998" s="30" t="str">
        <x:v>F242</x:v>
      </x:c>
      <x:c r="C1998" s="30" t="str">
        <x:v>action.rejection_code</x:v>
      </x:c>
      <x:c r="D1998" s="30" t="str">
        <x:v>候选输入schema</x:v>
      </x:c>
      <x:c r="E1998" s="30" t="str">
        <x:v>按执行角色权限读取；策略只能使用可访问快照</x:v>
      </x:c>
    </x:row>
    <x:row r="1999" ht="32" customHeight="1">
      <x:c r="A1999" s="30" t="str">
        <x:v>A022</x:v>
      </x:c>
      <x:c r="B1999" s="30" t="str">
        <x:v>F243</x:v>
      </x:c>
      <x:c r="C1999" s="30" t="str">
        <x:v>action.failure_code</x:v>
      </x:c>
      <x:c r="D1999" s="30" t="str">
        <x:v>候选输入schema</x:v>
      </x:c>
      <x:c r="E1999" s="30" t="str">
        <x:v>按执行角色权限读取；策略只能使用可访问快照</x:v>
      </x:c>
    </x:row>
    <x:row r="2000" ht="32" customHeight="1">
      <x:c r="A2000" s="30" t="str">
        <x:v>A022</x:v>
      </x:c>
      <x:c r="B2000" s="30" t="str">
        <x:v>F244</x:v>
      </x:c>
      <x:c r="C2000" s="30" t="str">
        <x:v>action.cancel_requested</x:v>
      </x:c>
      <x:c r="D2000" s="30" t="str">
        <x:v>候选输入schema</x:v>
      </x:c>
      <x:c r="E2000" s="30" t="str">
        <x:v>按执行角色权限读取；策略只能使用可访问快照</x:v>
      </x:c>
    </x:row>
    <x:row r="2001" ht="32" customHeight="1">
      <x:c r="A2001" s="30" t="str">
        <x:v>A022</x:v>
      </x:c>
      <x:c r="B2001" s="30" t="str">
        <x:v>F245</x:v>
      </x:c>
      <x:c r="C2001" s="30" t="str">
        <x:v>action.backend_mode</x:v>
      </x:c>
      <x:c r="D2001" s="30" t="str">
        <x:v>候选输入schema</x:v>
      </x:c>
      <x:c r="E2001" s="30" t="str">
        <x:v>按执行角色权限读取；策略只能使用可访问快照</x:v>
      </x:c>
    </x:row>
    <x:row r="2002" ht="32" customHeight="1">
      <x:c r="A2002" s="30" t="str">
        <x:v>A022</x:v>
      </x:c>
      <x:c r="B2002" s="30" t="str">
        <x:v>F083</x:v>
      </x:c>
      <x:c r="C2002" s="30" t="str">
        <x:v>human.carrier_id</x:v>
      </x:c>
      <x:c r="D2002" s="30" t="str">
        <x:v>直接效果</x:v>
      </x:c>
      <x:c r="E2002" s="30" t="str">
        <x:v>经实际执行/回执提交；不是规划时提前修改</x:v>
      </x:c>
    </x:row>
    <x:row r="2003" ht="32" customHeight="1">
      <x:c r="A2003" s="30" t="str">
        <x:v>A022</x:v>
      </x:c>
      <x:c r="B2003" s="30" t="str">
        <x:v>F084</x:v>
      </x:c>
      <x:c r="C2003" s="30" t="str">
        <x:v>human.destination_id</x:v>
      </x:c>
      <x:c r="D2003" s="30" t="str">
        <x:v>直接效果</x:v>
      </x:c>
      <x:c r="E2003" s="30" t="str">
        <x:v>经实际执行/回执提交；不是规划时提前修改</x:v>
      </x:c>
    </x:row>
    <x:row r="2004" ht="32" customHeight="1">
      <x:c r="A2004" s="30" t="str">
        <x:v>A022</x:v>
      </x:c>
      <x:c r="B2004" s="30" t="str">
        <x:v>F085</x:v>
      </x:c>
      <x:c r="C2004" s="30" t="str">
        <x:v>human.handover_status</x:v>
      </x:c>
      <x:c r="D2004" s="30" t="str">
        <x:v>直接效果</x:v>
      </x:c>
      <x:c r="E2004" s="30" t="str">
        <x:v>经实际执行/回执提交；不是规划时提前修改</x:v>
      </x:c>
    </x:row>
    <x:row r="2005" ht="32" customHeight="1">
      <x:c r="A2005" s="30" t="str">
        <x:v>A022</x:v>
      </x:c>
      <x:c r="B2005" s="30" t="str">
        <x:v>F143</x:v>
      </x:c>
      <x:c r="C2005" s="30" t="str">
        <x:v>station.occupied</x:v>
      </x:c>
      <x:c r="D2005" s="30" t="str">
        <x:v>直接效果</x:v>
      </x:c>
      <x:c r="E2005" s="30" t="str">
        <x:v>经实际执行/回执提交；不是规划时提前修改</x:v>
      </x:c>
    </x:row>
    <x:row r="2006" ht="32" customHeight="1">
      <x:c r="A2006" s="30" t="str">
        <x:v>A023</x:v>
      </x:c>
      <x:c r="B2006" s="30" t="str">
        <x:v>F010</x:v>
      </x:c>
      <x:c r="C2006" s="30" t="str">
        <x:v>hazard.kind</x:v>
      </x:c>
      <x:c r="D2006" s="30" t="str">
        <x:v>候选输入schema</x:v>
      </x:c>
      <x:c r="E2006" s="30" t="str">
        <x:v>按执行角色权限读取；策略只能使用可访问快照</x:v>
      </x:c>
    </x:row>
    <x:row r="2007" ht="32" customHeight="1">
      <x:c r="A2007" s="30" t="str">
        <x:v>A023</x:v>
      </x:c>
      <x:c r="B2007" s="30" t="str">
        <x:v>F011</x:v>
      </x:c>
      <x:c r="C2007" s="30" t="str">
        <x:v>hazard.footprint</x:v>
      </x:c>
      <x:c r="D2007" s="30" t="str">
        <x:v>候选输入schema</x:v>
      </x:c>
      <x:c r="E2007" s="30" t="str">
        <x:v>按执行角色权限读取；策略只能使用可访问快照</x:v>
      </x:c>
    </x:row>
    <x:row r="2008" ht="32" customHeight="1">
      <x:c r="A2008" s="30" t="str">
        <x:v>A023</x:v>
      </x:c>
      <x:c r="B2008" s="30" t="str">
        <x:v>F012</x:v>
      </x:c>
      <x:c r="C2008" s="30" t="str">
        <x:v>hazard.intensity</x:v>
      </x:c>
      <x:c r="D2008" s="30" t="str">
        <x:v>候选输入schema</x:v>
      </x:c>
      <x:c r="E2008" s="30" t="str">
        <x:v>按执行角色权限读取；策略只能使用可访问快照</x:v>
      </x:c>
    </x:row>
    <x:row r="2009" ht="32" customHeight="1">
      <x:c r="A2009" s="30" t="str">
        <x:v>A023</x:v>
      </x:c>
      <x:c r="B2009" s="30" t="str">
        <x:v>F013</x:v>
      </x:c>
      <x:c r="C2009" s="30" t="str">
        <x:v>hazard.active</x:v>
      </x:c>
      <x:c r="D2009" s="30" t="str">
        <x:v>候选输入schema</x:v>
      </x:c>
      <x:c r="E2009" s="30" t="str">
        <x:v>按执行角色权限读取；策略只能使用可访问快照</x:v>
      </x:c>
    </x:row>
    <x:row r="2010" ht="32" customHeight="1">
      <x:c r="A2010" s="30" t="str">
        <x:v>A023</x:v>
      </x:c>
      <x:c r="B2010" s="30" t="str">
        <x:v>F014</x:v>
      </x:c>
      <x:c r="C2010" s="30" t="str">
        <x:v>hazard.water_depth_m</x:v>
      </x:c>
      <x:c r="D2010" s="30" t="str">
        <x:v>候选输入schema</x:v>
      </x:c>
      <x:c r="E2010" s="30" t="str">
        <x:v>按执行角色权限读取；策略只能使用可访问快照</x:v>
      </x:c>
    </x:row>
    <x:row r="2011" ht="32" customHeight="1">
      <x:c r="A2011" s="30" t="str">
        <x:v>A023</x:v>
      </x:c>
      <x:c r="B2011" s="30" t="str">
        <x:v>F015</x:v>
      </x:c>
      <x:c r="C2011" s="30" t="str">
        <x:v>hazard.flow_speed_mps</x:v>
      </x:c>
      <x:c r="D2011" s="30" t="str">
        <x:v>候选输入schema</x:v>
      </x:c>
      <x:c r="E2011" s="30" t="str">
        <x:v>按执行角色权限读取；策略只能使用可访问快照</x:v>
      </x:c>
    </x:row>
    <x:row r="2012" ht="32" customHeight="1">
      <x:c r="A2012" s="30" t="str">
        <x:v>A023</x:v>
      </x:c>
      <x:c r="B2012" s="30" t="str">
        <x:v>F016</x:v>
      </x:c>
      <x:c r="C2012" s="30" t="str">
        <x:v>hazard.smoke_density</x:v>
      </x:c>
      <x:c r="D2012" s="30" t="str">
        <x:v>候选输入schema</x:v>
      </x:c>
      <x:c r="E2012" s="30" t="str">
        <x:v>按执行角色权限读取；策略只能使用可访问快照</x:v>
      </x:c>
    </x:row>
    <x:row r="2013" ht="32" customHeight="1">
      <x:c r="A2013" s="30" t="str">
        <x:v>A023</x:v>
      </x:c>
      <x:c r="B2013" s="30" t="str">
        <x:v>F017</x:v>
      </x:c>
      <x:c r="C2013" s="30" t="str">
        <x:v>hazard.fire_intensity</x:v>
      </x:c>
      <x:c r="D2013" s="30" t="str">
        <x:v>候选输入schema</x:v>
      </x:c>
      <x:c r="E2013" s="30" t="str">
        <x:v>按执行角色权限读取；策略只能使用可访问快照</x:v>
      </x:c>
    </x:row>
    <x:row r="2014" ht="32" customHeight="1">
      <x:c r="A2014" s="30" t="str">
        <x:v>A023</x:v>
      </x:c>
      <x:c r="B2014" s="30" t="str">
        <x:v>F018</x:v>
      </x:c>
      <x:c r="C2014" s="30" t="str">
        <x:v>hazard.gas_level</x:v>
      </x:c>
      <x:c r="D2014" s="30" t="str">
        <x:v>候选输入schema</x:v>
      </x:c>
      <x:c r="E2014" s="30" t="str">
        <x:v>按执行角色权限读取；策略只能使用可访问快照</x:v>
      </x:c>
    </x:row>
    <x:row r="2015" ht="32" customHeight="1">
      <x:c r="A2015" s="30" t="str">
        <x:v>A023</x:v>
      </x:c>
      <x:c r="B2015" s="30" t="str">
        <x:v>F019</x:v>
      </x:c>
      <x:c r="C2015" s="30" t="str">
        <x:v>hazard.wind_mps</x:v>
      </x:c>
      <x:c r="D2015" s="30" t="str">
        <x:v>候选输入schema</x:v>
      </x:c>
      <x:c r="E2015" s="30" t="str">
        <x:v>按执行角色权限读取；策略只能使用可访问快照</x:v>
      </x:c>
    </x:row>
    <x:row r="2016" ht="32" customHeight="1">
      <x:c r="A2016" s="30" t="str">
        <x:v>A023</x:v>
      </x:c>
      <x:c r="B2016" s="30" t="str">
        <x:v>F020</x:v>
      </x:c>
      <x:c r="C2016" s="30" t="str">
        <x:v>hazard.visibility_m</x:v>
      </x:c>
      <x:c r="D2016" s="30" t="str">
        <x:v>候选输入schema</x:v>
      </x:c>
      <x:c r="E2016" s="30" t="str">
        <x:v>按执行角色权限读取；策略只能使用可访问快照</x:v>
      </x:c>
    </x:row>
    <x:row r="2017" ht="32" customHeight="1">
      <x:c r="A2017" s="30" t="str">
        <x:v>A023</x:v>
      </x:c>
      <x:c r="B2017" s="30" t="str">
        <x:v>F021</x:v>
      </x:c>
      <x:c r="C2017" s="30" t="str">
        <x:v>hazard.weather</x:v>
      </x:c>
      <x:c r="D2017" s="30" t="str">
        <x:v>候选输入schema</x:v>
      </x:c>
      <x:c r="E2017" s="30" t="str">
        <x:v>按执行角色权限读取；策略只能使用可访问快照</x:v>
      </x:c>
    </x:row>
    <x:row r="2018" ht="32" customHeight="1">
      <x:c r="A2018" s="30" t="str">
        <x:v>A023</x:v>
      </x:c>
      <x:c r="B2018" s="30" t="str">
        <x:v>F022</x:v>
      </x:c>
      <x:c r="C2018" s="30" t="str">
        <x:v>hazard.illumination</x:v>
      </x:c>
      <x:c r="D2018" s="30" t="str">
        <x:v>候选输入schema</x:v>
      </x:c>
      <x:c r="E2018" s="30" t="str">
        <x:v>按执行角色权限读取；策略只能使用可访问快照</x:v>
      </x:c>
    </x:row>
    <x:row r="2019" ht="32" customHeight="1">
      <x:c r="A2019" s="30" t="str">
        <x:v>A023</x:v>
      </x:c>
      <x:c r="B2019" s="30" t="str">
        <x:v>F023</x:v>
      </x:c>
      <x:c r="C2019" s="30" t="str">
        <x:v>hazard.secondary_event</x:v>
      </x:c>
      <x:c r="D2019" s="30" t="str">
        <x:v>候选输入schema</x:v>
      </x:c>
      <x:c r="E2019" s="30" t="str">
        <x:v>按执行角色权限读取；策略只能使用可访问快照</x:v>
      </x:c>
    </x:row>
    <x:row r="2020" ht="32" customHeight="1">
      <x:c r="A2020" s="30" t="str">
        <x:v>A023</x:v>
      </x:c>
      <x:c r="B2020" s="30" t="str">
        <x:v>F024</x:v>
      </x:c>
      <x:c r="C2020" s="30" t="str">
        <x:v>hazard.exclusion_zone</x:v>
      </x:c>
      <x:c r="D2020" s="30" t="str">
        <x:v>候选输入schema</x:v>
      </x:c>
      <x:c r="E2020" s="30" t="str">
        <x:v>按执行角色权限读取；策略只能使用可访问快照</x:v>
      </x:c>
    </x:row>
    <x:row r="2021" ht="32" customHeight="1">
      <x:c r="A2021" s="30" t="str">
        <x:v>A023</x:v>
      </x:c>
      <x:c r="B2021" s="30" t="str">
        <x:v>F025</x:v>
      </x:c>
      <x:c r="C2021" s="30" t="str">
        <x:v>hazard.expiry_s</x:v>
      </x:c>
      <x:c r="D2021" s="30" t="str">
        <x:v>候选输入schema</x:v>
      </x:c>
      <x:c r="E2021" s="30" t="str">
        <x:v>按执行角色权限读取；策略只能使用可访问快照</x:v>
      </x:c>
    </x:row>
    <x:row r="2022" ht="32" customHeight="1">
      <x:c r="A2022" s="30" t="str">
        <x:v>A023</x:v>
      </x:c>
      <x:c r="B2022" s="30" t="str">
        <x:v>F071</x:v>
      </x:c>
      <x:c r="C2022" s="30" t="str">
        <x:v>human.location_context</x:v>
      </x:c>
      <x:c r="D2022" s="30" t="str">
        <x:v>候选输入schema</x:v>
      </x:c>
      <x:c r="E2022" s="30" t="str">
        <x:v>按执行角色权限读取；策略只能使用可访问快照</x:v>
      </x:c>
    </x:row>
    <x:row r="2023" ht="32" customHeight="1">
      <x:c r="A2023" s="30" t="str">
        <x:v>A023</x:v>
      </x:c>
      <x:c r="B2023" s="30" t="str">
        <x:v>F072</x:v>
      </x:c>
      <x:c r="C2023" s="30" t="str">
        <x:v>human.alive</x:v>
      </x:c>
      <x:c r="D2023" s="30" t="str">
        <x:v>候选输入schema</x:v>
      </x:c>
      <x:c r="E2023" s="30" t="str">
        <x:v>按执行角色权限读取；策略只能使用可访问快照</x:v>
      </x:c>
    </x:row>
    <x:row r="2024" ht="32" customHeight="1">
      <x:c r="A2024" s="30" t="str">
        <x:v>A023</x:v>
      </x:c>
      <x:c r="B2024" s="30" t="str">
        <x:v>F073</x:v>
      </x:c>
      <x:c r="C2024" s="30" t="str">
        <x:v>human.injury</x:v>
      </x:c>
      <x:c r="D2024" s="30" t="str">
        <x:v>候选输入schema</x:v>
      </x:c>
      <x:c r="E2024" s="30" t="str">
        <x:v>按执行角色权限读取；策略只能使用可访问快照</x:v>
      </x:c>
    </x:row>
    <x:row r="2025" ht="32" customHeight="1">
      <x:c r="A2025" s="30" t="str">
        <x:v>A023</x:v>
      </x:c>
      <x:c r="B2025" s="30" t="str">
        <x:v>F074</x:v>
      </x:c>
      <x:c r="C2025" s="30" t="str">
        <x:v>human.mobility</x:v>
      </x:c>
      <x:c r="D2025" s="30" t="str">
        <x:v>候选输入schema</x:v>
      </x:c>
      <x:c r="E2025" s="30" t="str">
        <x:v>按执行角色权限读取；策略只能使用可访问快照</x:v>
      </x:c>
    </x:row>
    <x:row r="2026" ht="32" customHeight="1">
      <x:c r="A2026" s="30" t="str">
        <x:v>A023</x:v>
      </x:c>
      <x:c r="B2026" s="30" t="str">
        <x:v>F075</x:v>
      </x:c>
      <x:c r="C2026" s="30" t="str">
        <x:v>human.buriedness</x:v>
      </x:c>
      <x:c r="D2026" s="30" t="str">
        <x:v>候选输入schema</x:v>
      </x:c>
      <x:c r="E2026" s="30" t="str">
        <x:v>按执行角色权限读取；策略只能使用可访问快照</x:v>
      </x:c>
    </x:row>
    <x:row r="2027" ht="32" customHeight="1">
      <x:c r="A2027" s="30" t="str">
        <x:v>A023</x:v>
      </x:c>
      <x:c r="B2027" s="30" t="str">
        <x:v>F076</x:v>
      </x:c>
      <x:c r="C2027" s="30" t="str">
        <x:v>human.needs</x:v>
      </x:c>
      <x:c r="D2027" s="30" t="str">
        <x:v>候选输入schema</x:v>
      </x:c>
      <x:c r="E2027" s="30" t="str">
        <x:v>按执行角色权限读取；策略只能使用可访问快照</x:v>
      </x:c>
    </x:row>
    <x:row r="2028" ht="32" customHeight="1">
      <x:c r="A2028" s="30" t="str">
        <x:v>A023</x:v>
      </x:c>
      <x:c r="B2028" s="30" t="str">
        <x:v>F077</x:v>
      </x:c>
      <x:c r="C2028" s="30" t="str">
        <x:v>human.pose</x:v>
      </x:c>
      <x:c r="D2028" s="30" t="str">
        <x:v>候选输入schema</x:v>
      </x:c>
      <x:c r="E2028" s="30" t="str">
        <x:v>按执行角色权限读取；策略只能使用可访问快照</x:v>
      </x:c>
    </x:row>
    <x:row r="2029" ht="32" customHeight="1">
      <x:c r="A2029" s="30" t="str">
        <x:v>A023</x:v>
      </x:c>
      <x:c r="B2029" s="30" t="str">
        <x:v>F078</x:v>
      </x:c>
      <x:c r="C2029" s="30" t="str">
        <x:v>human.visibility_context</x:v>
      </x:c>
      <x:c r="D2029" s="30" t="str">
        <x:v>候选输入schema</x:v>
      </x:c>
      <x:c r="E2029" s="30" t="str">
        <x:v>按执行角色权限读取；策略只能使用可访问快照</x:v>
      </x:c>
    </x:row>
    <x:row r="2030" ht="32" customHeight="1">
      <x:c r="A2030" s="30" t="str">
        <x:v>A023</x:v>
      </x:c>
      <x:c r="B2030" s="30" t="str">
        <x:v>F079</x:v>
      </x:c>
      <x:c r="C2030" s="30" t="str">
        <x:v>human.distress_signal</x:v>
      </x:c>
      <x:c r="D2030" s="30" t="str">
        <x:v>候选输入schema</x:v>
      </x:c>
      <x:c r="E2030" s="30" t="str">
        <x:v>按执行角色权限读取；策略只能使用可访问快照</x:v>
      </x:c>
    </x:row>
    <x:row r="2031" ht="32" customHeight="1">
      <x:c r="A2031" s="30" t="str">
        <x:v>A023</x:v>
      </x:c>
      <x:c r="B2031" s="30" t="str">
        <x:v>F080</x:v>
      </x:c>
      <x:c r="C2031" s="30" t="str">
        <x:v>human.health_model</x:v>
      </x:c>
      <x:c r="D2031" s="30" t="str">
        <x:v>候选输入schema</x:v>
      </x:c>
      <x:c r="E2031" s="30" t="str">
        <x:v>按执行角色权限读取；策略只能使用可访问快照</x:v>
      </x:c>
    </x:row>
    <x:row r="2032" ht="32" customHeight="1">
      <x:c r="A2032" s="30" t="str">
        <x:v>A023</x:v>
      </x:c>
      <x:c r="B2032" s="30" t="str">
        <x:v>F081</x:v>
      </x:c>
      <x:c r="C2032" s="30" t="str">
        <x:v>human.health_value</x:v>
      </x:c>
      <x:c r="D2032" s="30" t="str">
        <x:v>候选输入schema</x:v>
      </x:c>
      <x:c r="E2032" s="30" t="str">
        <x:v>按执行角色权限读取；策略只能使用可访问快照</x:v>
      </x:c>
    </x:row>
    <x:row r="2033" ht="32" customHeight="1">
      <x:c r="A2033" s="30" t="str">
        <x:v>A023</x:v>
      </x:c>
      <x:c r="B2033" s="30" t="str">
        <x:v>F082</x:v>
      </x:c>
      <x:c r="C2033" s="30" t="str">
        <x:v>human.support_received</x:v>
      </x:c>
      <x:c r="D2033" s="30" t="str">
        <x:v>候选输入schema</x:v>
      </x:c>
      <x:c r="E2033" s="30" t="str">
        <x:v>按执行角色权限读取；策略只能使用可访问快照</x:v>
      </x:c>
    </x:row>
    <x:row r="2034" ht="32" customHeight="1">
      <x:c r="A2034" s="30" t="str">
        <x:v>A023</x:v>
      </x:c>
      <x:c r="B2034" s="30" t="str">
        <x:v>F083</x:v>
      </x:c>
      <x:c r="C2034" s="30" t="str">
        <x:v>human.carrier_id</x:v>
      </x:c>
      <x:c r="D2034" s="30" t="str">
        <x:v>候选输入schema</x:v>
      </x:c>
      <x:c r="E2034" s="30" t="str">
        <x:v>按执行角色权限读取；策略只能使用可访问快照</x:v>
      </x:c>
    </x:row>
    <x:row r="2035" ht="32" customHeight="1">
      <x:c r="A2035" s="30" t="str">
        <x:v>A023</x:v>
      </x:c>
      <x:c r="B2035" s="30" t="str">
        <x:v>F084</x:v>
      </x:c>
      <x:c r="C2035" s="30" t="str">
        <x:v>human.destination_id</x:v>
      </x:c>
      <x:c r="D2035" s="30" t="str">
        <x:v>候选输入schema</x:v>
      </x:c>
      <x:c r="E2035" s="30" t="str">
        <x:v>按执行角色权限读取；策略只能使用可访问快照</x:v>
      </x:c>
    </x:row>
    <x:row r="2036" ht="32" customHeight="1">
      <x:c r="A2036" s="30" t="str">
        <x:v>A023</x:v>
      </x:c>
      <x:c r="B2036" s="30" t="str">
        <x:v>F085</x:v>
      </x:c>
      <x:c r="C2036" s="30" t="str">
        <x:v>human.handover_status</x:v>
      </x:c>
      <x:c r="D2036" s="30" t="str">
        <x:v>候选输入schema</x:v>
      </x:c>
      <x:c r="E2036" s="30" t="str">
        <x:v>按执行角色权限读取；策略只能使用可访问快照</x:v>
      </x:c>
    </x:row>
    <x:row r="2037" ht="32" customHeight="1">
      <x:c r="A2037" s="30" t="str">
        <x:v>A023</x:v>
      </x:c>
      <x:c r="B2037" s="30" t="str">
        <x:v>F086</x:v>
      </x:c>
      <x:c r="C2037" s="30" t="str">
        <x:v>human.last_assessed_s</x:v>
      </x:c>
      <x:c r="D2037" s="30" t="str">
        <x:v>候选输入schema</x:v>
      </x:c>
      <x:c r="E2037" s="30" t="str">
        <x:v>按执行角色权限读取；策略只能使用可访问快照</x:v>
      </x:c>
    </x:row>
    <x:row r="2038" ht="32" customHeight="1">
      <x:c r="A2038" s="30" t="str">
        <x:v>A023</x:v>
      </x:c>
      <x:c r="B2038" s="30" t="str">
        <x:v>F087</x:v>
      </x:c>
      <x:c r="C2038" s="30" t="str">
        <x:v>human.identity_association</x:v>
      </x:c>
      <x:c r="D2038" s="30" t="str">
        <x:v>候选输入schema</x:v>
      </x:c>
      <x:c r="E2038" s="30" t="str">
        <x:v>按执行角色权限读取；策略只能使用可访问快照</x:v>
      </x:c>
    </x:row>
    <x:row r="2039" ht="32" customHeight="1">
      <x:c r="A2039" s="30" t="str">
        <x:v>A023</x:v>
      </x:c>
      <x:c r="B2039" s="30" t="str">
        <x:v>F095</x:v>
      </x:c>
      <x:c r="C2039" s="30" t="str">
        <x:v>platform.kind</x:v>
      </x:c>
      <x:c r="D2039" s="30" t="str">
        <x:v>候选输入schema</x:v>
      </x:c>
      <x:c r="E2039" s="30" t="str">
        <x:v>按执行角色权限读取；策略只能使用可访问快照</x:v>
      </x:c>
    </x:row>
    <x:row r="2040" ht="32" customHeight="1">
      <x:c r="A2040" s="30" t="str">
        <x:v>A023</x:v>
      </x:c>
      <x:c r="B2040" s="30" t="str">
        <x:v>F096</x:v>
      </x:c>
      <x:c r="C2040" s="30" t="str">
        <x:v>platform.capability_ids</x:v>
      </x:c>
      <x:c r="D2040" s="30" t="str">
        <x:v>候选输入schema</x:v>
      </x:c>
      <x:c r="E2040" s="30" t="str">
        <x:v>按执行角色权限读取；策略只能使用可访问快照</x:v>
      </x:c>
    </x:row>
    <x:row r="2041" ht="32" customHeight="1">
      <x:c r="A2041" s="30" t="str">
        <x:v>A023</x:v>
      </x:c>
      <x:c r="B2041" s="30" t="str">
        <x:v>F097</x:v>
      </x:c>
      <x:c r="C2041" s="30" t="str">
        <x:v>platform.equipment_ids</x:v>
      </x:c>
      <x:c r="D2041" s="30" t="str">
        <x:v>候选输入schema</x:v>
      </x:c>
      <x:c r="E2041" s="30" t="str">
        <x:v>按执行角色权限读取；策略只能使用可访问快照</x:v>
      </x:c>
    </x:row>
    <x:row r="2042" ht="32" customHeight="1">
      <x:c r="A2042" s="30" t="str">
        <x:v>A023</x:v>
      </x:c>
      <x:c r="B2042" s="30" t="str">
        <x:v>F098</x:v>
      </x:c>
      <x:c r="C2042" s="30" t="str">
        <x:v>platform.width_m</x:v>
      </x:c>
      <x:c r="D2042" s="30" t="str">
        <x:v>候选输入schema</x:v>
      </x:c>
      <x:c r="E2042" s="30" t="str">
        <x:v>按执行角色权限读取；策略只能使用可访问快照</x:v>
      </x:c>
    </x:row>
    <x:row r="2043" ht="32" customHeight="1">
      <x:c r="A2043" s="30" t="str">
        <x:v>A023</x:v>
      </x:c>
      <x:c r="B2043" s="30" t="str">
        <x:v>F099</x:v>
      </x:c>
      <x:c r="C2043" s="30" t="str">
        <x:v>platform.height_m</x:v>
      </x:c>
      <x:c r="D2043" s="30" t="str">
        <x:v>候选输入schema</x:v>
      </x:c>
      <x:c r="E2043" s="30" t="str">
        <x:v>按执行角色权限读取；策略只能使用可访问快照</x:v>
      </x:c>
    </x:row>
    <x:row r="2044" ht="32" customHeight="1">
      <x:c r="A2044" s="30" t="str">
        <x:v>A023</x:v>
      </x:c>
      <x:c r="B2044" s="30" t="str">
        <x:v>F100</x:v>
      </x:c>
      <x:c r="C2044" s="30" t="str">
        <x:v>platform.swept_radius_m</x:v>
      </x:c>
      <x:c r="D2044" s="30" t="str">
        <x:v>候选输入schema</x:v>
      </x:c>
      <x:c r="E2044" s="30" t="str">
        <x:v>按执行角色权限读取；策略只能使用可访问快照</x:v>
      </x:c>
    </x:row>
    <x:row r="2045" ht="32" customHeight="1">
      <x:c r="A2045" s="30" t="str">
        <x:v>A023</x:v>
      </x:c>
      <x:c r="B2045" s="30" t="str">
        <x:v>F101</x:v>
      </x:c>
      <x:c r="C2045" s="30" t="str">
        <x:v>platform.payload_capacity_kg</x:v>
      </x:c>
      <x:c r="D2045" s="30" t="str">
        <x:v>候选输入schema</x:v>
      </x:c>
      <x:c r="E2045" s="30" t="str">
        <x:v>按执行角色权限读取；策略只能使用可访问快照</x:v>
      </x:c>
    </x:row>
    <x:row r="2046" ht="32" customHeight="1">
      <x:c r="A2046" s="30" t="str">
        <x:v>A023</x:v>
      </x:c>
      <x:c r="B2046" s="30" t="str">
        <x:v>F102</x:v>
      </x:c>
      <x:c r="C2046" s="30" t="str">
        <x:v>platform.payload_used_kg</x:v>
      </x:c>
      <x:c r="D2046" s="30" t="str">
        <x:v>候选输入schema</x:v>
      </x:c>
      <x:c r="E2046" s="30" t="str">
        <x:v>按执行角色权限读取；策略只能使用可访问快照</x:v>
      </x:c>
    </x:row>
    <x:row r="2047" ht="32" customHeight="1">
      <x:c r="A2047" s="30" t="str">
        <x:v>A023</x:v>
      </x:c>
      <x:c r="B2047" s="30" t="str">
        <x:v>F103</x:v>
      </x:c>
      <x:c r="C2047" s="30" t="str">
        <x:v>platform.payload_item_ids</x:v>
      </x:c>
      <x:c r="D2047" s="30" t="str">
        <x:v>候选输入schema</x:v>
      </x:c>
      <x:c r="E2047" s="30" t="str">
        <x:v>按执行角色权限读取；策略只能使用可访问快照</x:v>
      </x:c>
    </x:row>
    <x:row r="2048" ht="32" customHeight="1">
      <x:c r="A2048" s="30" t="str">
        <x:v>A023</x:v>
      </x:c>
      <x:c r="B2048" s="30" t="str">
        <x:v>F104</x:v>
      </x:c>
      <x:c r="C2048" s="30" t="str">
        <x:v>platform.battery_capacity_Wh</x:v>
      </x:c>
      <x:c r="D2048" s="30" t="str">
        <x:v>候选输入schema</x:v>
      </x:c>
      <x:c r="E2048" s="30" t="str">
        <x:v>按执行角色权限读取；策略只能使用可访问快照</x:v>
      </x:c>
    </x:row>
    <x:row r="2049" ht="32" customHeight="1">
      <x:c r="A2049" s="30" t="str">
        <x:v>A023</x:v>
      </x:c>
      <x:c r="B2049" s="30" t="str">
        <x:v>F105</x:v>
      </x:c>
      <x:c r="C2049" s="30" t="str">
        <x:v>platform.battery_remaining_Wh</x:v>
      </x:c>
      <x:c r="D2049" s="30" t="str">
        <x:v>候选输入schema</x:v>
      </x:c>
      <x:c r="E2049" s="30" t="str">
        <x:v>按执行角色权限读取；策略只能使用可访问快照</x:v>
      </x:c>
    </x:row>
    <x:row r="2050" ht="32" customHeight="1">
      <x:c r="A2050" s="30" t="str">
        <x:v>A023</x:v>
      </x:c>
      <x:c r="B2050" s="30" t="str">
        <x:v>F106</x:v>
      </x:c>
      <x:c r="C2050" s="30" t="str">
        <x:v>platform.reserve_Wh</x:v>
      </x:c>
      <x:c r="D2050" s="30" t="str">
        <x:v>候选输入schema</x:v>
      </x:c>
      <x:c r="E2050" s="30" t="str">
        <x:v>按执行角色权限读取；策略只能使用可访问快照</x:v>
      </x:c>
    </x:row>
    <x:row r="2051" ht="32" customHeight="1">
      <x:c r="A2051" s="30" t="str">
        <x:v>A023</x:v>
      </x:c>
      <x:c r="B2051" s="30" t="str">
        <x:v>F107</x:v>
      </x:c>
      <x:c r="C2051" s="30" t="str">
        <x:v>platform.speed_limit_mps</x:v>
      </x:c>
      <x:c r="D2051" s="30" t="str">
        <x:v>候选输入schema</x:v>
      </x:c>
      <x:c r="E2051" s="30" t="str">
        <x:v>按执行角色权限读取；策略只能使用可访问快照</x:v>
      </x:c>
    </x:row>
    <x:row r="2052" ht="32" customHeight="1">
      <x:c r="A2052" s="30" t="str">
        <x:v>A023</x:v>
      </x:c>
      <x:c r="B2052" s="30" t="str">
        <x:v>F108</x:v>
      </x:c>
      <x:c r="C2052" s="30" t="str">
        <x:v>platform.energy_model</x:v>
      </x:c>
      <x:c r="D2052" s="30" t="str">
        <x:v>候选输入schema</x:v>
      </x:c>
      <x:c r="E2052" s="30" t="str">
        <x:v>按执行角色权限读取；策略只能使用可访问快照</x:v>
      </x:c>
    </x:row>
    <x:row r="2053" ht="32" customHeight="1">
      <x:c r="A2053" s="30" t="str">
        <x:v>A023</x:v>
      </x:c>
      <x:c r="B2053" s="30" t="str">
        <x:v>F109</x:v>
      </x:c>
      <x:c r="C2053" s="30" t="str">
        <x:v>platform.motion_state</x:v>
      </x:c>
      <x:c r="D2053" s="30" t="str">
        <x:v>候选输入schema</x:v>
      </x:c>
      <x:c r="E2053" s="30" t="str">
        <x:v>按执行角色权限读取；策略只能使用可访问快照</x:v>
      </x:c>
    </x:row>
    <x:row r="2054" ht="32" customHeight="1">
      <x:c r="A2054" s="30" t="str">
        <x:v>A023</x:v>
      </x:c>
      <x:c r="B2054" s="30" t="str">
        <x:v>F110</x:v>
      </x:c>
      <x:c r="C2054" s="30" t="str">
        <x:v>platform.health_state</x:v>
      </x:c>
      <x:c r="D2054" s="30" t="str">
        <x:v>候选输入schema</x:v>
      </x:c>
      <x:c r="E2054" s="30" t="str">
        <x:v>按执行角色权限读取；策略只能使用可访问快照</x:v>
      </x:c>
    </x:row>
    <x:row r="2055" ht="32" customHeight="1">
      <x:c r="A2055" s="30" t="str">
        <x:v>A023</x:v>
      </x:c>
      <x:c r="B2055" s="30" t="str">
        <x:v>F111</x:v>
      </x:c>
      <x:c r="C2055" s="30" t="str">
        <x:v>platform.current_action_id</x:v>
      </x:c>
      <x:c r="D2055" s="30" t="str">
        <x:v>候选输入schema</x:v>
      </x:c>
      <x:c r="E2055" s="30" t="str">
        <x:v>按执行角色权限读取；策略只能使用可访问快照</x:v>
      </x:c>
    </x:row>
    <x:row r="2056" ht="32" customHeight="1">
      <x:c r="A2056" s="30" t="str">
        <x:v>A023</x:v>
      </x:c>
      <x:c r="B2056" s="30" t="str">
        <x:v>F112</x:v>
      </x:c>
      <x:c r="C2056" s="30" t="str">
        <x:v>platform.busy_until_est_s</x:v>
      </x:c>
      <x:c r="D2056" s="30" t="str">
        <x:v>候选输入schema</x:v>
      </x:c>
      <x:c r="E2056" s="30" t="str">
        <x:v>按执行角色权限读取；策略只能使用可访问快照</x:v>
      </x:c>
    </x:row>
    <x:row r="2057" ht="32" customHeight="1">
      <x:c r="A2057" s="30" t="str">
        <x:v>A023</x:v>
      </x:c>
      <x:c r="B2057" s="30" t="str">
        <x:v>F113</x:v>
      </x:c>
      <x:c r="C2057" s="30" t="str">
        <x:v>platform.return_site_id</x:v>
      </x:c>
      <x:c r="D2057" s="30" t="str">
        <x:v>候选输入schema</x:v>
      </x:c>
      <x:c r="E2057" s="30" t="str">
        <x:v>按执行角色权限读取；策略只能使用可访问快照</x:v>
      </x:c>
    </x:row>
    <x:row r="2058" ht="32" customHeight="1">
      <x:c r="A2058" s="30" t="str">
        <x:v>A023</x:v>
      </x:c>
      <x:c r="B2058" s="30" t="str">
        <x:v>F114</x:v>
      </x:c>
      <x:c r="C2058" s="30" t="str">
        <x:v>platform.water_tolerance_m</x:v>
      </x:c>
      <x:c r="D2058" s="30" t="str">
        <x:v>候选输入schema</x:v>
      </x:c>
      <x:c r="E2058" s="30" t="str">
        <x:v>按执行角色权限读取；策略只能使用可访问快照</x:v>
      </x:c>
    </x:row>
    <x:row r="2059" ht="32" customHeight="1">
      <x:c r="A2059" s="30" t="str">
        <x:v>A023</x:v>
      </x:c>
      <x:c r="B2059" s="30" t="str">
        <x:v>F115</x:v>
      </x:c>
      <x:c r="C2059" s="30" t="str">
        <x:v>platform.concurrency_policy</x:v>
      </x:c>
      <x:c r="D2059" s="30" t="str">
        <x:v>候选输入schema</x:v>
      </x:c>
      <x:c r="E2059" s="30" t="str">
        <x:v>按执行角色权限读取；策略只能使用可访问快照</x:v>
      </x:c>
    </x:row>
    <x:row r="2060" ht="32" customHeight="1">
      <x:c r="A2060" s="30" t="str">
        <x:v>A023</x:v>
      </x:c>
      <x:c r="B2060" s="30" t="str">
        <x:v>F116</x:v>
      </x:c>
      <x:c r="C2060" s="30" t="str">
        <x:v>equipment.kind</x:v>
      </x:c>
      <x:c r="D2060" s="30" t="str">
        <x:v>候选输入schema</x:v>
      </x:c>
      <x:c r="E2060" s="30" t="str">
        <x:v>按执行角色权限读取；策略只能使用可访问快照</x:v>
      </x:c>
    </x:row>
    <x:row r="2061" ht="32" customHeight="1">
      <x:c r="A2061" s="30" t="str">
        <x:v>A023</x:v>
      </x:c>
      <x:c r="B2061" s="30" t="str">
        <x:v>F117</x:v>
      </x:c>
      <x:c r="C2061" s="30" t="str">
        <x:v>equipment.enabled</x:v>
      </x:c>
      <x:c r="D2061" s="30" t="str">
        <x:v>候选输入schema</x:v>
      </x:c>
      <x:c r="E2061" s="30" t="str">
        <x:v>按执行角色权限读取；策略只能使用可访问快照</x:v>
      </x:c>
    </x:row>
    <x:row r="2062" ht="32" customHeight="1">
      <x:c r="A2062" s="30" t="str">
        <x:v>A023</x:v>
      </x:c>
      <x:c r="B2062" s="30" t="str">
        <x:v>F118</x:v>
      </x:c>
      <x:c r="C2062" s="30" t="str">
        <x:v>equipment.health</x:v>
      </x:c>
      <x:c r="D2062" s="30" t="str">
        <x:v>候选输入schema</x:v>
      </x:c>
      <x:c r="E2062" s="30" t="str">
        <x:v>按执行角色权限读取；策略只能使用可访问快照</x:v>
      </x:c>
    </x:row>
    <x:row r="2063" ht="32" customHeight="1">
      <x:c r="A2063" s="30" t="str">
        <x:v>A023</x:v>
      </x:c>
      <x:c r="B2063" s="30" t="str">
        <x:v>F119</x:v>
      </x:c>
      <x:c r="C2063" s="30" t="str">
        <x:v>equipment.rated_load_kg</x:v>
      </x:c>
      <x:c r="D2063" s="30" t="str">
        <x:v>候选输入schema</x:v>
      </x:c>
      <x:c r="E2063" s="30" t="str">
        <x:v>按执行角色权限读取；策略只能使用可访问快照</x:v>
      </x:c>
    </x:row>
    <x:row r="2064" ht="32" customHeight="1">
      <x:c r="A2064" s="30" t="str">
        <x:v>A023</x:v>
      </x:c>
      <x:c r="B2064" s="30" t="str">
        <x:v>F120</x:v>
      </x:c>
      <x:c r="C2064" s="30" t="str">
        <x:v>equipment.reach_m</x:v>
      </x:c>
      <x:c r="D2064" s="30" t="str">
        <x:v>候选输入schema</x:v>
      </x:c>
      <x:c r="E2064" s="30" t="str">
        <x:v>按执行角色权限读取；策略只能使用可访问快照</x:v>
      </x:c>
    </x:row>
    <x:row r="2065" ht="32" customHeight="1">
      <x:c r="A2065" s="30" t="str">
        <x:v>A023</x:v>
      </x:c>
      <x:c r="B2065" s="30" t="str">
        <x:v>F121</x:v>
      </x:c>
      <x:c r="C2065" s="30" t="str">
        <x:v>equipment.compatible_materials</x:v>
      </x:c>
      <x:c r="D2065" s="30" t="str">
        <x:v>候选输入schema</x:v>
      </x:c>
      <x:c r="E2065" s="30" t="str">
        <x:v>按执行角色权限读取；策略只能使用可访问快照</x:v>
      </x:c>
    </x:row>
    <x:row r="2066" ht="32" customHeight="1">
      <x:c r="A2066" s="30" t="str">
        <x:v>A023</x:v>
      </x:c>
      <x:c r="B2066" s="30" t="str">
        <x:v>F122</x:v>
      </x:c>
      <x:c r="C2066" s="30" t="str">
        <x:v>equipment.tool_size</x:v>
      </x:c>
      <x:c r="D2066" s="30" t="str">
        <x:v>候选输入schema</x:v>
      </x:c>
      <x:c r="E2066" s="30" t="str">
        <x:v>按执行角色权限读取；策略只能使用可访问快照</x:v>
      </x:c>
    </x:row>
    <x:row r="2067" ht="32" customHeight="1">
      <x:c r="A2067" s="30" t="str">
        <x:v>A023</x:v>
      </x:c>
      <x:c r="B2067" s="30" t="str">
        <x:v>F123</x:v>
      </x:c>
      <x:c r="C2067" s="30" t="str">
        <x:v>equipment.consumable_type</x:v>
      </x:c>
      <x:c r="D2067" s="30" t="str">
        <x:v>候选输入schema</x:v>
      </x:c>
      <x:c r="E2067" s="30" t="str">
        <x:v>按执行角色权限读取；策略只能使用可访问快照</x:v>
      </x:c>
    </x:row>
    <x:row r="2068" ht="32" customHeight="1">
      <x:c r="A2068" s="30" t="str">
        <x:v>A023</x:v>
      </x:c>
      <x:c r="B2068" s="30" t="str">
        <x:v>F124</x:v>
      </x:c>
      <x:c r="C2068" s="30" t="str">
        <x:v>equipment.consumable_remaining</x:v>
      </x:c>
      <x:c r="D2068" s="30" t="str">
        <x:v>候选输入schema</x:v>
      </x:c>
      <x:c r="E2068" s="30" t="str">
        <x:v>按执行角色权限读取；策略只能使用可访问快照</x:v>
      </x:c>
    </x:row>
    <x:row r="2069" ht="32" customHeight="1">
      <x:c r="A2069" s="30" t="str">
        <x:v>A023</x:v>
      </x:c>
      <x:c r="B2069" s="30" t="str">
        <x:v>F125</x:v>
      </x:c>
      <x:c r="C2069" s="30" t="str">
        <x:v>equipment.operator_authority</x:v>
      </x:c>
      <x:c r="D2069" s="30" t="str">
        <x:v>候选输入schema</x:v>
      </x:c>
      <x:c r="E2069" s="30" t="str">
        <x:v>按执行角色权限读取；策略只能使用可访问快照</x:v>
      </x:c>
    </x:row>
    <x:row r="2070" ht="32" customHeight="1">
      <x:c r="A2070" s="30" t="str">
        <x:v>A023</x:v>
      </x:c>
      <x:c r="B2070" s="30" t="str">
        <x:v>F126</x:v>
      </x:c>
      <x:c r="C2070" s="30" t="str">
        <x:v>equipment.setup_state</x:v>
      </x:c>
      <x:c r="D2070" s="30" t="str">
        <x:v>候选输入schema</x:v>
      </x:c>
      <x:c r="E2070" s="30" t="str">
        <x:v>按执行角色权限读取；策略只能使用可访问快照</x:v>
      </x:c>
    </x:row>
    <x:row r="2071" ht="32" customHeight="1">
      <x:c r="A2071" s="30" t="str">
        <x:v>A023</x:v>
      </x:c>
      <x:c r="B2071" s="30" t="str">
        <x:v>F127</x:v>
      </x:c>
      <x:c r="C2071" s="30" t="str">
        <x:v>equipment.busy_action_id</x:v>
      </x:c>
      <x:c r="D2071" s="30" t="str">
        <x:v>候选输入schema</x:v>
      </x:c>
      <x:c r="E2071" s="30" t="str">
        <x:v>按执行角色权限读取；策略只能使用可访问快照</x:v>
      </x:c>
    </x:row>
    <x:row r="2072" ht="32" customHeight="1">
      <x:c r="A2072" s="30" t="str">
        <x:v>A023</x:v>
      </x:c>
      <x:c r="B2072" s="30" t="str">
        <x:v>F230</x:v>
      </x:c>
      <x:c r="C2072" s="30" t="str">
        <x:v>action.type</x:v>
      </x:c>
      <x:c r="D2072" s="30" t="str">
        <x:v>候选输入schema</x:v>
      </x:c>
      <x:c r="E2072" s="30" t="str">
        <x:v>按执行角色权限读取；策略只能使用可访问快照</x:v>
      </x:c>
    </x:row>
    <x:row r="2073" ht="32" customHeight="1">
      <x:c r="A2073" s="30" t="str">
        <x:v>A023</x:v>
      </x:c>
      <x:c r="B2073" s="30" t="str">
        <x:v>F231</x:v>
      </x:c>
      <x:c r="C2073" s="30" t="str">
        <x:v>action.executor_id</x:v>
      </x:c>
      <x:c r="D2073" s="30" t="str">
        <x:v>候选输入schema</x:v>
      </x:c>
      <x:c r="E2073" s="30" t="str">
        <x:v>按执行角色权限读取；策略只能使用可访问快照</x:v>
      </x:c>
    </x:row>
    <x:row r="2074" ht="32" customHeight="1">
      <x:c r="A2074" s="30" t="str">
        <x:v>A023</x:v>
      </x:c>
      <x:c r="B2074" s="30" t="str">
        <x:v>F232</x:v>
      </x:c>
      <x:c r="C2074" s="30" t="str">
        <x:v>action.task_ref</x:v>
      </x:c>
      <x:c r="D2074" s="30" t="str">
        <x:v>候选输入schema</x:v>
      </x:c>
      <x:c r="E2074" s="30" t="str">
        <x:v>按执行角色权限读取；策略只能使用可访问快照</x:v>
      </x:c>
    </x:row>
    <x:row r="2075" ht="32" customHeight="1">
      <x:c r="A2075" s="30" t="str">
        <x:v>A023</x:v>
      </x:c>
      <x:c r="B2075" s="30" t="str">
        <x:v>F233</x:v>
      </x:c>
      <x:c r="C2075" s="30" t="str">
        <x:v>action.target_ref</x:v>
      </x:c>
      <x:c r="D2075" s="30" t="str">
        <x:v>候选输入schema</x:v>
      </x:c>
      <x:c r="E2075" s="30" t="str">
        <x:v>按执行角色权限读取；策略只能使用可访问快照</x:v>
      </x:c>
    </x:row>
    <x:row r="2076" ht="32" customHeight="1">
      <x:c r="A2076" s="30" t="str">
        <x:v>A023</x:v>
      </x:c>
      <x:c r="B2076" s="30" t="str">
        <x:v>F234</x:v>
      </x:c>
      <x:c r="C2076" s="30" t="str">
        <x:v>action.parameters</x:v>
      </x:c>
      <x:c r="D2076" s="30" t="str">
        <x:v>候选输入schema</x:v>
      </x:c>
      <x:c r="E2076" s="30" t="str">
        <x:v>按执行角色权限读取；策略只能使用可访问快照</x:v>
      </x:c>
    </x:row>
    <x:row r="2077" ht="32" customHeight="1">
      <x:c r="A2077" s="30" t="str">
        <x:v>A023</x:v>
      </x:c>
      <x:c r="B2077" s="30" t="str">
        <x:v>F235</x:v>
      </x:c>
      <x:c r="C2077" s="30" t="str">
        <x:v>action.status</x:v>
      </x:c>
      <x:c r="D2077" s="30" t="str">
        <x:v>候选输入schema</x:v>
      </x:c>
      <x:c r="E2077" s="30" t="str">
        <x:v>按执行角色权限读取；策略只能使用可访问快照</x:v>
      </x:c>
    </x:row>
    <x:row r="2078" ht="32" customHeight="1">
      <x:c r="A2078" s="30" t="str">
        <x:v>A023</x:v>
      </x:c>
      <x:c r="B2078" s="30" t="str">
        <x:v>F236</x:v>
      </x:c>
      <x:c r="C2078" s="30" t="str">
        <x:v>action.start_s</x:v>
      </x:c>
      <x:c r="D2078" s="30" t="str">
        <x:v>候选输入schema</x:v>
      </x:c>
      <x:c r="E2078" s="30" t="str">
        <x:v>按执行角色权限读取；策略只能使用可访问快照</x:v>
      </x:c>
    </x:row>
    <x:row r="2079" ht="32" customHeight="1">
      <x:c r="A2079" s="30" t="str">
        <x:v>A023</x:v>
      </x:c>
      <x:c r="B2079" s="30" t="str">
        <x:v>F237</x:v>
      </x:c>
      <x:c r="C2079" s="30" t="str">
        <x:v>action.finish_s</x:v>
      </x:c>
      <x:c r="D2079" s="30" t="str">
        <x:v>候选输入schema</x:v>
      </x:c>
      <x:c r="E2079" s="30" t="str">
        <x:v>按执行角色权限读取；策略只能使用可访问快照</x:v>
      </x:c>
    </x:row>
    <x:row r="2080" ht="32" customHeight="1">
      <x:c r="A2080" s="30" t="str">
        <x:v>A023</x:v>
      </x:c>
      <x:c r="B2080" s="30" t="str">
        <x:v>F238</x:v>
      </x:c>
      <x:c r="C2080" s="30" t="str">
        <x:v>action.reserved_resources</x:v>
      </x:c>
      <x:c r="D2080" s="30" t="str">
        <x:v>候选输入schema</x:v>
      </x:c>
      <x:c r="E2080" s="30" t="str">
        <x:v>按执行角色权限读取；策略只能使用可访问快照</x:v>
      </x:c>
    </x:row>
    <x:row r="2081" ht="32" customHeight="1">
      <x:c r="A2081" s="30" t="str">
        <x:v>A023</x:v>
      </x:c>
      <x:c r="B2081" s="30" t="str">
        <x:v>F239</x:v>
      </x:c>
      <x:c r="C2081" s="30" t="str">
        <x:v>action.consumed_resources</x:v>
      </x:c>
      <x:c r="D2081" s="30" t="str">
        <x:v>候选输入schema</x:v>
      </x:c>
      <x:c r="E2081" s="30" t="str">
        <x:v>按执行角色权限读取；策略只能使用可访问快照</x:v>
      </x:c>
    </x:row>
    <x:row r="2082" ht="32" customHeight="1">
      <x:c r="A2082" s="30" t="str">
        <x:v>A023</x:v>
      </x:c>
      <x:c r="B2082" s="30" t="str">
        <x:v>F240</x:v>
      </x:c>
      <x:c r="C2082" s="30" t="str">
        <x:v>action.feedback</x:v>
      </x:c>
      <x:c r="D2082" s="30" t="str">
        <x:v>候选输入schema</x:v>
      </x:c>
      <x:c r="E2082" s="30" t="str">
        <x:v>按执行角色权限读取；策略只能使用可访问快照</x:v>
      </x:c>
    </x:row>
    <x:row r="2083" ht="32" customHeight="1">
      <x:c r="A2083" s="30" t="str">
        <x:v>A023</x:v>
      </x:c>
      <x:c r="B2083" s="30" t="str">
        <x:v>F241</x:v>
      </x:c>
      <x:c r="C2083" s="30" t="str">
        <x:v>action.result</x:v>
      </x:c>
      <x:c r="D2083" s="30" t="str">
        <x:v>候选输入schema</x:v>
      </x:c>
      <x:c r="E2083" s="30" t="str">
        <x:v>按执行角色权限读取；策略只能使用可访问快照</x:v>
      </x:c>
    </x:row>
    <x:row r="2084" ht="32" customHeight="1">
      <x:c r="A2084" s="30" t="str">
        <x:v>A023</x:v>
      </x:c>
      <x:c r="B2084" s="30" t="str">
        <x:v>F242</x:v>
      </x:c>
      <x:c r="C2084" s="30" t="str">
        <x:v>action.rejection_code</x:v>
      </x:c>
      <x:c r="D2084" s="30" t="str">
        <x:v>候选输入schema</x:v>
      </x:c>
      <x:c r="E2084" s="30" t="str">
        <x:v>按执行角色权限读取；策略只能使用可访问快照</x:v>
      </x:c>
    </x:row>
    <x:row r="2085" ht="32" customHeight="1">
      <x:c r="A2085" s="30" t="str">
        <x:v>A023</x:v>
      </x:c>
      <x:c r="B2085" s="30" t="str">
        <x:v>F243</x:v>
      </x:c>
      <x:c r="C2085" s="30" t="str">
        <x:v>action.failure_code</x:v>
      </x:c>
      <x:c r="D2085" s="30" t="str">
        <x:v>候选输入schema</x:v>
      </x:c>
      <x:c r="E2085" s="30" t="str">
        <x:v>按执行角色权限读取；策略只能使用可访问快照</x:v>
      </x:c>
    </x:row>
    <x:row r="2086" ht="32" customHeight="1">
      <x:c r="A2086" s="30" t="str">
        <x:v>A023</x:v>
      </x:c>
      <x:c r="B2086" s="30" t="str">
        <x:v>F244</x:v>
      </x:c>
      <x:c r="C2086" s="30" t="str">
        <x:v>action.cancel_requested</x:v>
      </x:c>
      <x:c r="D2086" s="30" t="str">
        <x:v>候选输入schema</x:v>
      </x:c>
      <x:c r="E2086" s="30" t="str">
        <x:v>按执行角色权限读取；策略只能使用可访问快照</x:v>
      </x:c>
    </x:row>
    <x:row r="2087" ht="32" customHeight="1">
      <x:c r="A2087" s="30" t="str">
        <x:v>A023</x:v>
      </x:c>
      <x:c r="B2087" s="30" t="str">
        <x:v>F245</x:v>
      </x:c>
      <x:c r="C2087" s="30" t="str">
        <x:v>action.backend_mode</x:v>
      </x:c>
      <x:c r="D2087" s="30" t="str">
        <x:v>候选输入schema</x:v>
      </x:c>
      <x:c r="E2087" s="30" t="str">
        <x:v>按执行角色权限读取；策略只能使用可访问快照</x:v>
      </x:c>
    </x:row>
    <x:row r="2088" ht="32" customHeight="1">
      <x:c r="A2088" s="30" t="str">
        <x:v>A023</x:v>
      </x:c>
      <x:c r="B2088" s="30" t="str">
        <x:v>F071</x:v>
      </x:c>
      <x:c r="C2088" s="30" t="str">
        <x:v>human.location_context</x:v>
      </x:c>
      <x:c r="D2088" s="30" t="str">
        <x:v>直接效果</x:v>
      </x:c>
      <x:c r="E2088" s="30" t="str">
        <x:v>经实际执行/回执提交；不是规划时提前修改</x:v>
      </x:c>
    </x:row>
    <x:row r="2089" ht="32" customHeight="1">
      <x:c r="A2089" s="30" t="str">
        <x:v>A023</x:v>
      </x:c>
      <x:c r="B2089" s="30" t="str">
        <x:v>F083</x:v>
      </x:c>
      <x:c r="C2089" s="30" t="str">
        <x:v>human.carrier_id</x:v>
      </x:c>
      <x:c r="D2089" s="30" t="str">
        <x:v>直接效果</x:v>
      </x:c>
      <x:c r="E2089" s="30" t="str">
        <x:v>经实际执行/回执提交；不是规划时提前修改</x:v>
      </x:c>
    </x:row>
    <x:row r="2090" ht="32" customHeight="1">
      <x:c r="A2090" s="30" t="str">
        <x:v>A023</x:v>
      </x:c>
      <x:c r="B2090" s="30" t="str">
        <x:v>F082</x:v>
      </x:c>
      <x:c r="C2090" s="30" t="str">
        <x:v>human.support_received</x:v>
      </x:c>
      <x:c r="D2090" s="30" t="str">
        <x:v>直接效果</x:v>
      </x:c>
      <x:c r="E2090" s="30" t="str">
        <x:v>经实际执行/回执提交；不是规划时提前修改</x:v>
      </x:c>
    </x:row>
    <x:row r="2091" ht="32" customHeight="1">
      <x:c r="A2091" s="30" t="str">
        <x:v>A024</x:v>
      </x:c>
      <x:c r="B2091" s="30" t="str">
        <x:v>F095</x:v>
      </x:c>
      <x:c r="C2091" s="30" t="str">
        <x:v>platform.kind</x:v>
      </x:c>
      <x:c r="D2091" s="30" t="str">
        <x:v>候选输入schema</x:v>
      </x:c>
      <x:c r="E2091" s="30" t="str">
        <x:v>按执行角色权限读取；策略只能使用可访问快照</x:v>
      </x:c>
    </x:row>
    <x:row r="2092" ht="32" customHeight="1">
      <x:c r="A2092" s="30" t="str">
        <x:v>A024</x:v>
      </x:c>
      <x:c r="B2092" s="30" t="str">
        <x:v>F096</x:v>
      </x:c>
      <x:c r="C2092" s="30" t="str">
        <x:v>platform.capability_ids</x:v>
      </x:c>
      <x:c r="D2092" s="30" t="str">
        <x:v>候选输入schema</x:v>
      </x:c>
      <x:c r="E2092" s="30" t="str">
        <x:v>按执行角色权限读取；策略只能使用可访问快照</x:v>
      </x:c>
    </x:row>
    <x:row r="2093" ht="32" customHeight="1">
      <x:c r="A2093" s="30" t="str">
        <x:v>A024</x:v>
      </x:c>
      <x:c r="B2093" s="30" t="str">
        <x:v>F097</x:v>
      </x:c>
      <x:c r="C2093" s="30" t="str">
        <x:v>platform.equipment_ids</x:v>
      </x:c>
      <x:c r="D2093" s="30" t="str">
        <x:v>候选输入schema</x:v>
      </x:c>
      <x:c r="E2093" s="30" t="str">
        <x:v>按执行角色权限读取；策略只能使用可访问快照</x:v>
      </x:c>
    </x:row>
    <x:row r="2094" ht="32" customHeight="1">
      <x:c r="A2094" s="30" t="str">
        <x:v>A024</x:v>
      </x:c>
      <x:c r="B2094" s="30" t="str">
        <x:v>F098</x:v>
      </x:c>
      <x:c r="C2094" s="30" t="str">
        <x:v>platform.width_m</x:v>
      </x:c>
      <x:c r="D2094" s="30" t="str">
        <x:v>候选输入schema</x:v>
      </x:c>
      <x:c r="E2094" s="30" t="str">
        <x:v>按执行角色权限读取；策略只能使用可访问快照</x:v>
      </x:c>
    </x:row>
    <x:row r="2095" ht="32" customHeight="1">
      <x:c r="A2095" s="30" t="str">
        <x:v>A024</x:v>
      </x:c>
      <x:c r="B2095" s="30" t="str">
        <x:v>F099</x:v>
      </x:c>
      <x:c r="C2095" s="30" t="str">
        <x:v>platform.height_m</x:v>
      </x:c>
      <x:c r="D2095" s="30" t="str">
        <x:v>候选输入schema</x:v>
      </x:c>
      <x:c r="E2095" s="30" t="str">
        <x:v>按执行角色权限读取；策略只能使用可访问快照</x:v>
      </x:c>
    </x:row>
    <x:row r="2096" ht="32" customHeight="1">
      <x:c r="A2096" s="30" t="str">
        <x:v>A024</x:v>
      </x:c>
      <x:c r="B2096" s="30" t="str">
        <x:v>F100</x:v>
      </x:c>
      <x:c r="C2096" s="30" t="str">
        <x:v>platform.swept_radius_m</x:v>
      </x:c>
      <x:c r="D2096" s="30" t="str">
        <x:v>候选输入schema</x:v>
      </x:c>
      <x:c r="E2096" s="30" t="str">
        <x:v>按执行角色权限读取；策略只能使用可访问快照</x:v>
      </x:c>
    </x:row>
    <x:row r="2097" ht="32" customHeight="1">
      <x:c r="A2097" s="30" t="str">
        <x:v>A024</x:v>
      </x:c>
      <x:c r="B2097" s="30" t="str">
        <x:v>F101</x:v>
      </x:c>
      <x:c r="C2097" s="30" t="str">
        <x:v>platform.payload_capacity_kg</x:v>
      </x:c>
      <x:c r="D2097" s="30" t="str">
        <x:v>候选输入schema</x:v>
      </x:c>
      <x:c r="E2097" s="30" t="str">
        <x:v>按执行角色权限读取；策略只能使用可访问快照</x:v>
      </x:c>
    </x:row>
    <x:row r="2098" ht="32" customHeight="1">
      <x:c r="A2098" s="30" t="str">
        <x:v>A024</x:v>
      </x:c>
      <x:c r="B2098" s="30" t="str">
        <x:v>F102</x:v>
      </x:c>
      <x:c r="C2098" s="30" t="str">
        <x:v>platform.payload_used_kg</x:v>
      </x:c>
      <x:c r="D2098" s="30" t="str">
        <x:v>候选输入schema</x:v>
      </x:c>
      <x:c r="E2098" s="30" t="str">
        <x:v>按执行角色权限读取；策略只能使用可访问快照</x:v>
      </x:c>
    </x:row>
    <x:row r="2099" ht="32" customHeight="1">
      <x:c r="A2099" s="30" t="str">
        <x:v>A024</x:v>
      </x:c>
      <x:c r="B2099" s="30" t="str">
        <x:v>F103</x:v>
      </x:c>
      <x:c r="C2099" s="30" t="str">
        <x:v>platform.payload_item_ids</x:v>
      </x:c>
      <x:c r="D2099" s="30" t="str">
        <x:v>候选输入schema</x:v>
      </x:c>
      <x:c r="E2099" s="30" t="str">
        <x:v>按执行角色权限读取；策略只能使用可访问快照</x:v>
      </x:c>
    </x:row>
    <x:row r="2100" ht="32" customHeight="1">
      <x:c r="A2100" s="30" t="str">
        <x:v>A024</x:v>
      </x:c>
      <x:c r="B2100" s="30" t="str">
        <x:v>F104</x:v>
      </x:c>
      <x:c r="C2100" s="30" t="str">
        <x:v>platform.battery_capacity_Wh</x:v>
      </x:c>
      <x:c r="D2100" s="30" t="str">
        <x:v>候选输入schema</x:v>
      </x:c>
      <x:c r="E2100" s="30" t="str">
        <x:v>按执行角色权限读取；策略只能使用可访问快照</x:v>
      </x:c>
    </x:row>
    <x:row r="2101" ht="32" customHeight="1">
      <x:c r="A2101" s="30" t="str">
        <x:v>A024</x:v>
      </x:c>
      <x:c r="B2101" s="30" t="str">
        <x:v>F105</x:v>
      </x:c>
      <x:c r="C2101" s="30" t="str">
        <x:v>platform.battery_remaining_Wh</x:v>
      </x:c>
      <x:c r="D2101" s="30" t="str">
        <x:v>候选输入schema</x:v>
      </x:c>
      <x:c r="E2101" s="30" t="str">
        <x:v>按执行角色权限读取；策略只能使用可访问快照</x:v>
      </x:c>
    </x:row>
    <x:row r="2102" ht="32" customHeight="1">
      <x:c r="A2102" s="30" t="str">
        <x:v>A024</x:v>
      </x:c>
      <x:c r="B2102" s="30" t="str">
        <x:v>F106</x:v>
      </x:c>
      <x:c r="C2102" s="30" t="str">
        <x:v>platform.reserve_Wh</x:v>
      </x:c>
      <x:c r="D2102" s="30" t="str">
        <x:v>候选输入schema</x:v>
      </x:c>
      <x:c r="E2102" s="30" t="str">
        <x:v>按执行角色权限读取；策略只能使用可访问快照</x:v>
      </x:c>
    </x:row>
    <x:row r="2103" ht="32" customHeight="1">
      <x:c r="A2103" s="30" t="str">
        <x:v>A024</x:v>
      </x:c>
      <x:c r="B2103" s="30" t="str">
        <x:v>F107</x:v>
      </x:c>
      <x:c r="C2103" s="30" t="str">
        <x:v>platform.speed_limit_mps</x:v>
      </x:c>
      <x:c r="D2103" s="30" t="str">
        <x:v>候选输入schema</x:v>
      </x:c>
      <x:c r="E2103" s="30" t="str">
        <x:v>按执行角色权限读取；策略只能使用可访问快照</x:v>
      </x:c>
    </x:row>
    <x:row r="2104" ht="32" customHeight="1">
      <x:c r="A2104" s="30" t="str">
        <x:v>A024</x:v>
      </x:c>
      <x:c r="B2104" s="30" t="str">
        <x:v>F108</x:v>
      </x:c>
      <x:c r="C2104" s="30" t="str">
        <x:v>platform.energy_model</x:v>
      </x:c>
      <x:c r="D2104" s="30" t="str">
        <x:v>候选输入schema</x:v>
      </x:c>
      <x:c r="E2104" s="30" t="str">
        <x:v>按执行角色权限读取；策略只能使用可访问快照</x:v>
      </x:c>
    </x:row>
    <x:row r="2105" ht="32" customHeight="1">
      <x:c r="A2105" s="30" t="str">
        <x:v>A024</x:v>
      </x:c>
      <x:c r="B2105" s="30" t="str">
        <x:v>F109</x:v>
      </x:c>
      <x:c r="C2105" s="30" t="str">
        <x:v>platform.motion_state</x:v>
      </x:c>
      <x:c r="D2105" s="30" t="str">
        <x:v>候选输入schema</x:v>
      </x:c>
      <x:c r="E2105" s="30" t="str">
        <x:v>按执行角色权限读取；策略只能使用可访问快照</x:v>
      </x:c>
    </x:row>
    <x:row r="2106" ht="32" customHeight="1">
      <x:c r="A2106" s="30" t="str">
        <x:v>A024</x:v>
      </x:c>
      <x:c r="B2106" s="30" t="str">
        <x:v>F110</x:v>
      </x:c>
      <x:c r="C2106" s="30" t="str">
        <x:v>platform.health_state</x:v>
      </x:c>
      <x:c r="D2106" s="30" t="str">
        <x:v>候选输入schema</x:v>
      </x:c>
      <x:c r="E2106" s="30" t="str">
        <x:v>按执行角色权限读取；策略只能使用可访问快照</x:v>
      </x:c>
    </x:row>
    <x:row r="2107" ht="32" customHeight="1">
      <x:c r="A2107" s="30" t="str">
        <x:v>A024</x:v>
      </x:c>
      <x:c r="B2107" s="30" t="str">
        <x:v>F111</x:v>
      </x:c>
      <x:c r="C2107" s="30" t="str">
        <x:v>platform.current_action_id</x:v>
      </x:c>
      <x:c r="D2107" s="30" t="str">
        <x:v>候选输入schema</x:v>
      </x:c>
      <x:c r="E2107" s="30" t="str">
        <x:v>按执行角色权限读取；策略只能使用可访问快照</x:v>
      </x:c>
    </x:row>
    <x:row r="2108" ht="32" customHeight="1">
      <x:c r="A2108" s="30" t="str">
        <x:v>A024</x:v>
      </x:c>
      <x:c r="B2108" s="30" t="str">
        <x:v>F112</x:v>
      </x:c>
      <x:c r="C2108" s="30" t="str">
        <x:v>platform.busy_until_est_s</x:v>
      </x:c>
      <x:c r="D2108" s="30" t="str">
        <x:v>候选输入schema</x:v>
      </x:c>
      <x:c r="E2108" s="30" t="str">
        <x:v>按执行角色权限读取；策略只能使用可访问快照</x:v>
      </x:c>
    </x:row>
    <x:row r="2109" ht="32" customHeight="1">
      <x:c r="A2109" s="30" t="str">
        <x:v>A024</x:v>
      </x:c>
      <x:c r="B2109" s="30" t="str">
        <x:v>F113</x:v>
      </x:c>
      <x:c r="C2109" s="30" t="str">
        <x:v>platform.return_site_id</x:v>
      </x:c>
      <x:c r="D2109" s="30" t="str">
        <x:v>候选输入schema</x:v>
      </x:c>
      <x:c r="E2109" s="30" t="str">
        <x:v>按执行角色权限读取；策略只能使用可访问快照</x:v>
      </x:c>
    </x:row>
    <x:row r="2110" ht="32" customHeight="1">
      <x:c r="A2110" s="30" t="str">
        <x:v>A024</x:v>
      </x:c>
      <x:c r="B2110" s="30" t="str">
        <x:v>F114</x:v>
      </x:c>
      <x:c r="C2110" s="30" t="str">
        <x:v>platform.water_tolerance_m</x:v>
      </x:c>
      <x:c r="D2110" s="30" t="str">
        <x:v>候选输入schema</x:v>
      </x:c>
      <x:c r="E2110" s="30" t="str">
        <x:v>按执行角色权限读取；策略只能使用可访问快照</x:v>
      </x:c>
    </x:row>
    <x:row r="2111" ht="32" customHeight="1">
      <x:c r="A2111" s="30" t="str">
        <x:v>A024</x:v>
      </x:c>
      <x:c r="B2111" s="30" t="str">
        <x:v>F115</x:v>
      </x:c>
      <x:c r="C2111" s="30" t="str">
        <x:v>platform.concurrency_policy</x:v>
      </x:c>
      <x:c r="D2111" s="30" t="str">
        <x:v>候选输入schema</x:v>
      </x:c>
      <x:c r="E2111" s="30" t="str">
        <x:v>按执行角色权限读取；策略只能使用可访问快照</x:v>
      </x:c>
    </x:row>
    <x:row r="2112" ht="32" customHeight="1">
      <x:c r="A2112" s="30" t="str">
        <x:v>A024</x:v>
      </x:c>
      <x:c r="B2112" s="30" t="str">
        <x:v>F116</x:v>
      </x:c>
      <x:c r="C2112" s="30" t="str">
        <x:v>equipment.kind</x:v>
      </x:c>
      <x:c r="D2112" s="30" t="str">
        <x:v>候选输入schema</x:v>
      </x:c>
      <x:c r="E2112" s="30" t="str">
        <x:v>按执行角色权限读取；策略只能使用可访问快照</x:v>
      </x:c>
    </x:row>
    <x:row r="2113" ht="32" customHeight="1">
      <x:c r="A2113" s="30" t="str">
        <x:v>A024</x:v>
      </x:c>
      <x:c r="B2113" s="30" t="str">
        <x:v>F117</x:v>
      </x:c>
      <x:c r="C2113" s="30" t="str">
        <x:v>equipment.enabled</x:v>
      </x:c>
      <x:c r="D2113" s="30" t="str">
        <x:v>候选输入schema</x:v>
      </x:c>
      <x:c r="E2113" s="30" t="str">
        <x:v>按执行角色权限读取；策略只能使用可访问快照</x:v>
      </x:c>
    </x:row>
    <x:row r="2114" ht="32" customHeight="1">
      <x:c r="A2114" s="30" t="str">
        <x:v>A024</x:v>
      </x:c>
      <x:c r="B2114" s="30" t="str">
        <x:v>F118</x:v>
      </x:c>
      <x:c r="C2114" s="30" t="str">
        <x:v>equipment.health</x:v>
      </x:c>
      <x:c r="D2114" s="30" t="str">
        <x:v>候选输入schema</x:v>
      </x:c>
      <x:c r="E2114" s="30" t="str">
        <x:v>按执行角色权限读取；策略只能使用可访问快照</x:v>
      </x:c>
    </x:row>
    <x:row r="2115" ht="32" customHeight="1">
      <x:c r="A2115" s="30" t="str">
        <x:v>A024</x:v>
      </x:c>
      <x:c r="B2115" s="30" t="str">
        <x:v>F119</x:v>
      </x:c>
      <x:c r="C2115" s="30" t="str">
        <x:v>equipment.rated_load_kg</x:v>
      </x:c>
      <x:c r="D2115" s="30" t="str">
        <x:v>候选输入schema</x:v>
      </x:c>
      <x:c r="E2115" s="30" t="str">
        <x:v>按执行角色权限读取；策略只能使用可访问快照</x:v>
      </x:c>
    </x:row>
    <x:row r="2116" ht="32" customHeight="1">
      <x:c r="A2116" s="30" t="str">
        <x:v>A024</x:v>
      </x:c>
      <x:c r="B2116" s="30" t="str">
        <x:v>F120</x:v>
      </x:c>
      <x:c r="C2116" s="30" t="str">
        <x:v>equipment.reach_m</x:v>
      </x:c>
      <x:c r="D2116" s="30" t="str">
        <x:v>候选输入schema</x:v>
      </x:c>
      <x:c r="E2116" s="30" t="str">
        <x:v>按执行角色权限读取；策略只能使用可访问快照</x:v>
      </x:c>
    </x:row>
    <x:row r="2117" ht="32" customHeight="1">
      <x:c r="A2117" s="30" t="str">
        <x:v>A024</x:v>
      </x:c>
      <x:c r="B2117" s="30" t="str">
        <x:v>F121</x:v>
      </x:c>
      <x:c r="C2117" s="30" t="str">
        <x:v>equipment.compatible_materials</x:v>
      </x:c>
      <x:c r="D2117" s="30" t="str">
        <x:v>候选输入schema</x:v>
      </x:c>
      <x:c r="E2117" s="30" t="str">
        <x:v>按执行角色权限读取；策略只能使用可访问快照</x:v>
      </x:c>
    </x:row>
    <x:row r="2118" ht="32" customHeight="1">
      <x:c r="A2118" s="30" t="str">
        <x:v>A024</x:v>
      </x:c>
      <x:c r="B2118" s="30" t="str">
        <x:v>F122</x:v>
      </x:c>
      <x:c r="C2118" s="30" t="str">
        <x:v>equipment.tool_size</x:v>
      </x:c>
      <x:c r="D2118" s="30" t="str">
        <x:v>候选输入schema</x:v>
      </x:c>
      <x:c r="E2118" s="30" t="str">
        <x:v>按执行角色权限读取；策略只能使用可访问快照</x:v>
      </x:c>
    </x:row>
    <x:row r="2119" ht="32" customHeight="1">
      <x:c r="A2119" s="30" t="str">
        <x:v>A024</x:v>
      </x:c>
      <x:c r="B2119" s="30" t="str">
        <x:v>F123</x:v>
      </x:c>
      <x:c r="C2119" s="30" t="str">
        <x:v>equipment.consumable_type</x:v>
      </x:c>
      <x:c r="D2119" s="30" t="str">
        <x:v>候选输入schema</x:v>
      </x:c>
      <x:c r="E2119" s="30" t="str">
        <x:v>按执行角色权限读取；策略只能使用可访问快照</x:v>
      </x:c>
    </x:row>
    <x:row r="2120" ht="32" customHeight="1">
      <x:c r="A2120" s="30" t="str">
        <x:v>A024</x:v>
      </x:c>
      <x:c r="B2120" s="30" t="str">
        <x:v>F124</x:v>
      </x:c>
      <x:c r="C2120" s="30" t="str">
        <x:v>equipment.consumable_remaining</x:v>
      </x:c>
      <x:c r="D2120" s="30" t="str">
        <x:v>候选输入schema</x:v>
      </x:c>
      <x:c r="E2120" s="30" t="str">
        <x:v>按执行角色权限读取；策略只能使用可访问快照</x:v>
      </x:c>
    </x:row>
    <x:row r="2121" ht="32" customHeight="1">
      <x:c r="A2121" s="30" t="str">
        <x:v>A024</x:v>
      </x:c>
      <x:c r="B2121" s="30" t="str">
        <x:v>F125</x:v>
      </x:c>
      <x:c r="C2121" s="30" t="str">
        <x:v>equipment.operator_authority</x:v>
      </x:c>
      <x:c r="D2121" s="30" t="str">
        <x:v>候选输入schema</x:v>
      </x:c>
      <x:c r="E2121" s="30" t="str">
        <x:v>按执行角色权限读取；策略只能使用可访问快照</x:v>
      </x:c>
    </x:row>
    <x:row r="2122" ht="32" customHeight="1">
      <x:c r="A2122" s="30" t="str">
        <x:v>A024</x:v>
      </x:c>
      <x:c r="B2122" s="30" t="str">
        <x:v>F126</x:v>
      </x:c>
      <x:c r="C2122" s="30" t="str">
        <x:v>equipment.setup_state</x:v>
      </x:c>
      <x:c r="D2122" s="30" t="str">
        <x:v>候选输入schema</x:v>
      </x:c>
      <x:c r="E2122" s="30" t="str">
        <x:v>按执行角色权限读取；策略只能使用可访问快照</x:v>
      </x:c>
    </x:row>
    <x:row r="2123" ht="32" customHeight="1">
      <x:c r="A2123" s="30" t="str">
        <x:v>A024</x:v>
      </x:c>
      <x:c r="B2123" s="30" t="str">
        <x:v>F127</x:v>
      </x:c>
      <x:c r="C2123" s="30" t="str">
        <x:v>equipment.busy_action_id</x:v>
      </x:c>
      <x:c r="D2123" s="30" t="str">
        <x:v>候选输入schema</x:v>
      </x:c>
      <x:c r="E2123" s="30" t="str">
        <x:v>按执行角色权限读取；策略只能使用可访问快照</x:v>
      </x:c>
    </x:row>
    <x:row r="2124" ht="32" customHeight="1">
      <x:c r="A2124" s="30" t="str">
        <x:v>A024</x:v>
      </x:c>
      <x:c r="B2124" s="30" t="str">
        <x:v>F128</x:v>
      </x:c>
      <x:c r="C2124" s="30" t="str">
        <x:v>item.kind</x:v>
      </x:c>
      <x:c r="D2124" s="30" t="str">
        <x:v>候选输入schema</x:v>
      </x:c>
      <x:c r="E2124" s="30" t="str">
        <x:v>按执行角色权限读取；策略只能使用可访问快照</x:v>
      </x:c>
    </x:row>
    <x:row r="2125" ht="32" customHeight="1">
      <x:c r="A2125" s="30" t="str">
        <x:v>A024</x:v>
      </x:c>
      <x:c r="B2125" s="30" t="str">
        <x:v>F129</x:v>
      </x:c>
      <x:c r="C2125" s="30" t="str">
        <x:v>item.mass_kg</x:v>
      </x:c>
      <x:c r="D2125" s="30" t="str">
        <x:v>候选输入schema</x:v>
      </x:c>
      <x:c r="E2125" s="30" t="str">
        <x:v>按执行角色权限读取；策略只能使用可访问快照</x:v>
      </x:c>
    </x:row>
    <x:row r="2126" ht="32" customHeight="1">
      <x:c r="A2126" s="30" t="str">
        <x:v>A024</x:v>
      </x:c>
      <x:c r="B2126" s="30" t="str">
        <x:v>F130</x:v>
      </x:c>
      <x:c r="C2126" s="30" t="str">
        <x:v>item.dimensions_m</x:v>
      </x:c>
      <x:c r="D2126" s="30" t="str">
        <x:v>候选输入schema</x:v>
      </x:c>
      <x:c r="E2126" s="30" t="str">
        <x:v>按执行角色权限读取；策略只能使用可访问快照</x:v>
      </x:c>
    </x:row>
    <x:row r="2127" ht="32" customHeight="1">
      <x:c r="A2127" s="30" t="str">
        <x:v>A024</x:v>
      </x:c>
      <x:c r="B2127" s="30" t="str">
        <x:v>F131</x:v>
      </x:c>
      <x:c r="C2127" s="30" t="str">
        <x:v>item.quantity</x:v>
      </x:c>
      <x:c r="D2127" s="30" t="str">
        <x:v>候选输入schema</x:v>
      </x:c>
      <x:c r="E2127" s="30" t="str">
        <x:v>按执行角色权限读取；策略只能使用可访问快照</x:v>
      </x:c>
    </x:row>
    <x:row r="2128" ht="32" customHeight="1">
      <x:c r="A2128" s="30" t="str">
        <x:v>A024</x:v>
      </x:c>
      <x:c r="B2128" s="30" t="str">
        <x:v>F132</x:v>
      </x:c>
      <x:c r="C2128" s="30" t="str">
        <x:v>item.holder_id</x:v>
      </x:c>
      <x:c r="D2128" s="30" t="str">
        <x:v>候选输入schema</x:v>
      </x:c>
      <x:c r="E2128" s="30" t="str">
        <x:v>按执行角色权限读取；策略只能使用可访问快照</x:v>
      </x:c>
    </x:row>
    <x:row r="2129" ht="32" customHeight="1">
      <x:c r="A2129" s="30" t="str">
        <x:v>A024</x:v>
      </x:c>
      <x:c r="B2129" s="30" t="str">
        <x:v>F133</x:v>
      </x:c>
      <x:c r="C2129" s="30" t="str">
        <x:v>item.state</x:v>
      </x:c>
      <x:c r="D2129" s="30" t="str">
        <x:v>候选输入schema</x:v>
      </x:c>
      <x:c r="E2129" s="30" t="str">
        <x:v>按执行角色权限读取；策略只能使用可访问快照</x:v>
      </x:c>
    </x:row>
    <x:row r="2130" ht="32" customHeight="1">
      <x:c r="A2130" s="30" t="str">
        <x:v>A024</x:v>
      </x:c>
      <x:c r="B2130" s="30" t="str">
        <x:v>F134</x:v>
      </x:c>
      <x:c r="C2130" s="30" t="str">
        <x:v>item.attachment_id</x:v>
      </x:c>
      <x:c r="D2130" s="30" t="str">
        <x:v>候选输入schema</x:v>
      </x:c>
      <x:c r="E2130" s="30" t="str">
        <x:v>按执行角色权限读取；策略只能使用可访问快照</x:v>
      </x:c>
    </x:row>
    <x:row r="2131" ht="32" customHeight="1">
      <x:c r="A2131" s="30" t="str">
        <x:v>A024</x:v>
      </x:c>
      <x:c r="B2131" s="30" t="str">
        <x:v>F135</x:v>
      </x:c>
      <x:c r="C2131" s="30" t="str">
        <x:v>item.reservation_task_id</x:v>
      </x:c>
      <x:c r="D2131" s="30" t="str">
        <x:v>候选输入schema</x:v>
      </x:c>
      <x:c r="E2131" s="30" t="str">
        <x:v>按执行角色权限读取；策略只能使用可访问快照</x:v>
      </x:c>
    </x:row>
    <x:row r="2132" ht="32" customHeight="1">
      <x:c r="A2132" s="30" t="str">
        <x:v>A024</x:v>
      </x:c>
      <x:c r="B2132" s="30" t="str">
        <x:v>F136</x:v>
      </x:c>
      <x:c r="C2132" s="30" t="str">
        <x:v>item.release_state</x:v>
      </x:c>
      <x:c r="D2132" s="30" t="str">
        <x:v>候选输入schema</x:v>
      </x:c>
      <x:c r="E2132" s="30" t="str">
        <x:v>按执行角色权限读取；策略只能使用可访问快照</x:v>
      </x:c>
    </x:row>
    <x:row r="2133" ht="32" customHeight="1">
      <x:c r="A2133" s="30" t="str">
        <x:v>A024</x:v>
      </x:c>
      <x:c r="B2133" s="30" t="str">
        <x:v>F137</x:v>
      </x:c>
      <x:c r="C2133" s="30" t="str">
        <x:v>item.contact_pose</x:v>
      </x:c>
      <x:c r="D2133" s="30" t="str">
        <x:v>候选输入schema</x:v>
      </x:c>
      <x:c r="E2133" s="30" t="str">
        <x:v>按执行角色权限读取；策略只能使用可访问快照</x:v>
      </x:c>
    </x:row>
    <x:row r="2134" ht="32" customHeight="1">
      <x:c r="A2134" s="30" t="str">
        <x:v>A024</x:v>
      </x:c>
      <x:c r="B2134" s="30" t="str">
        <x:v>F138</x:v>
      </x:c>
      <x:c r="C2134" s="30" t="str">
        <x:v>item.receiver_id</x:v>
      </x:c>
      <x:c r="D2134" s="30" t="str">
        <x:v>候选输入schema</x:v>
      </x:c>
      <x:c r="E2134" s="30" t="str">
        <x:v>按执行角色权限读取；策略只能使用可访问快照</x:v>
      </x:c>
    </x:row>
    <x:row r="2135" ht="32" customHeight="1">
      <x:c r="A2135" s="30" t="str">
        <x:v>A024</x:v>
      </x:c>
      <x:c r="B2135" s="30" t="str">
        <x:v>F139</x:v>
      </x:c>
      <x:c r="C2135" s="30" t="str">
        <x:v>item.receipt_id</x:v>
      </x:c>
      <x:c r="D2135" s="30" t="str">
        <x:v>候选输入schema</x:v>
      </x:c>
      <x:c r="E2135" s="30" t="str">
        <x:v>按执行角色权限读取；策略只能使用可访问快照</x:v>
      </x:c>
    </x:row>
    <x:row r="2136" ht="32" customHeight="1">
      <x:c r="A2136" s="30" t="str">
        <x:v>A024</x:v>
      </x:c>
      <x:c r="B2136" s="30" t="str">
        <x:v>F140</x:v>
      </x:c>
      <x:c r="C2136" s="30" t="str">
        <x:v>item.condition</x:v>
      </x:c>
      <x:c r="D2136" s="30" t="str">
        <x:v>候选输入schema</x:v>
      </x:c>
      <x:c r="E2136" s="30" t="str">
        <x:v>按执行角色权限读取；策略只能使用可访问快照</x:v>
      </x:c>
    </x:row>
    <x:row r="2137" ht="32" customHeight="1">
      <x:c r="A2137" s="30" t="str">
        <x:v>A024</x:v>
      </x:c>
      <x:c r="B2137" s="30" t="str">
        <x:v>F141</x:v>
      </x:c>
      <x:c r="C2137" s="30" t="str">
        <x:v>station.kind</x:v>
      </x:c>
      <x:c r="D2137" s="30" t="str">
        <x:v>候选输入schema</x:v>
      </x:c>
      <x:c r="E2137" s="30" t="str">
        <x:v>按执行角色权限读取；策略只能使用可访问快照</x:v>
      </x:c>
    </x:row>
    <x:row r="2138" ht="32" customHeight="1">
      <x:c r="A2138" s="30" t="str">
        <x:v>A024</x:v>
      </x:c>
      <x:c r="B2138" s="30" t="str">
        <x:v>F142</x:v>
      </x:c>
      <x:c r="C2138" s="30" t="str">
        <x:v>station.capacity</x:v>
      </x:c>
      <x:c r="D2138" s="30" t="str">
        <x:v>候选输入schema</x:v>
      </x:c>
      <x:c r="E2138" s="30" t="str">
        <x:v>按执行角色权限读取；策略只能使用可访问快照</x:v>
      </x:c>
    </x:row>
    <x:row r="2139" ht="32" customHeight="1">
      <x:c r="A2139" s="30" t="str">
        <x:v>A024</x:v>
      </x:c>
      <x:c r="B2139" s="30" t="str">
        <x:v>F143</x:v>
      </x:c>
      <x:c r="C2139" s="30" t="str">
        <x:v>station.occupied</x:v>
      </x:c>
      <x:c r="D2139" s="30" t="str">
        <x:v>候选输入schema</x:v>
      </x:c>
      <x:c r="E2139" s="30" t="str">
        <x:v>按执行角色权限读取；策略只能使用可访问快照</x:v>
      </x:c>
    </x:row>
    <x:row r="2140" ht="32" customHeight="1">
      <x:c r="A2140" s="30" t="str">
        <x:v>A024</x:v>
      </x:c>
      <x:c r="B2140" s="30" t="str">
        <x:v>F144</x:v>
      </x:c>
      <x:c r="C2140" s="30" t="str">
        <x:v>station.inventory</x:v>
      </x:c>
      <x:c r="D2140" s="30" t="str">
        <x:v>候选输入schema</x:v>
      </x:c>
      <x:c r="E2140" s="30" t="str">
        <x:v>按执行角色权限读取；策略只能使用可访问快照</x:v>
      </x:c>
    </x:row>
    <x:row r="2141" ht="32" customHeight="1">
      <x:c r="A2141" s="30" t="str">
        <x:v>A024</x:v>
      </x:c>
      <x:c r="B2141" s="30" t="str">
        <x:v>F145</x:v>
      </x:c>
      <x:c r="C2141" s="30" t="str">
        <x:v>station.power_W</x:v>
      </x:c>
      <x:c r="D2141" s="30" t="str">
        <x:v>候选输入schema</x:v>
      </x:c>
      <x:c r="E2141" s="30" t="str">
        <x:v>按执行角色权限读取；策略只能使用可访问快照</x:v>
      </x:c>
    </x:row>
    <x:row r="2142" ht="32" customHeight="1">
      <x:c r="A2142" s="30" t="str">
        <x:v>A024</x:v>
      </x:c>
      <x:c r="B2142" s="30" t="str">
        <x:v>F146</x:v>
      </x:c>
      <x:c r="C2142" s="30" t="str">
        <x:v>station.connector_types</x:v>
      </x:c>
      <x:c r="D2142" s="30" t="str">
        <x:v>候选输入schema</x:v>
      </x:c>
      <x:c r="E2142" s="30" t="str">
        <x:v>按执行角色权限读取；策略只能使用可访问快照</x:v>
      </x:c>
    </x:row>
    <x:row r="2143" ht="32" customHeight="1">
      <x:c r="A2143" s="30" t="str">
        <x:v>A024</x:v>
      </x:c>
      <x:c r="B2143" s="30" t="str">
        <x:v>F147</x:v>
      </x:c>
      <x:c r="C2143" s="30" t="str">
        <x:v>station.queue_ids</x:v>
      </x:c>
      <x:c r="D2143" s="30" t="str">
        <x:v>候选输入schema</x:v>
      </x:c>
      <x:c r="E2143" s="30" t="str">
        <x:v>按执行角色权限读取；策略只能使用可访问快照</x:v>
      </x:c>
    </x:row>
    <x:row r="2144" ht="32" customHeight="1">
      <x:c r="A2144" s="30" t="str">
        <x:v>A024</x:v>
      </x:c>
      <x:c r="B2144" s="30" t="str">
        <x:v>F148</x:v>
      </x:c>
      <x:c r="C2144" s="30" t="str">
        <x:v>station.open_state</x:v>
      </x:c>
      <x:c r="D2144" s="30" t="str">
        <x:v>候选输入schema</x:v>
      </x:c>
      <x:c r="E2144" s="30" t="str">
        <x:v>按执行角色权限读取；策略只能使用可访问快照</x:v>
      </x:c>
    </x:row>
    <x:row r="2145" ht="32" customHeight="1">
      <x:c r="A2145" s="30" t="str">
        <x:v>A024</x:v>
      </x:c>
      <x:c r="B2145" s="30" t="str">
        <x:v>F149</x:v>
      </x:c>
      <x:c r="C2145" s="30" t="str">
        <x:v>station.accepted_need_types</x:v>
      </x:c>
      <x:c r="D2145" s="30" t="str">
        <x:v>候选输入schema</x:v>
      </x:c>
      <x:c r="E2145" s="30" t="str">
        <x:v>按执行角色权限读取；策略只能使用可访问快照</x:v>
      </x:c>
    </x:row>
    <x:row r="2146" ht="32" customHeight="1">
      <x:c r="A2146" s="30" t="str">
        <x:v>A024</x:v>
      </x:c>
      <x:c r="B2146" s="30" t="str">
        <x:v>F150</x:v>
      </x:c>
      <x:c r="C2146" s="30" t="str">
        <x:v>station.access_region</x:v>
      </x:c>
      <x:c r="D2146" s="30" t="str">
        <x:v>候选输入schema</x:v>
      </x:c>
      <x:c r="E2146" s="30" t="str">
        <x:v>按执行角色权限读取；策略只能使用可访问快照</x:v>
      </x:c>
    </x:row>
    <x:row r="2147" ht="32" customHeight="1">
      <x:c r="A2147" s="30" t="str">
        <x:v>A024</x:v>
      </x:c>
      <x:c r="B2147" s="30" t="str">
        <x:v>F196</x:v>
      </x:c>
      <x:c r="C2147" s="30" t="str">
        <x:v>task.type</x:v>
      </x:c>
      <x:c r="D2147" s="30" t="str">
        <x:v>候选输入schema</x:v>
      </x:c>
      <x:c r="E2147" s="30" t="str">
        <x:v>按执行角色权限读取；策略只能使用可访问快照</x:v>
      </x:c>
    </x:row>
    <x:row r="2148" ht="32" customHeight="1">
      <x:c r="A2148" s="30" t="str">
        <x:v>A024</x:v>
      </x:c>
      <x:c r="B2148" s="30" t="str">
        <x:v>F197</x:v>
      </x:c>
      <x:c r="C2148" s="30" t="str">
        <x:v>task.creator_id</x:v>
      </x:c>
      <x:c r="D2148" s="30" t="str">
        <x:v>候选输入schema</x:v>
      </x:c>
      <x:c r="E2148" s="30" t="str">
        <x:v>按执行角色权限读取；策略只能使用可访问快照</x:v>
      </x:c>
    </x:row>
    <x:row r="2149" ht="32" customHeight="1">
      <x:c r="A2149" s="30" t="str">
        <x:v>A024</x:v>
      </x:c>
      <x:c r="B2149" s="30" t="str">
        <x:v>F198</x:v>
      </x:c>
      <x:c r="C2149" s="30" t="str">
        <x:v>task.target_ref</x:v>
      </x:c>
      <x:c r="D2149" s="30" t="str">
        <x:v>候选输入schema</x:v>
      </x:c>
      <x:c r="E2149" s="30" t="str">
        <x:v>按执行角色权限读取；策略只能使用可访问快照</x:v>
      </x:c>
    </x:row>
    <x:row r="2150" ht="32" customHeight="1">
      <x:c r="A2150" s="30" t="str">
        <x:v>A024</x:v>
      </x:c>
      <x:c r="B2150" s="30" t="str">
        <x:v>F199</x:v>
      </x:c>
      <x:c r="C2150" s="30" t="str">
        <x:v>task.goal_predicate</x:v>
      </x:c>
      <x:c r="D2150" s="30" t="str">
        <x:v>候选输入schema</x:v>
      </x:c>
      <x:c r="E2150" s="30" t="str">
        <x:v>按执行角色权限读取；策略只能使用可访问快照</x:v>
      </x:c>
    </x:row>
    <x:row r="2151" ht="32" customHeight="1">
      <x:c r="A2151" s="30" t="str">
        <x:v>A024</x:v>
      </x:c>
      <x:c r="B2151" s="30" t="str">
        <x:v>F200</x:v>
      </x:c>
      <x:c r="C2151" s="30" t="str">
        <x:v>task.revision</x:v>
      </x:c>
      <x:c r="D2151" s="30" t="str">
        <x:v>候选输入schema</x:v>
      </x:c>
      <x:c r="E2151" s="30" t="str">
        <x:v>按执行角色权限读取；策略只能使用可访问快照</x:v>
      </x:c>
    </x:row>
    <x:row r="2152" ht="32" customHeight="1">
      <x:c r="A2152" s="30" t="str">
        <x:v>A024</x:v>
      </x:c>
      <x:c r="B2152" s="30" t="str">
        <x:v>F201</x:v>
      </x:c>
      <x:c r="C2152" s="30" t="str">
        <x:v>task.status</x:v>
      </x:c>
      <x:c r="D2152" s="30" t="str">
        <x:v>候选输入schema</x:v>
      </x:c>
      <x:c r="E2152" s="30" t="str">
        <x:v>按执行角色权限读取；策略只能使用可访问快照</x:v>
      </x:c>
    </x:row>
    <x:row r="2153" ht="32" customHeight="1">
      <x:c r="A2153" s="30" t="str">
        <x:v>A024</x:v>
      </x:c>
      <x:c r="B2153" s="30" t="str">
        <x:v>F202</x:v>
      </x:c>
      <x:c r="C2153" s="30" t="str">
        <x:v>task.priority</x:v>
      </x:c>
      <x:c r="D2153" s="30" t="str">
        <x:v>候选输入schema</x:v>
      </x:c>
      <x:c r="E2153" s="30" t="str">
        <x:v>按执行角色权限读取；策略只能使用可访问快照</x:v>
      </x:c>
    </x:row>
    <x:row r="2154" ht="32" customHeight="1">
      <x:c r="A2154" s="30" t="str">
        <x:v>A024</x:v>
      </x:c>
      <x:c r="B2154" s="30" t="str">
        <x:v>F203</x:v>
      </x:c>
      <x:c r="C2154" s="30" t="str">
        <x:v>task.deadline_s</x:v>
      </x:c>
      <x:c r="D2154" s="30" t="str">
        <x:v>候选输入schema</x:v>
      </x:c>
      <x:c r="E2154" s="30" t="str">
        <x:v>按执行角色权限读取；策略只能使用可访问快照</x:v>
      </x:c>
    </x:row>
    <x:row r="2155" ht="32" customHeight="1">
      <x:c r="A2155" s="30" t="str">
        <x:v>A024</x:v>
      </x:c>
      <x:c r="B2155" s="30" t="str">
        <x:v>F204</x:v>
      </x:c>
      <x:c r="C2155" s="30" t="str">
        <x:v>task.dependency_ids</x:v>
      </x:c>
      <x:c r="D2155" s="30" t="str">
        <x:v>候选输入schema</x:v>
      </x:c>
      <x:c r="E2155" s="30" t="str">
        <x:v>按执行角色权限读取；策略只能使用可访问快照</x:v>
      </x:c>
    </x:row>
    <x:row r="2156" ht="32" customHeight="1">
      <x:c r="A2156" s="30" t="str">
        <x:v>A024</x:v>
      </x:c>
      <x:c r="B2156" s="30" t="str">
        <x:v>F205</x:v>
      </x:c>
      <x:c r="C2156" s="30" t="str">
        <x:v>task.required_capability_ids</x:v>
      </x:c>
      <x:c r="D2156" s="30" t="str">
        <x:v>候选输入schema</x:v>
      </x:c>
      <x:c r="E2156" s="30" t="str">
        <x:v>按执行角色权限读取；策略只能使用可访问快照</x:v>
      </x:c>
    </x:row>
    <x:row r="2157" ht="32" customHeight="1">
      <x:c r="A2157" s="30" t="str">
        <x:v>A024</x:v>
      </x:c>
      <x:c r="B2157" s="30" t="str">
        <x:v>F206</x:v>
      </x:c>
      <x:c r="C2157" s="30" t="str">
        <x:v>task.resource_budget</x:v>
      </x:c>
      <x:c r="D2157" s="30" t="str">
        <x:v>候选输入schema</x:v>
      </x:c>
      <x:c r="E2157" s="30" t="str">
        <x:v>按执行角色权限读取；策略只能使用可访问快照</x:v>
      </x:c>
    </x:row>
    <x:row r="2158" ht="32" customHeight="1">
      <x:c r="A2158" s="30" t="str">
        <x:v>A024</x:v>
      </x:c>
      <x:c r="B2158" s="30" t="str">
        <x:v>F207</x:v>
      </x:c>
      <x:c r="C2158" s="30" t="str">
        <x:v>task.assigned_to</x:v>
      </x:c>
      <x:c r="D2158" s="30" t="str">
        <x:v>候选输入schema</x:v>
      </x:c>
      <x:c r="E2158" s="30" t="str">
        <x:v>按执行角色权限读取；策略只能使用可访问快照</x:v>
      </x:c>
    </x:row>
    <x:row r="2159" ht="32" customHeight="1">
      <x:c r="A2159" s="30" t="str">
        <x:v>A024</x:v>
      </x:c>
      <x:c r="B2159" s="30" t="str">
        <x:v>F208</x:v>
      </x:c>
      <x:c r="C2159" s="30" t="str">
        <x:v>task.accepted_by</x:v>
      </x:c>
      <x:c r="D2159" s="30" t="str">
        <x:v>候选输入schema</x:v>
      </x:c>
      <x:c r="E2159" s="30" t="str">
        <x:v>按执行角色权限读取；策略只能使用可访问快照</x:v>
      </x:c>
    </x:row>
    <x:row r="2160" ht="32" customHeight="1">
      <x:c r="A2160" s="30" t="str">
        <x:v>A024</x:v>
      </x:c>
      <x:c r="B2160" s="30" t="str">
        <x:v>F209</x:v>
      </x:c>
      <x:c r="C2160" s="30" t="str">
        <x:v>task.commitment_window</x:v>
      </x:c>
      <x:c r="D2160" s="30" t="str">
        <x:v>候选输入schema</x:v>
      </x:c>
      <x:c r="E2160" s="30" t="str">
        <x:v>按执行角色权限读取；策略只能使用可访问快照</x:v>
      </x:c>
    </x:row>
    <x:row r="2161" ht="32" customHeight="1">
      <x:c r="A2161" s="30" t="str">
        <x:v>A024</x:v>
      </x:c>
      <x:c r="B2161" s="30" t="str">
        <x:v>F210</x:v>
      </x:c>
      <x:c r="C2161" s="30" t="str">
        <x:v>task.progress</x:v>
      </x:c>
      <x:c r="D2161" s="30" t="str">
        <x:v>候选输入schema</x:v>
      </x:c>
      <x:c r="E2161" s="30" t="str">
        <x:v>按执行角色权限读取；策略只能使用可访问快照</x:v>
      </x:c>
    </x:row>
    <x:row r="2162" ht="32" customHeight="1">
      <x:c r="A2162" s="30" t="str">
        <x:v>A024</x:v>
      </x:c>
      <x:c r="B2162" s="30" t="str">
        <x:v>F211</x:v>
      </x:c>
      <x:c r="C2162" s="30" t="str">
        <x:v>task.active_action_ids</x:v>
      </x:c>
      <x:c r="D2162" s="30" t="str">
        <x:v>候选输入schema</x:v>
      </x:c>
      <x:c r="E2162" s="30" t="str">
        <x:v>按执行角色权限读取；策略只能使用可访问快照</x:v>
      </x:c>
    </x:row>
    <x:row r="2163" ht="32" customHeight="1">
      <x:c r="A2163" s="30" t="str">
        <x:v>A024</x:v>
      </x:c>
      <x:c r="B2163" s="30" t="str">
        <x:v>F212</x:v>
      </x:c>
      <x:c r="C2163" s="30" t="str">
        <x:v>task.interruptibility</x:v>
      </x:c>
      <x:c r="D2163" s="30" t="str">
        <x:v>候选输入schema</x:v>
      </x:c>
      <x:c r="E2163" s="30" t="str">
        <x:v>按执行角色权限读取；策略只能使用可访问快照</x:v>
      </x:c>
    </x:row>
    <x:row r="2164" ht="32" customHeight="1">
      <x:c r="A2164" s="30" t="str">
        <x:v>A024</x:v>
      </x:c>
      <x:c r="B2164" s="30" t="str">
        <x:v>F213</x:v>
      </x:c>
      <x:c r="C2164" s="30" t="str">
        <x:v>task.original_task_id</x:v>
      </x:c>
      <x:c r="D2164" s="30" t="str">
        <x:v>候选输入schema</x:v>
      </x:c>
      <x:c r="E2164" s="30" t="str">
        <x:v>按执行角色权限读取；策略只能使用可访问快照</x:v>
      </x:c>
    </x:row>
    <x:row r="2165" ht="32" customHeight="1">
      <x:c r="A2165" s="30" t="str">
        <x:v>A024</x:v>
      </x:c>
      <x:c r="B2165" s="30" t="str">
        <x:v>F214</x:v>
      </x:c>
      <x:c r="C2165" s="30" t="str">
        <x:v>task.resume_checkpoint</x:v>
      </x:c>
      <x:c r="D2165" s="30" t="str">
        <x:v>候选输入schema</x:v>
      </x:c>
      <x:c r="E2165" s="30" t="str">
        <x:v>按执行角色权限读取；策略只能使用可访问快照</x:v>
      </x:c>
    </x:row>
    <x:row r="2166" ht="32" customHeight="1">
      <x:c r="A2166" s="30" t="str">
        <x:v>A024</x:v>
      </x:c>
      <x:c r="B2166" s="30" t="str">
        <x:v>F215</x:v>
      </x:c>
      <x:c r="C2166" s="30" t="str">
        <x:v>task.handoff_target_id</x:v>
      </x:c>
      <x:c r="D2166" s="30" t="str">
        <x:v>候选输入schema</x:v>
      </x:c>
      <x:c r="E2166" s="30" t="str">
        <x:v>按执行角色权限读取；策略只能使用可访问快照</x:v>
      </x:c>
    </x:row>
    <x:row r="2167" ht="32" customHeight="1">
      <x:c r="A2167" s="30" t="str">
        <x:v>A024</x:v>
      </x:c>
      <x:c r="B2167" s="30" t="str">
        <x:v>F216</x:v>
      </x:c>
      <x:c r="C2167" s="30" t="str">
        <x:v>task.result_evidence_ids</x:v>
      </x:c>
      <x:c r="D2167" s="30" t="str">
        <x:v>候选输入schema</x:v>
      </x:c>
      <x:c r="E2167" s="30" t="str">
        <x:v>按执行角色权限读取；策略只能使用可访问快照</x:v>
      </x:c>
    </x:row>
    <x:row r="2168" ht="32" customHeight="1">
      <x:c r="A2168" s="30" t="str">
        <x:v>A024</x:v>
      </x:c>
      <x:c r="B2168" s="30" t="str">
        <x:v>F217</x:v>
      </x:c>
      <x:c r="C2168" s="30" t="str">
        <x:v>task.failure_reason</x:v>
      </x:c>
      <x:c r="D2168" s="30" t="str">
        <x:v>候选输入schema</x:v>
      </x:c>
      <x:c r="E2168" s="30" t="str">
        <x:v>按执行角色权限读取；策略只能使用可访问快照</x:v>
      </x:c>
    </x:row>
    <x:row r="2169" ht="32" customHeight="1">
      <x:c r="A2169" s="30" t="str">
        <x:v>A024</x:v>
      </x:c>
      <x:c r="B2169" s="30" t="str">
        <x:v>F218</x:v>
      </x:c>
      <x:c r="C2169" s="30" t="str">
        <x:v>task.last_event_s</x:v>
      </x:c>
      <x:c r="D2169" s="30" t="str">
        <x:v>候选输入schema</x:v>
      </x:c>
      <x:c r="E2169" s="30" t="str">
        <x:v>按执行角色权限读取；策略只能使用可访问快照</x:v>
      </x:c>
    </x:row>
    <x:row r="2170" ht="32" customHeight="1">
      <x:c r="A2170" s="30" t="str">
        <x:v>A024</x:v>
      </x:c>
      <x:c r="B2170" s="30" t="str">
        <x:v>F219</x:v>
      </x:c>
      <x:c r="C2170" s="30" t="str">
        <x:v>task.opportunity_cost</x:v>
      </x:c>
      <x:c r="D2170" s="30" t="str">
        <x:v>候选输入schema</x:v>
      </x:c>
      <x:c r="E2170" s="30" t="str">
        <x:v>按执行角色权限读取；策略只能使用可访问快照</x:v>
      </x:c>
    </x:row>
    <x:row r="2171" ht="32" customHeight="1">
      <x:c r="A2171" s="30" t="str">
        <x:v>A024</x:v>
      </x:c>
      <x:c r="B2171" s="30" t="str">
        <x:v>F230</x:v>
      </x:c>
      <x:c r="C2171" s="30" t="str">
        <x:v>action.type</x:v>
      </x:c>
      <x:c r="D2171" s="30" t="str">
        <x:v>候选输入schema</x:v>
      </x:c>
      <x:c r="E2171" s="30" t="str">
        <x:v>按执行角色权限读取；策略只能使用可访问快照</x:v>
      </x:c>
    </x:row>
    <x:row r="2172" ht="32" customHeight="1">
      <x:c r="A2172" s="30" t="str">
        <x:v>A024</x:v>
      </x:c>
      <x:c r="B2172" s="30" t="str">
        <x:v>F231</x:v>
      </x:c>
      <x:c r="C2172" s="30" t="str">
        <x:v>action.executor_id</x:v>
      </x:c>
      <x:c r="D2172" s="30" t="str">
        <x:v>候选输入schema</x:v>
      </x:c>
      <x:c r="E2172" s="30" t="str">
        <x:v>按执行角色权限读取；策略只能使用可访问快照</x:v>
      </x:c>
    </x:row>
    <x:row r="2173" ht="32" customHeight="1">
      <x:c r="A2173" s="30" t="str">
        <x:v>A024</x:v>
      </x:c>
      <x:c r="B2173" s="30" t="str">
        <x:v>F232</x:v>
      </x:c>
      <x:c r="C2173" s="30" t="str">
        <x:v>action.task_ref</x:v>
      </x:c>
      <x:c r="D2173" s="30" t="str">
        <x:v>候选输入schema</x:v>
      </x:c>
      <x:c r="E2173" s="30" t="str">
        <x:v>按执行角色权限读取；策略只能使用可访问快照</x:v>
      </x:c>
    </x:row>
    <x:row r="2174" ht="32" customHeight="1">
      <x:c r="A2174" s="30" t="str">
        <x:v>A024</x:v>
      </x:c>
      <x:c r="B2174" s="30" t="str">
        <x:v>F233</x:v>
      </x:c>
      <x:c r="C2174" s="30" t="str">
        <x:v>action.target_ref</x:v>
      </x:c>
      <x:c r="D2174" s="30" t="str">
        <x:v>候选输入schema</x:v>
      </x:c>
      <x:c r="E2174" s="30" t="str">
        <x:v>按执行角色权限读取；策略只能使用可访问快照</x:v>
      </x:c>
    </x:row>
    <x:row r="2175" ht="32" customHeight="1">
      <x:c r="A2175" s="30" t="str">
        <x:v>A024</x:v>
      </x:c>
      <x:c r="B2175" s="30" t="str">
        <x:v>F234</x:v>
      </x:c>
      <x:c r="C2175" s="30" t="str">
        <x:v>action.parameters</x:v>
      </x:c>
      <x:c r="D2175" s="30" t="str">
        <x:v>候选输入schema</x:v>
      </x:c>
      <x:c r="E2175" s="30" t="str">
        <x:v>按执行角色权限读取；策略只能使用可访问快照</x:v>
      </x:c>
    </x:row>
    <x:row r="2176" ht="32" customHeight="1">
      <x:c r="A2176" s="30" t="str">
        <x:v>A024</x:v>
      </x:c>
      <x:c r="B2176" s="30" t="str">
        <x:v>F235</x:v>
      </x:c>
      <x:c r="C2176" s="30" t="str">
        <x:v>action.status</x:v>
      </x:c>
      <x:c r="D2176" s="30" t="str">
        <x:v>候选输入schema</x:v>
      </x:c>
      <x:c r="E2176" s="30" t="str">
        <x:v>按执行角色权限读取；策略只能使用可访问快照</x:v>
      </x:c>
    </x:row>
    <x:row r="2177" ht="32" customHeight="1">
      <x:c r="A2177" s="30" t="str">
        <x:v>A024</x:v>
      </x:c>
      <x:c r="B2177" s="30" t="str">
        <x:v>F236</x:v>
      </x:c>
      <x:c r="C2177" s="30" t="str">
        <x:v>action.start_s</x:v>
      </x:c>
      <x:c r="D2177" s="30" t="str">
        <x:v>候选输入schema</x:v>
      </x:c>
      <x:c r="E2177" s="30" t="str">
        <x:v>按执行角色权限读取；策略只能使用可访问快照</x:v>
      </x:c>
    </x:row>
    <x:row r="2178" ht="32" customHeight="1">
      <x:c r="A2178" s="30" t="str">
        <x:v>A024</x:v>
      </x:c>
      <x:c r="B2178" s="30" t="str">
        <x:v>F237</x:v>
      </x:c>
      <x:c r="C2178" s="30" t="str">
        <x:v>action.finish_s</x:v>
      </x:c>
      <x:c r="D2178" s="30" t="str">
        <x:v>候选输入schema</x:v>
      </x:c>
      <x:c r="E2178" s="30" t="str">
        <x:v>按执行角色权限读取；策略只能使用可访问快照</x:v>
      </x:c>
    </x:row>
    <x:row r="2179" ht="32" customHeight="1">
      <x:c r="A2179" s="30" t="str">
        <x:v>A024</x:v>
      </x:c>
      <x:c r="B2179" s="30" t="str">
        <x:v>F238</x:v>
      </x:c>
      <x:c r="C2179" s="30" t="str">
        <x:v>action.reserved_resources</x:v>
      </x:c>
      <x:c r="D2179" s="30" t="str">
        <x:v>候选输入schema</x:v>
      </x:c>
      <x:c r="E2179" s="30" t="str">
        <x:v>按执行角色权限读取；策略只能使用可访问快照</x:v>
      </x:c>
    </x:row>
    <x:row r="2180" ht="32" customHeight="1">
      <x:c r="A2180" s="30" t="str">
        <x:v>A024</x:v>
      </x:c>
      <x:c r="B2180" s="30" t="str">
        <x:v>F239</x:v>
      </x:c>
      <x:c r="C2180" s="30" t="str">
        <x:v>action.consumed_resources</x:v>
      </x:c>
      <x:c r="D2180" s="30" t="str">
        <x:v>候选输入schema</x:v>
      </x:c>
      <x:c r="E2180" s="30" t="str">
        <x:v>按执行角色权限读取；策略只能使用可访问快照</x:v>
      </x:c>
    </x:row>
    <x:row r="2181" ht="32" customHeight="1">
      <x:c r="A2181" s="30" t="str">
        <x:v>A024</x:v>
      </x:c>
      <x:c r="B2181" s="30" t="str">
        <x:v>F240</x:v>
      </x:c>
      <x:c r="C2181" s="30" t="str">
        <x:v>action.feedback</x:v>
      </x:c>
      <x:c r="D2181" s="30" t="str">
        <x:v>候选输入schema</x:v>
      </x:c>
      <x:c r="E2181" s="30" t="str">
        <x:v>按执行角色权限读取；策略只能使用可访问快照</x:v>
      </x:c>
    </x:row>
    <x:row r="2182" ht="32" customHeight="1">
      <x:c r="A2182" s="30" t="str">
        <x:v>A024</x:v>
      </x:c>
      <x:c r="B2182" s="30" t="str">
        <x:v>F241</x:v>
      </x:c>
      <x:c r="C2182" s="30" t="str">
        <x:v>action.result</x:v>
      </x:c>
      <x:c r="D2182" s="30" t="str">
        <x:v>候选输入schema</x:v>
      </x:c>
      <x:c r="E2182" s="30" t="str">
        <x:v>按执行角色权限读取；策略只能使用可访问快照</x:v>
      </x:c>
    </x:row>
    <x:row r="2183" ht="32" customHeight="1">
      <x:c r="A2183" s="30" t="str">
        <x:v>A024</x:v>
      </x:c>
      <x:c r="B2183" s="30" t="str">
        <x:v>F242</x:v>
      </x:c>
      <x:c r="C2183" s="30" t="str">
        <x:v>action.rejection_code</x:v>
      </x:c>
      <x:c r="D2183" s="30" t="str">
        <x:v>候选输入schema</x:v>
      </x:c>
      <x:c r="E2183" s="30" t="str">
        <x:v>按执行角色权限读取；策略只能使用可访问快照</x:v>
      </x:c>
    </x:row>
    <x:row r="2184" ht="32" customHeight="1">
      <x:c r="A2184" s="30" t="str">
        <x:v>A024</x:v>
      </x:c>
      <x:c r="B2184" s="30" t="str">
        <x:v>F243</x:v>
      </x:c>
      <x:c r="C2184" s="30" t="str">
        <x:v>action.failure_code</x:v>
      </x:c>
      <x:c r="D2184" s="30" t="str">
        <x:v>候选输入schema</x:v>
      </x:c>
      <x:c r="E2184" s="30" t="str">
        <x:v>按执行角色权限读取；策略只能使用可访问快照</x:v>
      </x:c>
    </x:row>
    <x:row r="2185" ht="32" customHeight="1">
      <x:c r="A2185" s="30" t="str">
        <x:v>A024</x:v>
      </x:c>
      <x:c r="B2185" s="30" t="str">
        <x:v>F244</x:v>
      </x:c>
      <x:c r="C2185" s="30" t="str">
        <x:v>action.cancel_requested</x:v>
      </x:c>
      <x:c r="D2185" s="30" t="str">
        <x:v>候选输入schema</x:v>
      </x:c>
      <x:c r="E2185" s="30" t="str">
        <x:v>按执行角色权限读取；策略只能使用可访问快照</x:v>
      </x:c>
    </x:row>
    <x:row r="2186" ht="32" customHeight="1">
      <x:c r="A2186" s="30" t="str">
        <x:v>A024</x:v>
      </x:c>
      <x:c r="B2186" s="30" t="str">
        <x:v>F245</x:v>
      </x:c>
      <x:c r="C2186" s="30" t="str">
        <x:v>action.backend_mode</x:v>
      </x:c>
      <x:c r="D2186" s="30" t="str">
        <x:v>候选输入schema</x:v>
      </x:c>
      <x:c r="E2186" s="30" t="str">
        <x:v>按执行角色权限读取；策略只能使用可访问快照</x:v>
      </x:c>
    </x:row>
    <x:row r="2187" ht="32" customHeight="1">
      <x:c r="A2187" s="30" t="str">
        <x:v>A024</x:v>
      </x:c>
      <x:c r="B2187" s="30" t="str">
        <x:v>F132</x:v>
      </x:c>
      <x:c r="C2187" s="30" t="str">
        <x:v>item.holder_id</x:v>
      </x:c>
      <x:c r="D2187" s="30" t="str">
        <x:v>直接效果</x:v>
      </x:c>
      <x:c r="E2187" s="30" t="str">
        <x:v>经实际执行/回执提交；不是规划时提前修改</x:v>
      </x:c>
    </x:row>
    <x:row r="2188" ht="32" customHeight="1">
      <x:c r="A2188" s="30" t="str">
        <x:v>A024</x:v>
      </x:c>
      <x:c r="B2188" s="30" t="str">
        <x:v>F133</x:v>
      </x:c>
      <x:c r="C2188" s="30" t="str">
        <x:v>item.state</x:v>
      </x:c>
      <x:c r="D2188" s="30" t="str">
        <x:v>直接效果</x:v>
      </x:c>
      <x:c r="E2188" s="30" t="str">
        <x:v>经实际执行/回执提交；不是规划时提前修改</x:v>
      </x:c>
    </x:row>
    <x:row r="2189" ht="32" customHeight="1">
      <x:c r="A2189" s="30" t="str">
        <x:v>A024</x:v>
      </x:c>
      <x:c r="B2189" s="30" t="str">
        <x:v>F134</x:v>
      </x:c>
      <x:c r="C2189" s="30" t="str">
        <x:v>item.attachment_id</x:v>
      </x:c>
      <x:c r="D2189" s="30" t="str">
        <x:v>直接效果</x:v>
      </x:c>
      <x:c r="E2189" s="30" t="str">
        <x:v>经实际执行/回执提交；不是规划时提前修改</x:v>
      </x:c>
    </x:row>
    <x:row r="2190" ht="32" customHeight="1">
      <x:c r="A2190" s="30" t="str">
        <x:v>A024</x:v>
      </x:c>
      <x:c r="B2190" s="30" t="str">
        <x:v>F103</x:v>
      </x:c>
      <x:c r="C2190" s="30" t="str">
        <x:v>platform.payload_item_ids</x:v>
      </x:c>
      <x:c r="D2190" s="30" t="str">
        <x:v>直接效果</x:v>
      </x:c>
      <x:c r="E2190" s="30" t="str">
        <x:v>经实际执行/回执提交；不是规划时提前修改</x:v>
      </x:c>
    </x:row>
    <x:row r="2191" ht="32" customHeight="1">
      <x:c r="A2191" s="30" t="str">
        <x:v>A025</x:v>
      </x:c>
      <x:c r="B2191" s="30" t="str">
        <x:v>F010</x:v>
      </x:c>
      <x:c r="C2191" s="30" t="str">
        <x:v>hazard.kind</x:v>
      </x:c>
      <x:c r="D2191" s="30" t="str">
        <x:v>候选输入schema</x:v>
      </x:c>
      <x:c r="E2191" s="30" t="str">
        <x:v>按执行角色权限读取；策略只能使用可访问快照</x:v>
      </x:c>
    </x:row>
    <x:row r="2192" ht="32" customHeight="1">
      <x:c r="A2192" s="30" t="str">
        <x:v>A025</x:v>
      </x:c>
      <x:c r="B2192" s="30" t="str">
        <x:v>F011</x:v>
      </x:c>
      <x:c r="C2192" s="30" t="str">
        <x:v>hazard.footprint</x:v>
      </x:c>
      <x:c r="D2192" s="30" t="str">
        <x:v>候选输入schema</x:v>
      </x:c>
      <x:c r="E2192" s="30" t="str">
        <x:v>按执行角色权限读取；策略只能使用可访问快照</x:v>
      </x:c>
    </x:row>
    <x:row r="2193" ht="32" customHeight="1">
      <x:c r="A2193" s="30" t="str">
        <x:v>A025</x:v>
      </x:c>
      <x:c r="B2193" s="30" t="str">
        <x:v>F012</x:v>
      </x:c>
      <x:c r="C2193" s="30" t="str">
        <x:v>hazard.intensity</x:v>
      </x:c>
      <x:c r="D2193" s="30" t="str">
        <x:v>候选输入schema</x:v>
      </x:c>
      <x:c r="E2193" s="30" t="str">
        <x:v>按执行角色权限读取；策略只能使用可访问快照</x:v>
      </x:c>
    </x:row>
    <x:row r="2194" ht="32" customHeight="1">
      <x:c r="A2194" s="30" t="str">
        <x:v>A025</x:v>
      </x:c>
      <x:c r="B2194" s="30" t="str">
        <x:v>F013</x:v>
      </x:c>
      <x:c r="C2194" s="30" t="str">
        <x:v>hazard.active</x:v>
      </x:c>
      <x:c r="D2194" s="30" t="str">
        <x:v>候选输入schema</x:v>
      </x:c>
      <x:c r="E2194" s="30" t="str">
        <x:v>按执行角色权限读取；策略只能使用可访问快照</x:v>
      </x:c>
    </x:row>
    <x:row r="2195" ht="32" customHeight="1">
      <x:c r="A2195" s="30" t="str">
        <x:v>A025</x:v>
      </x:c>
      <x:c r="B2195" s="30" t="str">
        <x:v>F014</x:v>
      </x:c>
      <x:c r="C2195" s="30" t="str">
        <x:v>hazard.water_depth_m</x:v>
      </x:c>
      <x:c r="D2195" s="30" t="str">
        <x:v>候选输入schema</x:v>
      </x:c>
      <x:c r="E2195" s="30" t="str">
        <x:v>按执行角色权限读取；策略只能使用可访问快照</x:v>
      </x:c>
    </x:row>
    <x:row r="2196" ht="32" customHeight="1">
      <x:c r="A2196" s="30" t="str">
        <x:v>A025</x:v>
      </x:c>
      <x:c r="B2196" s="30" t="str">
        <x:v>F015</x:v>
      </x:c>
      <x:c r="C2196" s="30" t="str">
        <x:v>hazard.flow_speed_mps</x:v>
      </x:c>
      <x:c r="D2196" s="30" t="str">
        <x:v>候选输入schema</x:v>
      </x:c>
      <x:c r="E2196" s="30" t="str">
        <x:v>按执行角色权限读取；策略只能使用可访问快照</x:v>
      </x:c>
    </x:row>
    <x:row r="2197" ht="32" customHeight="1">
      <x:c r="A2197" s="30" t="str">
        <x:v>A025</x:v>
      </x:c>
      <x:c r="B2197" s="30" t="str">
        <x:v>F016</x:v>
      </x:c>
      <x:c r="C2197" s="30" t="str">
        <x:v>hazard.smoke_density</x:v>
      </x:c>
      <x:c r="D2197" s="30" t="str">
        <x:v>候选输入schema</x:v>
      </x:c>
      <x:c r="E2197" s="30" t="str">
        <x:v>按执行角色权限读取；策略只能使用可访问快照</x:v>
      </x:c>
    </x:row>
    <x:row r="2198" ht="32" customHeight="1">
      <x:c r="A2198" s="30" t="str">
        <x:v>A025</x:v>
      </x:c>
      <x:c r="B2198" s="30" t="str">
        <x:v>F017</x:v>
      </x:c>
      <x:c r="C2198" s="30" t="str">
        <x:v>hazard.fire_intensity</x:v>
      </x:c>
      <x:c r="D2198" s="30" t="str">
        <x:v>候选输入schema</x:v>
      </x:c>
      <x:c r="E2198" s="30" t="str">
        <x:v>按执行角色权限读取；策略只能使用可访问快照</x:v>
      </x:c>
    </x:row>
    <x:row r="2199" ht="32" customHeight="1">
      <x:c r="A2199" s="30" t="str">
        <x:v>A025</x:v>
      </x:c>
      <x:c r="B2199" s="30" t="str">
        <x:v>F018</x:v>
      </x:c>
      <x:c r="C2199" s="30" t="str">
        <x:v>hazard.gas_level</x:v>
      </x:c>
      <x:c r="D2199" s="30" t="str">
        <x:v>候选输入schema</x:v>
      </x:c>
      <x:c r="E2199" s="30" t="str">
        <x:v>按执行角色权限读取；策略只能使用可访问快照</x:v>
      </x:c>
    </x:row>
    <x:row r="2200" ht="32" customHeight="1">
      <x:c r="A2200" s="30" t="str">
        <x:v>A025</x:v>
      </x:c>
      <x:c r="B2200" s="30" t="str">
        <x:v>F019</x:v>
      </x:c>
      <x:c r="C2200" s="30" t="str">
        <x:v>hazard.wind_mps</x:v>
      </x:c>
      <x:c r="D2200" s="30" t="str">
        <x:v>候选输入schema</x:v>
      </x:c>
      <x:c r="E2200" s="30" t="str">
        <x:v>按执行角色权限读取；策略只能使用可访问快照</x:v>
      </x:c>
    </x:row>
    <x:row r="2201" ht="32" customHeight="1">
      <x:c r="A2201" s="30" t="str">
        <x:v>A025</x:v>
      </x:c>
      <x:c r="B2201" s="30" t="str">
        <x:v>F020</x:v>
      </x:c>
      <x:c r="C2201" s="30" t="str">
        <x:v>hazard.visibility_m</x:v>
      </x:c>
      <x:c r="D2201" s="30" t="str">
        <x:v>候选输入schema</x:v>
      </x:c>
      <x:c r="E2201" s="30" t="str">
        <x:v>按执行角色权限读取；策略只能使用可访问快照</x:v>
      </x:c>
    </x:row>
    <x:row r="2202" ht="32" customHeight="1">
      <x:c r="A2202" s="30" t="str">
        <x:v>A025</x:v>
      </x:c>
      <x:c r="B2202" s="30" t="str">
        <x:v>F021</x:v>
      </x:c>
      <x:c r="C2202" s="30" t="str">
        <x:v>hazard.weather</x:v>
      </x:c>
      <x:c r="D2202" s="30" t="str">
        <x:v>候选输入schema</x:v>
      </x:c>
      <x:c r="E2202" s="30" t="str">
        <x:v>按执行角色权限读取；策略只能使用可访问快照</x:v>
      </x:c>
    </x:row>
    <x:row r="2203" ht="32" customHeight="1">
      <x:c r="A2203" s="30" t="str">
        <x:v>A025</x:v>
      </x:c>
      <x:c r="B2203" s="30" t="str">
        <x:v>F022</x:v>
      </x:c>
      <x:c r="C2203" s="30" t="str">
        <x:v>hazard.illumination</x:v>
      </x:c>
      <x:c r="D2203" s="30" t="str">
        <x:v>候选输入schema</x:v>
      </x:c>
      <x:c r="E2203" s="30" t="str">
        <x:v>按执行角色权限读取；策略只能使用可访问快照</x:v>
      </x:c>
    </x:row>
    <x:row r="2204" ht="32" customHeight="1">
      <x:c r="A2204" s="30" t="str">
        <x:v>A025</x:v>
      </x:c>
      <x:c r="B2204" s="30" t="str">
        <x:v>F023</x:v>
      </x:c>
      <x:c r="C2204" s="30" t="str">
        <x:v>hazard.secondary_event</x:v>
      </x:c>
      <x:c r="D2204" s="30" t="str">
        <x:v>候选输入schema</x:v>
      </x:c>
      <x:c r="E2204" s="30" t="str">
        <x:v>按执行角色权限读取；策略只能使用可访问快照</x:v>
      </x:c>
    </x:row>
    <x:row r="2205" ht="32" customHeight="1">
      <x:c r="A2205" s="30" t="str">
        <x:v>A025</x:v>
      </x:c>
      <x:c r="B2205" s="30" t="str">
        <x:v>F024</x:v>
      </x:c>
      <x:c r="C2205" s="30" t="str">
        <x:v>hazard.exclusion_zone</x:v>
      </x:c>
      <x:c r="D2205" s="30" t="str">
        <x:v>候选输入schema</x:v>
      </x:c>
      <x:c r="E2205" s="30" t="str">
        <x:v>按执行角色权限读取；策略只能使用可访问快照</x:v>
      </x:c>
    </x:row>
    <x:row r="2206" ht="32" customHeight="1">
      <x:c r="A2206" s="30" t="str">
        <x:v>A025</x:v>
      </x:c>
      <x:c r="B2206" s="30" t="str">
        <x:v>F025</x:v>
      </x:c>
      <x:c r="C2206" s="30" t="str">
        <x:v>hazard.expiry_s</x:v>
      </x:c>
      <x:c r="D2206" s="30" t="str">
        <x:v>候选输入schema</x:v>
      </x:c>
      <x:c r="E2206" s="30" t="str">
        <x:v>按执行角色权限读取；策略只能使用可访问快照</x:v>
      </x:c>
    </x:row>
    <x:row r="2207" ht="32" customHeight="1">
      <x:c r="A2207" s="30" t="str">
        <x:v>A025</x:v>
      </x:c>
      <x:c r="B2207" s="30" t="str">
        <x:v>F095</x:v>
      </x:c>
      <x:c r="C2207" s="30" t="str">
        <x:v>platform.kind</x:v>
      </x:c>
      <x:c r="D2207" s="30" t="str">
        <x:v>候选输入schema</x:v>
      </x:c>
      <x:c r="E2207" s="30" t="str">
        <x:v>按执行角色权限读取；策略只能使用可访问快照</x:v>
      </x:c>
    </x:row>
    <x:row r="2208" ht="32" customHeight="1">
      <x:c r="A2208" s="30" t="str">
        <x:v>A025</x:v>
      </x:c>
      <x:c r="B2208" s="30" t="str">
        <x:v>F096</x:v>
      </x:c>
      <x:c r="C2208" s="30" t="str">
        <x:v>platform.capability_ids</x:v>
      </x:c>
      <x:c r="D2208" s="30" t="str">
        <x:v>候选输入schema</x:v>
      </x:c>
      <x:c r="E2208" s="30" t="str">
        <x:v>按执行角色权限读取；策略只能使用可访问快照</x:v>
      </x:c>
    </x:row>
    <x:row r="2209" ht="32" customHeight="1">
      <x:c r="A2209" s="30" t="str">
        <x:v>A025</x:v>
      </x:c>
      <x:c r="B2209" s="30" t="str">
        <x:v>F097</x:v>
      </x:c>
      <x:c r="C2209" s="30" t="str">
        <x:v>platform.equipment_ids</x:v>
      </x:c>
      <x:c r="D2209" s="30" t="str">
        <x:v>候选输入schema</x:v>
      </x:c>
      <x:c r="E2209" s="30" t="str">
        <x:v>按执行角色权限读取；策略只能使用可访问快照</x:v>
      </x:c>
    </x:row>
    <x:row r="2210" ht="32" customHeight="1">
      <x:c r="A2210" s="30" t="str">
        <x:v>A025</x:v>
      </x:c>
      <x:c r="B2210" s="30" t="str">
        <x:v>F098</x:v>
      </x:c>
      <x:c r="C2210" s="30" t="str">
        <x:v>platform.width_m</x:v>
      </x:c>
      <x:c r="D2210" s="30" t="str">
        <x:v>候选输入schema</x:v>
      </x:c>
      <x:c r="E2210" s="30" t="str">
        <x:v>按执行角色权限读取；策略只能使用可访问快照</x:v>
      </x:c>
    </x:row>
    <x:row r="2211" ht="32" customHeight="1">
      <x:c r="A2211" s="30" t="str">
        <x:v>A025</x:v>
      </x:c>
      <x:c r="B2211" s="30" t="str">
        <x:v>F099</x:v>
      </x:c>
      <x:c r="C2211" s="30" t="str">
        <x:v>platform.height_m</x:v>
      </x:c>
      <x:c r="D2211" s="30" t="str">
        <x:v>候选输入schema</x:v>
      </x:c>
      <x:c r="E2211" s="30" t="str">
        <x:v>按执行角色权限读取；策略只能使用可访问快照</x:v>
      </x:c>
    </x:row>
    <x:row r="2212" ht="32" customHeight="1">
      <x:c r="A2212" s="30" t="str">
        <x:v>A025</x:v>
      </x:c>
      <x:c r="B2212" s="30" t="str">
        <x:v>F100</x:v>
      </x:c>
      <x:c r="C2212" s="30" t="str">
        <x:v>platform.swept_radius_m</x:v>
      </x:c>
      <x:c r="D2212" s="30" t="str">
        <x:v>候选输入schema</x:v>
      </x:c>
      <x:c r="E2212" s="30" t="str">
        <x:v>按执行角色权限读取；策略只能使用可访问快照</x:v>
      </x:c>
    </x:row>
    <x:row r="2213" ht="32" customHeight="1">
      <x:c r="A2213" s="30" t="str">
        <x:v>A025</x:v>
      </x:c>
      <x:c r="B2213" s="30" t="str">
        <x:v>F101</x:v>
      </x:c>
      <x:c r="C2213" s="30" t="str">
        <x:v>platform.payload_capacity_kg</x:v>
      </x:c>
      <x:c r="D2213" s="30" t="str">
        <x:v>候选输入schema</x:v>
      </x:c>
      <x:c r="E2213" s="30" t="str">
        <x:v>按执行角色权限读取；策略只能使用可访问快照</x:v>
      </x:c>
    </x:row>
    <x:row r="2214" ht="32" customHeight="1">
      <x:c r="A2214" s="30" t="str">
        <x:v>A025</x:v>
      </x:c>
      <x:c r="B2214" s="30" t="str">
        <x:v>F102</x:v>
      </x:c>
      <x:c r="C2214" s="30" t="str">
        <x:v>platform.payload_used_kg</x:v>
      </x:c>
      <x:c r="D2214" s="30" t="str">
        <x:v>候选输入schema</x:v>
      </x:c>
      <x:c r="E2214" s="30" t="str">
        <x:v>按执行角色权限读取；策略只能使用可访问快照</x:v>
      </x:c>
    </x:row>
    <x:row r="2215" ht="32" customHeight="1">
      <x:c r="A2215" s="30" t="str">
        <x:v>A025</x:v>
      </x:c>
      <x:c r="B2215" s="30" t="str">
        <x:v>F103</x:v>
      </x:c>
      <x:c r="C2215" s="30" t="str">
        <x:v>platform.payload_item_ids</x:v>
      </x:c>
      <x:c r="D2215" s="30" t="str">
        <x:v>候选输入schema</x:v>
      </x:c>
      <x:c r="E2215" s="30" t="str">
        <x:v>按执行角色权限读取；策略只能使用可访问快照</x:v>
      </x:c>
    </x:row>
    <x:row r="2216" ht="32" customHeight="1">
      <x:c r="A2216" s="30" t="str">
        <x:v>A025</x:v>
      </x:c>
      <x:c r="B2216" s="30" t="str">
        <x:v>F104</x:v>
      </x:c>
      <x:c r="C2216" s="30" t="str">
        <x:v>platform.battery_capacity_Wh</x:v>
      </x:c>
      <x:c r="D2216" s="30" t="str">
        <x:v>候选输入schema</x:v>
      </x:c>
      <x:c r="E2216" s="30" t="str">
        <x:v>按执行角色权限读取；策略只能使用可访问快照</x:v>
      </x:c>
    </x:row>
    <x:row r="2217" ht="32" customHeight="1">
      <x:c r="A2217" s="30" t="str">
        <x:v>A025</x:v>
      </x:c>
      <x:c r="B2217" s="30" t="str">
        <x:v>F105</x:v>
      </x:c>
      <x:c r="C2217" s="30" t="str">
        <x:v>platform.battery_remaining_Wh</x:v>
      </x:c>
      <x:c r="D2217" s="30" t="str">
        <x:v>候选输入schema</x:v>
      </x:c>
      <x:c r="E2217" s="30" t="str">
        <x:v>按执行角色权限读取；策略只能使用可访问快照</x:v>
      </x:c>
    </x:row>
    <x:row r="2218" ht="32" customHeight="1">
      <x:c r="A2218" s="30" t="str">
        <x:v>A025</x:v>
      </x:c>
      <x:c r="B2218" s="30" t="str">
        <x:v>F106</x:v>
      </x:c>
      <x:c r="C2218" s="30" t="str">
        <x:v>platform.reserve_Wh</x:v>
      </x:c>
      <x:c r="D2218" s="30" t="str">
        <x:v>候选输入schema</x:v>
      </x:c>
      <x:c r="E2218" s="30" t="str">
        <x:v>按执行角色权限读取；策略只能使用可访问快照</x:v>
      </x:c>
    </x:row>
    <x:row r="2219" ht="32" customHeight="1">
      <x:c r="A2219" s="30" t="str">
        <x:v>A025</x:v>
      </x:c>
      <x:c r="B2219" s="30" t="str">
        <x:v>F107</x:v>
      </x:c>
      <x:c r="C2219" s="30" t="str">
        <x:v>platform.speed_limit_mps</x:v>
      </x:c>
      <x:c r="D2219" s="30" t="str">
        <x:v>候选输入schema</x:v>
      </x:c>
      <x:c r="E2219" s="30" t="str">
        <x:v>按执行角色权限读取；策略只能使用可访问快照</x:v>
      </x:c>
    </x:row>
    <x:row r="2220" ht="32" customHeight="1">
      <x:c r="A2220" s="30" t="str">
        <x:v>A025</x:v>
      </x:c>
      <x:c r="B2220" s="30" t="str">
        <x:v>F108</x:v>
      </x:c>
      <x:c r="C2220" s="30" t="str">
        <x:v>platform.energy_model</x:v>
      </x:c>
      <x:c r="D2220" s="30" t="str">
        <x:v>候选输入schema</x:v>
      </x:c>
      <x:c r="E2220" s="30" t="str">
        <x:v>按执行角色权限读取；策略只能使用可访问快照</x:v>
      </x:c>
    </x:row>
    <x:row r="2221" ht="32" customHeight="1">
      <x:c r="A2221" s="30" t="str">
        <x:v>A025</x:v>
      </x:c>
      <x:c r="B2221" s="30" t="str">
        <x:v>F109</x:v>
      </x:c>
      <x:c r="C2221" s="30" t="str">
        <x:v>platform.motion_state</x:v>
      </x:c>
      <x:c r="D2221" s="30" t="str">
        <x:v>候选输入schema</x:v>
      </x:c>
      <x:c r="E2221" s="30" t="str">
        <x:v>按执行角色权限读取；策略只能使用可访问快照</x:v>
      </x:c>
    </x:row>
    <x:row r="2222" ht="32" customHeight="1">
      <x:c r="A2222" s="30" t="str">
        <x:v>A025</x:v>
      </x:c>
      <x:c r="B2222" s="30" t="str">
        <x:v>F110</x:v>
      </x:c>
      <x:c r="C2222" s="30" t="str">
        <x:v>platform.health_state</x:v>
      </x:c>
      <x:c r="D2222" s="30" t="str">
        <x:v>候选输入schema</x:v>
      </x:c>
      <x:c r="E2222" s="30" t="str">
        <x:v>按执行角色权限读取；策略只能使用可访问快照</x:v>
      </x:c>
    </x:row>
    <x:row r="2223" ht="32" customHeight="1">
      <x:c r="A2223" s="30" t="str">
        <x:v>A025</x:v>
      </x:c>
      <x:c r="B2223" s="30" t="str">
        <x:v>F111</x:v>
      </x:c>
      <x:c r="C2223" s="30" t="str">
        <x:v>platform.current_action_id</x:v>
      </x:c>
      <x:c r="D2223" s="30" t="str">
        <x:v>候选输入schema</x:v>
      </x:c>
      <x:c r="E2223" s="30" t="str">
        <x:v>按执行角色权限读取；策略只能使用可访问快照</x:v>
      </x:c>
    </x:row>
    <x:row r="2224" ht="32" customHeight="1">
      <x:c r="A2224" s="30" t="str">
        <x:v>A025</x:v>
      </x:c>
      <x:c r="B2224" s="30" t="str">
        <x:v>F112</x:v>
      </x:c>
      <x:c r="C2224" s="30" t="str">
        <x:v>platform.busy_until_est_s</x:v>
      </x:c>
      <x:c r="D2224" s="30" t="str">
        <x:v>候选输入schema</x:v>
      </x:c>
      <x:c r="E2224" s="30" t="str">
        <x:v>按执行角色权限读取；策略只能使用可访问快照</x:v>
      </x:c>
    </x:row>
    <x:row r="2225" ht="32" customHeight="1">
      <x:c r="A2225" s="30" t="str">
        <x:v>A025</x:v>
      </x:c>
      <x:c r="B2225" s="30" t="str">
        <x:v>F113</x:v>
      </x:c>
      <x:c r="C2225" s="30" t="str">
        <x:v>platform.return_site_id</x:v>
      </x:c>
      <x:c r="D2225" s="30" t="str">
        <x:v>候选输入schema</x:v>
      </x:c>
      <x:c r="E2225" s="30" t="str">
        <x:v>按执行角色权限读取；策略只能使用可访问快照</x:v>
      </x:c>
    </x:row>
    <x:row r="2226" ht="32" customHeight="1">
      <x:c r="A2226" s="30" t="str">
        <x:v>A025</x:v>
      </x:c>
      <x:c r="B2226" s="30" t="str">
        <x:v>F114</x:v>
      </x:c>
      <x:c r="C2226" s="30" t="str">
        <x:v>platform.water_tolerance_m</x:v>
      </x:c>
      <x:c r="D2226" s="30" t="str">
        <x:v>候选输入schema</x:v>
      </x:c>
      <x:c r="E2226" s="30" t="str">
        <x:v>按执行角色权限读取；策略只能使用可访问快照</x:v>
      </x:c>
    </x:row>
    <x:row r="2227" ht="32" customHeight="1">
      <x:c r="A2227" s="30" t="str">
        <x:v>A025</x:v>
      </x:c>
      <x:c r="B2227" s="30" t="str">
        <x:v>F115</x:v>
      </x:c>
      <x:c r="C2227" s="30" t="str">
        <x:v>platform.concurrency_policy</x:v>
      </x:c>
      <x:c r="D2227" s="30" t="str">
        <x:v>候选输入schema</x:v>
      </x:c>
      <x:c r="E2227" s="30" t="str">
        <x:v>按执行角色权限读取；策略只能使用可访问快照</x:v>
      </x:c>
    </x:row>
    <x:row r="2228" ht="32" customHeight="1">
      <x:c r="A2228" s="30" t="str">
        <x:v>A025</x:v>
      </x:c>
      <x:c r="B2228" s="30" t="str">
        <x:v>F116</x:v>
      </x:c>
      <x:c r="C2228" s="30" t="str">
        <x:v>equipment.kind</x:v>
      </x:c>
      <x:c r="D2228" s="30" t="str">
        <x:v>候选输入schema</x:v>
      </x:c>
      <x:c r="E2228" s="30" t="str">
        <x:v>按执行角色权限读取；策略只能使用可访问快照</x:v>
      </x:c>
    </x:row>
    <x:row r="2229" ht="32" customHeight="1">
      <x:c r="A2229" s="30" t="str">
        <x:v>A025</x:v>
      </x:c>
      <x:c r="B2229" s="30" t="str">
        <x:v>F117</x:v>
      </x:c>
      <x:c r="C2229" s="30" t="str">
        <x:v>equipment.enabled</x:v>
      </x:c>
      <x:c r="D2229" s="30" t="str">
        <x:v>候选输入schema</x:v>
      </x:c>
      <x:c r="E2229" s="30" t="str">
        <x:v>按执行角色权限读取；策略只能使用可访问快照</x:v>
      </x:c>
    </x:row>
    <x:row r="2230" ht="32" customHeight="1">
      <x:c r="A2230" s="30" t="str">
        <x:v>A025</x:v>
      </x:c>
      <x:c r="B2230" s="30" t="str">
        <x:v>F118</x:v>
      </x:c>
      <x:c r="C2230" s="30" t="str">
        <x:v>equipment.health</x:v>
      </x:c>
      <x:c r="D2230" s="30" t="str">
        <x:v>候选输入schema</x:v>
      </x:c>
      <x:c r="E2230" s="30" t="str">
        <x:v>按执行角色权限读取；策略只能使用可访问快照</x:v>
      </x:c>
    </x:row>
    <x:row r="2231" ht="32" customHeight="1">
      <x:c r="A2231" s="30" t="str">
        <x:v>A025</x:v>
      </x:c>
      <x:c r="B2231" s="30" t="str">
        <x:v>F119</x:v>
      </x:c>
      <x:c r="C2231" s="30" t="str">
        <x:v>equipment.rated_load_kg</x:v>
      </x:c>
      <x:c r="D2231" s="30" t="str">
        <x:v>候选输入schema</x:v>
      </x:c>
      <x:c r="E2231" s="30" t="str">
        <x:v>按执行角色权限读取；策略只能使用可访问快照</x:v>
      </x:c>
    </x:row>
    <x:row r="2232" ht="32" customHeight="1">
      <x:c r="A2232" s="30" t="str">
        <x:v>A025</x:v>
      </x:c>
      <x:c r="B2232" s="30" t="str">
        <x:v>F120</x:v>
      </x:c>
      <x:c r="C2232" s="30" t="str">
        <x:v>equipment.reach_m</x:v>
      </x:c>
      <x:c r="D2232" s="30" t="str">
        <x:v>候选输入schema</x:v>
      </x:c>
      <x:c r="E2232" s="30" t="str">
        <x:v>按执行角色权限读取；策略只能使用可访问快照</x:v>
      </x:c>
    </x:row>
    <x:row r="2233" ht="32" customHeight="1">
      <x:c r="A2233" s="30" t="str">
        <x:v>A025</x:v>
      </x:c>
      <x:c r="B2233" s="30" t="str">
        <x:v>F121</x:v>
      </x:c>
      <x:c r="C2233" s="30" t="str">
        <x:v>equipment.compatible_materials</x:v>
      </x:c>
      <x:c r="D2233" s="30" t="str">
        <x:v>候选输入schema</x:v>
      </x:c>
      <x:c r="E2233" s="30" t="str">
        <x:v>按执行角色权限读取；策略只能使用可访问快照</x:v>
      </x:c>
    </x:row>
    <x:row r="2234" ht="32" customHeight="1">
      <x:c r="A2234" s="30" t="str">
        <x:v>A025</x:v>
      </x:c>
      <x:c r="B2234" s="30" t="str">
        <x:v>F122</x:v>
      </x:c>
      <x:c r="C2234" s="30" t="str">
        <x:v>equipment.tool_size</x:v>
      </x:c>
      <x:c r="D2234" s="30" t="str">
        <x:v>候选输入schema</x:v>
      </x:c>
      <x:c r="E2234" s="30" t="str">
        <x:v>按执行角色权限读取；策略只能使用可访问快照</x:v>
      </x:c>
    </x:row>
    <x:row r="2235" ht="32" customHeight="1">
      <x:c r="A2235" s="30" t="str">
        <x:v>A025</x:v>
      </x:c>
      <x:c r="B2235" s="30" t="str">
        <x:v>F123</x:v>
      </x:c>
      <x:c r="C2235" s="30" t="str">
        <x:v>equipment.consumable_type</x:v>
      </x:c>
      <x:c r="D2235" s="30" t="str">
        <x:v>候选输入schema</x:v>
      </x:c>
      <x:c r="E2235" s="30" t="str">
        <x:v>按执行角色权限读取；策略只能使用可访问快照</x:v>
      </x:c>
    </x:row>
    <x:row r="2236" ht="32" customHeight="1">
      <x:c r="A2236" s="30" t="str">
        <x:v>A025</x:v>
      </x:c>
      <x:c r="B2236" s="30" t="str">
        <x:v>F124</x:v>
      </x:c>
      <x:c r="C2236" s="30" t="str">
        <x:v>equipment.consumable_remaining</x:v>
      </x:c>
      <x:c r="D2236" s="30" t="str">
        <x:v>候选输入schema</x:v>
      </x:c>
      <x:c r="E2236" s="30" t="str">
        <x:v>按执行角色权限读取；策略只能使用可访问快照</x:v>
      </x:c>
    </x:row>
    <x:row r="2237" ht="32" customHeight="1">
      <x:c r="A2237" s="30" t="str">
        <x:v>A025</x:v>
      </x:c>
      <x:c r="B2237" s="30" t="str">
        <x:v>F125</x:v>
      </x:c>
      <x:c r="C2237" s="30" t="str">
        <x:v>equipment.operator_authority</x:v>
      </x:c>
      <x:c r="D2237" s="30" t="str">
        <x:v>候选输入schema</x:v>
      </x:c>
      <x:c r="E2237" s="30" t="str">
        <x:v>按执行角色权限读取；策略只能使用可访问快照</x:v>
      </x:c>
    </x:row>
    <x:row r="2238" ht="32" customHeight="1">
      <x:c r="A2238" s="30" t="str">
        <x:v>A025</x:v>
      </x:c>
      <x:c r="B2238" s="30" t="str">
        <x:v>F126</x:v>
      </x:c>
      <x:c r="C2238" s="30" t="str">
        <x:v>equipment.setup_state</x:v>
      </x:c>
      <x:c r="D2238" s="30" t="str">
        <x:v>候选输入schema</x:v>
      </x:c>
      <x:c r="E2238" s="30" t="str">
        <x:v>按执行角色权限读取；策略只能使用可访问快照</x:v>
      </x:c>
    </x:row>
    <x:row r="2239" ht="32" customHeight="1">
      <x:c r="A2239" s="30" t="str">
        <x:v>A025</x:v>
      </x:c>
      <x:c r="B2239" s="30" t="str">
        <x:v>F127</x:v>
      </x:c>
      <x:c r="C2239" s="30" t="str">
        <x:v>equipment.busy_action_id</x:v>
      </x:c>
      <x:c r="D2239" s="30" t="str">
        <x:v>候选输入schema</x:v>
      </x:c>
      <x:c r="E2239" s="30" t="str">
        <x:v>按执行角色权限读取；策略只能使用可访问快照</x:v>
      </x:c>
    </x:row>
    <x:row r="2240" ht="32" customHeight="1">
      <x:c r="A2240" s="30" t="str">
        <x:v>A025</x:v>
      </x:c>
      <x:c r="B2240" s="30" t="str">
        <x:v>F128</x:v>
      </x:c>
      <x:c r="C2240" s="30" t="str">
        <x:v>item.kind</x:v>
      </x:c>
      <x:c r="D2240" s="30" t="str">
        <x:v>候选输入schema</x:v>
      </x:c>
      <x:c r="E2240" s="30" t="str">
        <x:v>按执行角色权限读取；策略只能使用可访问快照</x:v>
      </x:c>
    </x:row>
    <x:row r="2241" ht="32" customHeight="1">
      <x:c r="A2241" s="30" t="str">
        <x:v>A025</x:v>
      </x:c>
      <x:c r="B2241" s="30" t="str">
        <x:v>F129</x:v>
      </x:c>
      <x:c r="C2241" s="30" t="str">
        <x:v>item.mass_kg</x:v>
      </x:c>
      <x:c r="D2241" s="30" t="str">
        <x:v>候选输入schema</x:v>
      </x:c>
      <x:c r="E2241" s="30" t="str">
        <x:v>按执行角色权限读取；策略只能使用可访问快照</x:v>
      </x:c>
    </x:row>
    <x:row r="2242" ht="32" customHeight="1">
      <x:c r="A2242" s="30" t="str">
        <x:v>A025</x:v>
      </x:c>
      <x:c r="B2242" s="30" t="str">
        <x:v>F130</x:v>
      </x:c>
      <x:c r="C2242" s="30" t="str">
        <x:v>item.dimensions_m</x:v>
      </x:c>
      <x:c r="D2242" s="30" t="str">
        <x:v>候选输入schema</x:v>
      </x:c>
      <x:c r="E2242" s="30" t="str">
        <x:v>按执行角色权限读取；策略只能使用可访问快照</x:v>
      </x:c>
    </x:row>
    <x:row r="2243" ht="32" customHeight="1">
      <x:c r="A2243" s="30" t="str">
        <x:v>A025</x:v>
      </x:c>
      <x:c r="B2243" s="30" t="str">
        <x:v>F131</x:v>
      </x:c>
      <x:c r="C2243" s="30" t="str">
        <x:v>item.quantity</x:v>
      </x:c>
      <x:c r="D2243" s="30" t="str">
        <x:v>候选输入schema</x:v>
      </x:c>
      <x:c r="E2243" s="30" t="str">
        <x:v>按执行角色权限读取；策略只能使用可访问快照</x:v>
      </x:c>
    </x:row>
    <x:row r="2244" ht="32" customHeight="1">
      <x:c r="A2244" s="30" t="str">
        <x:v>A025</x:v>
      </x:c>
      <x:c r="B2244" s="30" t="str">
        <x:v>F132</x:v>
      </x:c>
      <x:c r="C2244" s="30" t="str">
        <x:v>item.holder_id</x:v>
      </x:c>
      <x:c r="D2244" s="30" t="str">
        <x:v>候选输入schema</x:v>
      </x:c>
      <x:c r="E2244" s="30" t="str">
        <x:v>按执行角色权限读取；策略只能使用可访问快照</x:v>
      </x:c>
    </x:row>
    <x:row r="2245" ht="32" customHeight="1">
      <x:c r="A2245" s="30" t="str">
        <x:v>A025</x:v>
      </x:c>
      <x:c r="B2245" s="30" t="str">
        <x:v>F133</x:v>
      </x:c>
      <x:c r="C2245" s="30" t="str">
        <x:v>item.state</x:v>
      </x:c>
      <x:c r="D2245" s="30" t="str">
        <x:v>候选输入schema</x:v>
      </x:c>
      <x:c r="E2245" s="30" t="str">
        <x:v>按执行角色权限读取；策略只能使用可访问快照</x:v>
      </x:c>
    </x:row>
    <x:row r="2246" ht="32" customHeight="1">
      <x:c r="A2246" s="30" t="str">
        <x:v>A025</x:v>
      </x:c>
      <x:c r="B2246" s="30" t="str">
        <x:v>F134</x:v>
      </x:c>
      <x:c r="C2246" s="30" t="str">
        <x:v>item.attachment_id</x:v>
      </x:c>
      <x:c r="D2246" s="30" t="str">
        <x:v>候选输入schema</x:v>
      </x:c>
      <x:c r="E2246" s="30" t="str">
        <x:v>按执行角色权限读取；策略只能使用可访问快照</x:v>
      </x:c>
    </x:row>
    <x:row r="2247" ht="32" customHeight="1">
      <x:c r="A2247" s="30" t="str">
        <x:v>A025</x:v>
      </x:c>
      <x:c r="B2247" s="30" t="str">
        <x:v>F135</x:v>
      </x:c>
      <x:c r="C2247" s="30" t="str">
        <x:v>item.reservation_task_id</x:v>
      </x:c>
      <x:c r="D2247" s="30" t="str">
        <x:v>候选输入schema</x:v>
      </x:c>
      <x:c r="E2247" s="30" t="str">
        <x:v>按执行角色权限读取；策略只能使用可访问快照</x:v>
      </x:c>
    </x:row>
    <x:row r="2248" ht="32" customHeight="1">
      <x:c r="A2248" s="30" t="str">
        <x:v>A025</x:v>
      </x:c>
      <x:c r="B2248" s="30" t="str">
        <x:v>F136</x:v>
      </x:c>
      <x:c r="C2248" s="30" t="str">
        <x:v>item.release_state</x:v>
      </x:c>
      <x:c r="D2248" s="30" t="str">
        <x:v>候选输入schema</x:v>
      </x:c>
      <x:c r="E2248" s="30" t="str">
        <x:v>按执行角色权限读取；策略只能使用可访问快照</x:v>
      </x:c>
    </x:row>
    <x:row r="2249" ht="32" customHeight="1">
      <x:c r="A2249" s="30" t="str">
        <x:v>A025</x:v>
      </x:c>
      <x:c r="B2249" s="30" t="str">
        <x:v>F137</x:v>
      </x:c>
      <x:c r="C2249" s="30" t="str">
        <x:v>item.contact_pose</x:v>
      </x:c>
      <x:c r="D2249" s="30" t="str">
        <x:v>候选输入schema</x:v>
      </x:c>
      <x:c r="E2249" s="30" t="str">
        <x:v>按执行角色权限读取；策略只能使用可访问快照</x:v>
      </x:c>
    </x:row>
    <x:row r="2250" ht="32" customHeight="1">
      <x:c r="A2250" s="30" t="str">
        <x:v>A025</x:v>
      </x:c>
      <x:c r="B2250" s="30" t="str">
        <x:v>F138</x:v>
      </x:c>
      <x:c r="C2250" s="30" t="str">
        <x:v>item.receiver_id</x:v>
      </x:c>
      <x:c r="D2250" s="30" t="str">
        <x:v>候选输入schema</x:v>
      </x:c>
      <x:c r="E2250" s="30" t="str">
        <x:v>按执行角色权限读取；策略只能使用可访问快照</x:v>
      </x:c>
    </x:row>
    <x:row r="2251" ht="32" customHeight="1">
      <x:c r="A2251" s="30" t="str">
        <x:v>A025</x:v>
      </x:c>
      <x:c r="B2251" s="30" t="str">
        <x:v>F139</x:v>
      </x:c>
      <x:c r="C2251" s="30" t="str">
        <x:v>item.receipt_id</x:v>
      </x:c>
      <x:c r="D2251" s="30" t="str">
        <x:v>候选输入schema</x:v>
      </x:c>
      <x:c r="E2251" s="30" t="str">
        <x:v>按执行角色权限读取；策略只能使用可访问快照</x:v>
      </x:c>
    </x:row>
    <x:row r="2252" ht="32" customHeight="1">
      <x:c r="A2252" s="30" t="str">
        <x:v>A025</x:v>
      </x:c>
      <x:c r="B2252" s="30" t="str">
        <x:v>F140</x:v>
      </x:c>
      <x:c r="C2252" s="30" t="str">
        <x:v>item.condition</x:v>
      </x:c>
      <x:c r="D2252" s="30" t="str">
        <x:v>候选输入schema</x:v>
      </x:c>
      <x:c r="E2252" s="30" t="str">
        <x:v>按执行角色权限读取；策略只能使用可访问快照</x:v>
      </x:c>
    </x:row>
    <x:row r="2253" ht="32" customHeight="1">
      <x:c r="A2253" s="30" t="str">
        <x:v>A025</x:v>
      </x:c>
      <x:c r="B2253" s="30" t="str">
        <x:v>F230</x:v>
      </x:c>
      <x:c r="C2253" s="30" t="str">
        <x:v>action.type</x:v>
      </x:c>
      <x:c r="D2253" s="30" t="str">
        <x:v>候选输入schema</x:v>
      </x:c>
      <x:c r="E2253" s="30" t="str">
        <x:v>按执行角色权限读取；策略只能使用可访问快照</x:v>
      </x:c>
    </x:row>
    <x:row r="2254" ht="32" customHeight="1">
      <x:c r="A2254" s="30" t="str">
        <x:v>A025</x:v>
      </x:c>
      <x:c r="B2254" s="30" t="str">
        <x:v>F231</x:v>
      </x:c>
      <x:c r="C2254" s="30" t="str">
        <x:v>action.executor_id</x:v>
      </x:c>
      <x:c r="D2254" s="30" t="str">
        <x:v>候选输入schema</x:v>
      </x:c>
      <x:c r="E2254" s="30" t="str">
        <x:v>按执行角色权限读取；策略只能使用可访问快照</x:v>
      </x:c>
    </x:row>
    <x:row r="2255" ht="32" customHeight="1">
      <x:c r="A2255" s="30" t="str">
        <x:v>A025</x:v>
      </x:c>
      <x:c r="B2255" s="30" t="str">
        <x:v>F232</x:v>
      </x:c>
      <x:c r="C2255" s="30" t="str">
        <x:v>action.task_ref</x:v>
      </x:c>
      <x:c r="D2255" s="30" t="str">
        <x:v>候选输入schema</x:v>
      </x:c>
      <x:c r="E2255" s="30" t="str">
        <x:v>按执行角色权限读取；策略只能使用可访问快照</x:v>
      </x:c>
    </x:row>
    <x:row r="2256" ht="32" customHeight="1">
      <x:c r="A2256" s="30" t="str">
        <x:v>A025</x:v>
      </x:c>
      <x:c r="B2256" s="30" t="str">
        <x:v>F233</x:v>
      </x:c>
      <x:c r="C2256" s="30" t="str">
        <x:v>action.target_ref</x:v>
      </x:c>
      <x:c r="D2256" s="30" t="str">
        <x:v>候选输入schema</x:v>
      </x:c>
      <x:c r="E2256" s="30" t="str">
        <x:v>按执行角色权限读取；策略只能使用可访问快照</x:v>
      </x:c>
    </x:row>
    <x:row r="2257" ht="32" customHeight="1">
      <x:c r="A2257" s="30" t="str">
        <x:v>A025</x:v>
      </x:c>
      <x:c r="B2257" s="30" t="str">
        <x:v>F234</x:v>
      </x:c>
      <x:c r="C2257" s="30" t="str">
        <x:v>action.parameters</x:v>
      </x:c>
      <x:c r="D2257" s="30" t="str">
        <x:v>候选输入schema</x:v>
      </x:c>
      <x:c r="E2257" s="30" t="str">
        <x:v>按执行角色权限读取；策略只能使用可访问快照</x:v>
      </x:c>
    </x:row>
    <x:row r="2258" ht="32" customHeight="1">
      <x:c r="A2258" s="30" t="str">
        <x:v>A025</x:v>
      </x:c>
      <x:c r="B2258" s="30" t="str">
        <x:v>F235</x:v>
      </x:c>
      <x:c r="C2258" s="30" t="str">
        <x:v>action.status</x:v>
      </x:c>
      <x:c r="D2258" s="30" t="str">
        <x:v>候选输入schema</x:v>
      </x:c>
      <x:c r="E2258" s="30" t="str">
        <x:v>按执行角色权限读取；策略只能使用可访问快照</x:v>
      </x:c>
    </x:row>
    <x:row r="2259" ht="32" customHeight="1">
      <x:c r="A2259" s="30" t="str">
        <x:v>A025</x:v>
      </x:c>
      <x:c r="B2259" s="30" t="str">
        <x:v>F236</x:v>
      </x:c>
      <x:c r="C2259" s="30" t="str">
        <x:v>action.start_s</x:v>
      </x:c>
      <x:c r="D2259" s="30" t="str">
        <x:v>候选输入schema</x:v>
      </x:c>
      <x:c r="E2259" s="30" t="str">
        <x:v>按执行角色权限读取；策略只能使用可访问快照</x:v>
      </x:c>
    </x:row>
    <x:row r="2260" ht="32" customHeight="1">
      <x:c r="A2260" s="30" t="str">
        <x:v>A025</x:v>
      </x:c>
      <x:c r="B2260" s="30" t="str">
        <x:v>F237</x:v>
      </x:c>
      <x:c r="C2260" s="30" t="str">
        <x:v>action.finish_s</x:v>
      </x:c>
      <x:c r="D2260" s="30" t="str">
        <x:v>候选输入schema</x:v>
      </x:c>
      <x:c r="E2260" s="30" t="str">
        <x:v>按执行角色权限读取；策略只能使用可访问快照</x:v>
      </x:c>
    </x:row>
    <x:row r="2261" ht="32" customHeight="1">
      <x:c r="A2261" s="30" t="str">
        <x:v>A025</x:v>
      </x:c>
      <x:c r="B2261" s="30" t="str">
        <x:v>F238</x:v>
      </x:c>
      <x:c r="C2261" s="30" t="str">
        <x:v>action.reserved_resources</x:v>
      </x:c>
      <x:c r="D2261" s="30" t="str">
        <x:v>候选输入schema</x:v>
      </x:c>
      <x:c r="E2261" s="30" t="str">
        <x:v>按执行角色权限读取；策略只能使用可访问快照</x:v>
      </x:c>
    </x:row>
    <x:row r="2262" ht="32" customHeight="1">
      <x:c r="A2262" s="30" t="str">
        <x:v>A025</x:v>
      </x:c>
      <x:c r="B2262" s="30" t="str">
        <x:v>F239</x:v>
      </x:c>
      <x:c r="C2262" s="30" t="str">
        <x:v>action.consumed_resources</x:v>
      </x:c>
      <x:c r="D2262" s="30" t="str">
        <x:v>候选输入schema</x:v>
      </x:c>
      <x:c r="E2262" s="30" t="str">
        <x:v>按执行角色权限读取；策略只能使用可访问快照</x:v>
      </x:c>
    </x:row>
    <x:row r="2263" ht="32" customHeight="1">
      <x:c r="A2263" s="30" t="str">
        <x:v>A025</x:v>
      </x:c>
      <x:c r="B2263" s="30" t="str">
        <x:v>F240</x:v>
      </x:c>
      <x:c r="C2263" s="30" t="str">
        <x:v>action.feedback</x:v>
      </x:c>
      <x:c r="D2263" s="30" t="str">
        <x:v>候选输入schema</x:v>
      </x:c>
      <x:c r="E2263" s="30" t="str">
        <x:v>按执行角色权限读取；策略只能使用可访问快照</x:v>
      </x:c>
    </x:row>
    <x:row r="2264" ht="32" customHeight="1">
      <x:c r="A2264" s="30" t="str">
        <x:v>A025</x:v>
      </x:c>
      <x:c r="B2264" s="30" t="str">
        <x:v>F241</x:v>
      </x:c>
      <x:c r="C2264" s="30" t="str">
        <x:v>action.result</x:v>
      </x:c>
      <x:c r="D2264" s="30" t="str">
        <x:v>候选输入schema</x:v>
      </x:c>
      <x:c r="E2264" s="30" t="str">
        <x:v>按执行角色权限读取；策略只能使用可访问快照</x:v>
      </x:c>
    </x:row>
    <x:row r="2265" ht="32" customHeight="1">
      <x:c r="A2265" s="30" t="str">
        <x:v>A025</x:v>
      </x:c>
      <x:c r="B2265" s="30" t="str">
        <x:v>F242</x:v>
      </x:c>
      <x:c r="C2265" s="30" t="str">
        <x:v>action.rejection_code</x:v>
      </x:c>
      <x:c r="D2265" s="30" t="str">
        <x:v>候选输入schema</x:v>
      </x:c>
      <x:c r="E2265" s="30" t="str">
        <x:v>按执行角色权限读取；策略只能使用可访问快照</x:v>
      </x:c>
    </x:row>
    <x:row r="2266" ht="32" customHeight="1">
      <x:c r="A2266" s="30" t="str">
        <x:v>A025</x:v>
      </x:c>
      <x:c r="B2266" s="30" t="str">
        <x:v>F243</x:v>
      </x:c>
      <x:c r="C2266" s="30" t="str">
        <x:v>action.failure_code</x:v>
      </x:c>
      <x:c r="D2266" s="30" t="str">
        <x:v>候选输入schema</x:v>
      </x:c>
      <x:c r="E2266" s="30" t="str">
        <x:v>按执行角色权限读取；策略只能使用可访问快照</x:v>
      </x:c>
    </x:row>
    <x:row r="2267" ht="32" customHeight="1">
      <x:c r="A2267" s="30" t="str">
        <x:v>A025</x:v>
      </x:c>
      <x:c r="B2267" s="30" t="str">
        <x:v>F244</x:v>
      </x:c>
      <x:c r="C2267" s="30" t="str">
        <x:v>action.cancel_requested</x:v>
      </x:c>
      <x:c r="D2267" s="30" t="str">
        <x:v>候选输入schema</x:v>
      </x:c>
      <x:c r="E2267" s="30" t="str">
        <x:v>按执行角色权限读取；策略只能使用可访问快照</x:v>
      </x:c>
    </x:row>
    <x:row r="2268" ht="32" customHeight="1">
      <x:c r="A2268" s="30" t="str">
        <x:v>A025</x:v>
      </x:c>
      <x:c r="B2268" s="30" t="str">
        <x:v>F245</x:v>
      </x:c>
      <x:c r="C2268" s="30" t="str">
        <x:v>action.backend_mode</x:v>
      </x:c>
      <x:c r="D2268" s="30" t="str">
        <x:v>候选输入schema</x:v>
      </x:c>
      <x:c r="E2268" s="30" t="str">
        <x:v>按执行角色权限读取；策略只能使用可访问快照</x:v>
      </x:c>
    </x:row>
    <x:row r="2269" ht="32" customHeight="1">
      <x:c r="A2269" s="30" t="str">
        <x:v>A025</x:v>
      </x:c>
      <x:c r="B2269" s="30" t="str">
        <x:v>F136</x:v>
      </x:c>
      <x:c r="C2269" s="30" t="str">
        <x:v>item.release_state</x:v>
      </x:c>
      <x:c r="D2269" s="30" t="str">
        <x:v>直接效果</x:v>
      </x:c>
      <x:c r="E2269" s="30" t="str">
        <x:v>经实际执行/回执提交；不是规划时提前修改</x:v>
      </x:c>
    </x:row>
    <x:row r="2270" ht="32" customHeight="1">
      <x:c r="A2270" s="30" t="str">
        <x:v>A025</x:v>
      </x:c>
      <x:c r="B2270" s="30" t="str">
        <x:v>F133</x:v>
      </x:c>
      <x:c r="C2270" s="30" t="str">
        <x:v>item.state</x:v>
      </x:c>
      <x:c r="D2270" s="30" t="str">
        <x:v>直接效果</x:v>
      </x:c>
      <x:c r="E2270" s="30" t="str">
        <x:v>经实际执行/回执提交；不是规划时提前修改</x:v>
      </x:c>
    </x:row>
    <x:row r="2271" ht="32" customHeight="1">
      <x:c r="A2271" s="30" t="str">
        <x:v>A025</x:v>
      </x:c>
      <x:c r="B2271" s="30" t="str">
        <x:v>F137</x:v>
      </x:c>
      <x:c r="C2271" s="30" t="str">
        <x:v>item.contact_pose</x:v>
      </x:c>
      <x:c r="D2271" s="30" t="str">
        <x:v>直接效果</x:v>
      </x:c>
      <x:c r="E2271" s="30" t="str">
        <x:v>经实际执行/回执提交；不是规划时提前修改</x:v>
      </x:c>
    </x:row>
    <x:row r="2272" ht="32" customHeight="1">
      <x:c r="A2272" s="30" t="str">
        <x:v>A025</x:v>
      </x:c>
      <x:c r="B2272" s="30" t="str">
        <x:v>F103</x:v>
      </x:c>
      <x:c r="C2272" s="30" t="str">
        <x:v>platform.payload_item_ids</x:v>
      </x:c>
      <x:c r="D2272" s="30" t="str">
        <x:v>直接效果</x:v>
      </x:c>
      <x:c r="E2272" s="30" t="str">
        <x:v>经实际执行/回执提交；不是规划时提前修改</x:v>
      </x:c>
    </x:row>
    <x:row r="2273" ht="32" customHeight="1">
      <x:c r="A2273" s="30" t="str">
        <x:v>A026</x:v>
      </x:c>
      <x:c r="B2273" s="30" t="str">
        <x:v>F044</x:v>
      </x:c>
      <x:c r="C2273" s="30" t="str">
        <x:v>road.centerline</x:v>
      </x:c>
      <x:c r="D2273" s="30" t="str">
        <x:v>候选输入schema</x:v>
      </x:c>
      <x:c r="E2273" s="30" t="str">
        <x:v>按执行角色权限读取；策略只能使用可访问快照</x:v>
      </x:c>
    </x:row>
    <x:row r="2274" ht="32" customHeight="1">
      <x:c r="A2274" s="30" t="str">
        <x:v>A026</x:v>
      </x:c>
      <x:c r="B2274" s="30" t="str">
        <x:v>F045</x:v>
      </x:c>
      <x:c r="C2274" s="30" t="str">
        <x:v>road.width_m</x:v>
      </x:c>
      <x:c r="D2274" s="30" t="str">
        <x:v>候选输入schema</x:v>
      </x:c>
      <x:c r="E2274" s="30" t="str">
        <x:v>按执行角色权限读取；策略只能使用可访问快照</x:v>
      </x:c>
    </x:row>
    <x:row r="2275" ht="32" customHeight="1">
      <x:c r="A2275" s="30" t="str">
        <x:v>A026</x:v>
      </x:c>
      <x:c r="B2275" s="30" t="str">
        <x:v>F046</x:v>
      </x:c>
      <x:c r="C2275" s="30" t="str">
        <x:v>road.surface</x:v>
      </x:c>
      <x:c r="D2275" s="30" t="str">
        <x:v>候选输入schema</x:v>
      </x:c>
      <x:c r="E2275" s="30" t="str">
        <x:v>按执行角色权限读取；策略只能使用可访问快照</x:v>
      </x:c>
    </x:row>
    <x:row r="2276" ht="32" customHeight="1">
      <x:c r="A2276" s="30" t="str">
        <x:v>A026</x:v>
      </x:c>
      <x:c r="B2276" s="30" t="str">
        <x:v>F047</x:v>
      </x:c>
      <x:c r="C2276" s="30" t="str">
        <x:v>road.from_node</x:v>
      </x:c>
      <x:c r="D2276" s="30" t="str">
        <x:v>候选输入schema</x:v>
      </x:c>
      <x:c r="E2276" s="30" t="str">
        <x:v>按执行角色权限读取；策略只能使用可访问快照</x:v>
      </x:c>
    </x:row>
    <x:row r="2277" ht="32" customHeight="1">
      <x:c r="A2277" s="30" t="str">
        <x:v>A026</x:v>
      </x:c>
      <x:c r="B2277" s="30" t="str">
        <x:v>F048</x:v>
      </x:c>
      <x:c r="C2277" s="30" t="str">
        <x:v>road.to_node</x:v>
      </x:c>
      <x:c r="D2277" s="30" t="str">
        <x:v>候选输入schema</x:v>
      </x:c>
      <x:c r="E2277" s="30" t="str">
        <x:v>按执行角色权限读取；策略只能使用可访问快照</x:v>
      </x:c>
    </x:row>
    <x:row r="2278" ht="32" customHeight="1">
      <x:c r="A2278" s="30" t="str">
        <x:v>A026</x:v>
      </x:c>
      <x:c r="B2278" s="30" t="str">
        <x:v>F049</x:v>
      </x:c>
      <x:c r="C2278" s="30" t="str">
        <x:v>road.obstacle_ids</x:v>
      </x:c>
      <x:c r="D2278" s="30" t="str">
        <x:v>候选输入schema</x:v>
      </x:c>
      <x:c r="E2278" s="30" t="str">
        <x:v>按执行角色权限读取；策略只能使用可访问快照</x:v>
      </x:c>
    </x:row>
    <x:row r="2279" ht="32" customHeight="1">
      <x:c r="A2279" s="30" t="str">
        <x:v>A026</x:v>
      </x:c>
      <x:c r="B2279" s="30" t="str">
        <x:v>F050</x:v>
      </x:c>
      <x:c r="C2279" s="30" t="str">
        <x:v>road.clear_width_m</x:v>
      </x:c>
      <x:c r="D2279" s="30" t="str">
        <x:v>候选输入schema</x:v>
      </x:c>
      <x:c r="E2279" s="30" t="str">
        <x:v>按执行角色权限读取；策略只能使用可访问快照</x:v>
      </x:c>
    </x:row>
    <x:row r="2280" ht="32" customHeight="1">
      <x:c r="A2280" s="30" t="str">
        <x:v>A026</x:v>
      </x:c>
      <x:c r="B2280" s="30" t="str">
        <x:v>F051</x:v>
      </x:c>
      <x:c r="C2280" s="30" t="str">
        <x:v>road.clear_height_m</x:v>
      </x:c>
      <x:c r="D2280" s="30" t="str">
        <x:v>候选输入schema</x:v>
      </x:c>
      <x:c r="E2280" s="30" t="str">
        <x:v>按执行角色权限读取；策略只能使用可访问快照</x:v>
      </x:c>
    </x:row>
    <x:row r="2281" ht="32" customHeight="1">
      <x:c r="A2281" s="30" t="str">
        <x:v>A026</x:v>
      </x:c>
      <x:c r="B2281" s="30" t="str">
        <x:v>F052</x:v>
      </x:c>
      <x:c r="C2281" s="30" t="str">
        <x:v>road.turn_radius_m</x:v>
      </x:c>
      <x:c r="D2281" s="30" t="str">
        <x:v>候选输入schema</x:v>
      </x:c>
      <x:c r="E2281" s="30" t="str">
        <x:v>按执行角色权限读取；策略只能使用可访问快照</x:v>
      </x:c>
    </x:row>
    <x:row r="2282" ht="32" customHeight="1">
      <x:c r="A2282" s="30" t="str">
        <x:v>A026</x:v>
      </x:c>
      <x:c r="B2282" s="30" t="str">
        <x:v>F053</x:v>
      </x:c>
      <x:c r="C2282" s="30" t="str">
        <x:v>road.step_height_m</x:v>
      </x:c>
      <x:c r="D2282" s="30" t="str">
        <x:v>候选输入schema</x:v>
      </x:c>
      <x:c r="E2282" s="30" t="str">
        <x:v>按执行角色权限读取；策略只能使用可访问快照</x:v>
      </x:c>
    </x:row>
    <x:row r="2283" ht="32" customHeight="1">
      <x:c r="A2283" s="30" t="str">
        <x:v>A026</x:v>
      </x:c>
      <x:c r="B2283" s="30" t="str">
        <x:v>F054</x:v>
      </x:c>
      <x:c r="C2283" s="30" t="str">
        <x:v>road.entry_state</x:v>
      </x:c>
      <x:c r="D2283" s="30" t="str">
        <x:v>候选输入schema</x:v>
      </x:c>
      <x:c r="E2283" s="30" t="str">
        <x:v>按执行角色权限读取；策略只能使用可访问快照</x:v>
      </x:c>
    </x:row>
    <x:row r="2284" ht="32" customHeight="1">
      <x:c r="A2284" s="30" t="str">
        <x:v>A026</x:v>
      </x:c>
      <x:c r="B2284" s="30" t="str">
        <x:v>F055</x:v>
      </x:c>
      <x:c r="C2284" s="30" t="str">
        <x:v>road.water_depth_m</x:v>
      </x:c>
      <x:c r="D2284" s="30" t="str">
        <x:v>候选输入schema</x:v>
      </x:c>
      <x:c r="E2284" s="30" t="str">
        <x:v>按执行角色权限读取；策略只能使用可访问快照</x:v>
      </x:c>
    </x:row>
    <x:row r="2285" ht="32" customHeight="1">
      <x:c r="A2285" s="30" t="str">
        <x:v>A026</x:v>
      </x:c>
      <x:c r="B2285" s="30" t="str">
        <x:v>F056</x:v>
      </x:c>
      <x:c r="C2285" s="30" t="str">
        <x:v>road.passability</x:v>
      </x:c>
      <x:c r="D2285" s="30" t="str">
        <x:v>候选输入schema</x:v>
      </x:c>
      <x:c r="E2285" s="30" t="str">
        <x:v>按执行角色权限读取；策略只能使用可访问快照</x:v>
      </x:c>
    </x:row>
    <x:row r="2286" ht="32" customHeight="1">
      <x:c r="A2286" s="30" t="str">
        <x:v>A026</x:v>
      </x:c>
      <x:c r="B2286" s="30" t="str">
        <x:v>F057</x:v>
      </x:c>
      <x:c r="C2286" s="30" t="str">
        <x:v>road.travel_cost</x:v>
      </x:c>
      <x:c r="D2286" s="30" t="str">
        <x:v>候选输入schema</x:v>
      </x:c>
      <x:c r="E2286" s="30" t="str">
        <x:v>按执行角色权限读取；策略只能使用可访问快照</x:v>
      </x:c>
    </x:row>
    <x:row r="2287" ht="32" customHeight="1">
      <x:c r="A2287" s="30" t="str">
        <x:v>A026</x:v>
      </x:c>
      <x:c r="B2287" s="30" t="str">
        <x:v>F058</x:v>
      </x:c>
      <x:c r="C2287" s="30" t="str">
        <x:v>road.topology_revision</x:v>
      </x:c>
      <x:c r="D2287" s="30" t="str">
        <x:v>候选输入schema</x:v>
      </x:c>
      <x:c r="E2287" s="30" t="str">
        <x:v>按执行角色权限读取；策略只能使用可访问快照</x:v>
      </x:c>
    </x:row>
    <x:row r="2288" ht="32" customHeight="1">
      <x:c r="A2288" s="30" t="str">
        <x:v>A026</x:v>
      </x:c>
      <x:c r="B2288" s="30" t="str">
        <x:v>F095</x:v>
      </x:c>
      <x:c r="C2288" s="30" t="str">
        <x:v>platform.kind</x:v>
      </x:c>
      <x:c r="D2288" s="30" t="str">
        <x:v>候选输入schema</x:v>
      </x:c>
      <x:c r="E2288" s="30" t="str">
        <x:v>按执行角色权限读取；策略只能使用可访问快照</x:v>
      </x:c>
    </x:row>
    <x:row r="2289" ht="32" customHeight="1">
      <x:c r="A2289" s="30" t="str">
        <x:v>A026</x:v>
      </x:c>
      <x:c r="B2289" s="30" t="str">
        <x:v>F096</x:v>
      </x:c>
      <x:c r="C2289" s="30" t="str">
        <x:v>platform.capability_ids</x:v>
      </x:c>
      <x:c r="D2289" s="30" t="str">
        <x:v>候选输入schema</x:v>
      </x:c>
      <x:c r="E2289" s="30" t="str">
        <x:v>按执行角色权限读取；策略只能使用可访问快照</x:v>
      </x:c>
    </x:row>
    <x:row r="2290" ht="32" customHeight="1">
      <x:c r="A2290" s="30" t="str">
        <x:v>A026</x:v>
      </x:c>
      <x:c r="B2290" s="30" t="str">
        <x:v>F097</x:v>
      </x:c>
      <x:c r="C2290" s="30" t="str">
        <x:v>platform.equipment_ids</x:v>
      </x:c>
      <x:c r="D2290" s="30" t="str">
        <x:v>候选输入schema</x:v>
      </x:c>
      <x:c r="E2290" s="30" t="str">
        <x:v>按执行角色权限读取；策略只能使用可访问快照</x:v>
      </x:c>
    </x:row>
    <x:row r="2291" ht="32" customHeight="1">
      <x:c r="A2291" s="30" t="str">
        <x:v>A026</x:v>
      </x:c>
      <x:c r="B2291" s="30" t="str">
        <x:v>F098</x:v>
      </x:c>
      <x:c r="C2291" s="30" t="str">
        <x:v>platform.width_m</x:v>
      </x:c>
      <x:c r="D2291" s="30" t="str">
        <x:v>候选输入schema</x:v>
      </x:c>
      <x:c r="E2291" s="30" t="str">
        <x:v>按执行角色权限读取；策略只能使用可访问快照</x:v>
      </x:c>
    </x:row>
    <x:row r="2292" ht="32" customHeight="1">
      <x:c r="A2292" s="30" t="str">
        <x:v>A026</x:v>
      </x:c>
      <x:c r="B2292" s="30" t="str">
        <x:v>F099</x:v>
      </x:c>
      <x:c r="C2292" s="30" t="str">
        <x:v>platform.height_m</x:v>
      </x:c>
      <x:c r="D2292" s="30" t="str">
        <x:v>候选输入schema</x:v>
      </x:c>
      <x:c r="E2292" s="30" t="str">
        <x:v>按执行角色权限读取；策略只能使用可访问快照</x:v>
      </x:c>
    </x:row>
    <x:row r="2293" ht="32" customHeight="1">
      <x:c r="A2293" s="30" t="str">
        <x:v>A026</x:v>
      </x:c>
      <x:c r="B2293" s="30" t="str">
        <x:v>F100</x:v>
      </x:c>
      <x:c r="C2293" s="30" t="str">
        <x:v>platform.swept_radius_m</x:v>
      </x:c>
      <x:c r="D2293" s="30" t="str">
        <x:v>候选输入schema</x:v>
      </x:c>
      <x:c r="E2293" s="30" t="str">
        <x:v>按执行角色权限读取；策略只能使用可访问快照</x:v>
      </x:c>
    </x:row>
    <x:row r="2294" ht="32" customHeight="1">
      <x:c r="A2294" s="30" t="str">
        <x:v>A026</x:v>
      </x:c>
      <x:c r="B2294" s="30" t="str">
        <x:v>F101</x:v>
      </x:c>
      <x:c r="C2294" s="30" t="str">
        <x:v>platform.payload_capacity_kg</x:v>
      </x:c>
      <x:c r="D2294" s="30" t="str">
        <x:v>候选输入schema</x:v>
      </x:c>
      <x:c r="E2294" s="30" t="str">
        <x:v>按执行角色权限读取；策略只能使用可访问快照</x:v>
      </x:c>
    </x:row>
    <x:row r="2295" ht="32" customHeight="1">
      <x:c r="A2295" s="30" t="str">
        <x:v>A026</x:v>
      </x:c>
      <x:c r="B2295" s="30" t="str">
        <x:v>F102</x:v>
      </x:c>
      <x:c r="C2295" s="30" t="str">
        <x:v>platform.payload_used_kg</x:v>
      </x:c>
      <x:c r="D2295" s="30" t="str">
        <x:v>候选输入schema</x:v>
      </x:c>
      <x:c r="E2295" s="30" t="str">
        <x:v>按执行角色权限读取；策略只能使用可访问快照</x:v>
      </x:c>
    </x:row>
    <x:row r="2296" ht="32" customHeight="1">
      <x:c r="A2296" s="30" t="str">
        <x:v>A026</x:v>
      </x:c>
      <x:c r="B2296" s="30" t="str">
        <x:v>F103</x:v>
      </x:c>
      <x:c r="C2296" s="30" t="str">
        <x:v>platform.payload_item_ids</x:v>
      </x:c>
      <x:c r="D2296" s="30" t="str">
        <x:v>候选输入schema</x:v>
      </x:c>
      <x:c r="E2296" s="30" t="str">
        <x:v>按执行角色权限读取；策略只能使用可访问快照</x:v>
      </x:c>
    </x:row>
    <x:row r="2297" ht="32" customHeight="1">
      <x:c r="A2297" s="30" t="str">
        <x:v>A026</x:v>
      </x:c>
      <x:c r="B2297" s="30" t="str">
        <x:v>F104</x:v>
      </x:c>
      <x:c r="C2297" s="30" t="str">
        <x:v>platform.battery_capacity_Wh</x:v>
      </x:c>
      <x:c r="D2297" s="30" t="str">
        <x:v>候选输入schema</x:v>
      </x:c>
      <x:c r="E2297" s="30" t="str">
        <x:v>按执行角色权限读取；策略只能使用可访问快照</x:v>
      </x:c>
    </x:row>
    <x:row r="2298" ht="32" customHeight="1">
      <x:c r="A2298" s="30" t="str">
        <x:v>A026</x:v>
      </x:c>
      <x:c r="B2298" s="30" t="str">
        <x:v>F105</x:v>
      </x:c>
      <x:c r="C2298" s="30" t="str">
        <x:v>platform.battery_remaining_Wh</x:v>
      </x:c>
      <x:c r="D2298" s="30" t="str">
        <x:v>候选输入schema</x:v>
      </x:c>
      <x:c r="E2298" s="30" t="str">
        <x:v>按执行角色权限读取；策略只能使用可访问快照</x:v>
      </x:c>
    </x:row>
    <x:row r="2299" ht="32" customHeight="1">
      <x:c r="A2299" s="30" t="str">
        <x:v>A026</x:v>
      </x:c>
      <x:c r="B2299" s="30" t="str">
        <x:v>F106</x:v>
      </x:c>
      <x:c r="C2299" s="30" t="str">
        <x:v>platform.reserve_Wh</x:v>
      </x:c>
      <x:c r="D2299" s="30" t="str">
        <x:v>候选输入schema</x:v>
      </x:c>
      <x:c r="E2299" s="30" t="str">
        <x:v>按执行角色权限读取；策略只能使用可访问快照</x:v>
      </x:c>
    </x:row>
    <x:row r="2300" ht="32" customHeight="1">
      <x:c r="A2300" s="30" t="str">
        <x:v>A026</x:v>
      </x:c>
      <x:c r="B2300" s="30" t="str">
        <x:v>F107</x:v>
      </x:c>
      <x:c r="C2300" s="30" t="str">
        <x:v>platform.speed_limit_mps</x:v>
      </x:c>
      <x:c r="D2300" s="30" t="str">
        <x:v>候选输入schema</x:v>
      </x:c>
      <x:c r="E2300" s="30" t="str">
        <x:v>按执行角色权限读取；策略只能使用可访问快照</x:v>
      </x:c>
    </x:row>
    <x:row r="2301" ht="32" customHeight="1">
      <x:c r="A2301" s="30" t="str">
        <x:v>A026</x:v>
      </x:c>
      <x:c r="B2301" s="30" t="str">
        <x:v>F108</x:v>
      </x:c>
      <x:c r="C2301" s="30" t="str">
        <x:v>platform.energy_model</x:v>
      </x:c>
      <x:c r="D2301" s="30" t="str">
        <x:v>候选输入schema</x:v>
      </x:c>
      <x:c r="E2301" s="30" t="str">
        <x:v>按执行角色权限读取；策略只能使用可访问快照</x:v>
      </x:c>
    </x:row>
    <x:row r="2302" ht="32" customHeight="1">
      <x:c r="A2302" s="30" t="str">
        <x:v>A026</x:v>
      </x:c>
      <x:c r="B2302" s="30" t="str">
        <x:v>F109</x:v>
      </x:c>
      <x:c r="C2302" s="30" t="str">
        <x:v>platform.motion_state</x:v>
      </x:c>
      <x:c r="D2302" s="30" t="str">
        <x:v>候选输入schema</x:v>
      </x:c>
      <x:c r="E2302" s="30" t="str">
        <x:v>按执行角色权限读取；策略只能使用可访问快照</x:v>
      </x:c>
    </x:row>
    <x:row r="2303" ht="32" customHeight="1">
      <x:c r="A2303" s="30" t="str">
        <x:v>A026</x:v>
      </x:c>
      <x:c r="B2303" s="30" t="str">
        <x:v>F110</x:v>
      </x:c>
      <x:c r="C2303" s="30" t="str">
        <x:v>platform.health_state</x:v>
      </x:c>
      <x:c r="D2303" s="30" t="str">
        <x:v>候选输入schema</x:v>
      </x:c>
      <x:c r="E2303" s="30" t="str">
        <x:v>按执行角色权限读取；策略只能使用可访问快照</x:v>
      </x:c>
    </x:row>
    <x:row r="2304" ht="32" customHeight="1">
      <x:c r="A2304" s="30" t="str">
        <x:v>A026</x:v>
      </x:c>
      <x:c r="B2304" s="30" t="str">
        <x:v>F111</x:v>
      </x:c>
      <x:c r="C2304" s="30" t="str">
        <x:v>platform.current_action_id</x:v>
      </x:c>
      <x:c r="D2304" s="30" t="str">
        <x:v>候选输入schema</x:v>
      </x:c>
      <x:c r="E2304" s="30" t="str">
        <x:v>按执行角色权限读取；策略只能使用可访问快照</x:v>
      </x:c>
    </x:row>
    <x:row r="2305" ht="32" customHeight="1">
      <x:c r="A2305" s="30" t="str">
        <x:v>A026</x:v>
      </x:c>
      <x:c r="B2305" s="30" t="str">
        <x:v>F112</x:v>
      </x:c>
      <x:c r="C2305" s="30" t="str">
        <x:v>platform.busy_until_est_s</x:v>
      </x:c>
      <x:c r="D2305" s="30" t="str">
        <x:v>候选输入schema</x:v>
      </x:c>
      <x:c r="E2305" s="30" t="str">
        <x:v>按执行角色权限读取；策略只能使用可访问快照</x:v>
      </x:c>
    </x:row>
    <x:row r="2306" ht="32" customHeight="1">
      <x:c r="A2306" s="30" t="str">
        <x:v>A026</x:v>
      </x:c>
      <x:c r="B2306" s="30" t="str">
        <x:v>F113</x:v>
      </x:c>
      <x:c r="C2306" s="30" t="str">
        <x:v>platform.return_site_id</x:v>
      </x:c>
      <x:c r="D2306" s="30" t="str">
        <x:v>候选输入schema</x:v>
      </x:c>
      <x:c r="E2306" s="30" t="str">
        <x:v>按执行角色权限读取；策略只能使用可访问快照</x:v>
      </x:c>
    </x:row>
    <x:row r="2307" ht="32" customHeight="1">
      <x:c r="A2307" s="30" t="str">
        <x:v>A026</x:v>
      </x:c>
      <x:c r="B2307" s="30" t="str">
        <x:v>F114</x:v>
      </x:c>
      <x:c r="C2307" s="30" t="str">
        <x:v>platform.water_tolerance_m</x:v>
      </x:c>
      <x:c r="D2307" s="30" t="str">
        <x:v>候选输入schema</x:v>
      </x:c>
      <x:c r="E2307" s="30" t="str">
        <x:v>按执行角色权限读取；策略只能使用可访问快照</x:v>
      </x:c>
    </x:row>
    <x:row r="2308" ht="32" customHeight="1">
      <x:c r="A2308" s="30" t="str">
        <x:v>A026</x:v>
      </x:c>
      <x:c r="B2308" s="30" t="str">
        <x:v>F115</x:v>
      </x:c>
      <x:c r="C2308" s="30" t="str">
        <x:v>platform.concurrency_policy</x:v>
      </x:c>
      <x:c r="D2308" s="30" t="str">
        <x:v>候选输入schema</x:v>
      </x:c>
      <x:c r="E2308" s="30" t="str">
        <x:v>按执行角色权限读取；策略只能使用可访问快照</x:v>
      </x:c>
    </x:row>
    <x:row r="2309" ht="32" customHeight="1">
      <x:c r="A2309" s="30" t="str">
        <x:v>A026</x:v>
      </x:c>
      <x:c r="B2309" s="30" t="str">
        <x:v>F116</x:v>
      </x:c>
      <x:c r="C2309" s="30" t="str">
        <x:v>equipment.kind</x:v>
      </x:c>
      <x:c r="D2309" s="30" t="str">
        <x:v>候选输入schema</x:v>
      </x:c>
      <x:c r="E2309" s="30" t="str">
        <x:v>按执行角色权限读取；策略只能使用可访问快照</x:v>
      </x:c>
    </x:row>
    <x:row r="2310" ht="32" customHeight="1">
      <x:c r="A2310" s="30" t="str">
        <x:v>A026</x:v>
      </x:c>
      <x:c r="B2310" s="30" t="str">
        <x:v>F117</x:v>
      </x:c>
      <x:c r="C2310" s="30" t="str">
        <x:v>equipment.enabled</x:v>
      </x:c>
      <x:c r="D2310" s="30" t="str">
        <x:v>候选输入schema</x:v>
      </x:c>
      <x:c r="E2310" s="30" t="str">
        <x:v>按执行角色权限读取；策略只能使用可访问快照</x:v>
      </x:c>
    </x:row>
    <x:row r="2311" ht="32" customHeight="1">
      <x:c r="A2311" s="30" t="str">
        <x:v>A026</x:v>
      </x:c>
      <x:c r="B2311" s="30" t="str">
        <x:v>F118</x:v>
      </x:c>
      <x:c r="C2311" s="30" t="str">
        <x:v>equipment.health</x:v>
      </x:c>
      <x:c r="D2311" s="30" t="str">
        <x:v>候选输入schema</x:v>
      </x:c>
      <x:c r="E2311" s="30" t="str">
        <x:v>按执行角色权限读取；策略只能使用可访问快照</x:v>
      </x:c>
    </x:row>
    <x:row r="2312" ht="32" customHeight="1">
      <x:c r="A2312" s="30" t="str">
        <x:v>A026</x:v>
      </x:c>
      <x:c r="B2312" s="30" t="str">
        <x:v>F119</x:v>
      </x:c>
      <x:c r="C2312" s="30" t="str">
        <x:v>equipment.rated_load_kg</x:v>
      </x:c>
      <x:c r="D2312" s="30" t="str">
        <x:v>候选输入schema</x:v>
      </x:c>
      <x:c r="E2312" s="30" t="str">
        <x:v>按执行角色权限读取；策略只能使用可访问快照</x:v>
      </x:c>
    </x:row>
    <x:row r="2313" ht="32" customHeight="1">
      <x:c r="A2313" s="30" t="str">
        <x:v>A026</x:v>
      </x:c>
      <x:c r="B2313" s="30" t="str">
        <x:v>F120</x:v>
      </x:c>
      <x:c r="C2313" s="30" t="str">
        <x:v>equipment.reach_m</x:v>
      </x:c>
      <x:c r="D2313" s="30" t="str">
        <x:v>候选输入schema</x:v>
      </x:c>
      <x:c r="E2313" s="30" t="str">
        <x:v>按执行角色权限读取；策略只能使用可访问快照</x:v>
      </x:c>
    </x:row>
    <x:row r="2314" ht="32" customHeight="1">
      <x:c r="A2314" s="30" t="str">
        <x:v>A026</x:v>
      </x:c>
      <x:c r="B2314" s="30" t="str">
        <x:v>F121</x:v>
      </x:c>
      <x:c r="C2314" s="30" t="str">
        <x:v>equipment.compatible_materials</x:v>
      </x:c>
      <x:c r="D2314" s="30" t="str">
        <x:v>候选输入schema</x:v>
      </x:c>
      <x:c r="E2314" s="30" t="str">
        <x:v>按执行角色权限读取；策略只能使用可访问快照</x:v>
      </x:c>
    </x:row>
    <x:row r="2315" ht="32" customHeight="1">
      <x:c r="A2315" s="30" t="str">
        <x:v>A026</x:v>
      </x:c>
      <x:c r="B2315" s="30" t="str">
        <x:v>F122</x:v>
      </x:c>
      <x:c r="C2315" s="30" t="str">
        <x:v>equipment.tool_size</x:v>
      </x:c>
      <x:c r="D2315" s="30" t="str">
        <x:v>候选输入schema</x:v>
      </x:c>
      <x:c r="E2315" s="30" t="str">
        <x:v>按执行角色权限读取；策略只能使用可访问快照</x:v>
      </x:c>
    </x:row>
    <x:row r="2316" ht="32" customHeight="1">
      <x:c r="A2316" s="30" t="str">
        <x:v>A026</x:v>
      </x:c>
      <x:c r="B2316" s="30" t="str">
        <x:v>F123</x:v>
      </x:c>
      <x:c r="C2316" s="30" t="str">
        <x:v>equipment.consumable_type</x:v>
      </x:c>
      <x:c r="D2316" s="30" t="str">
        <x:v>候选输入schema</x:v>
      </x:c>
      <x:c r="E2316" s="30" t="str">
        <x:v>按执行角色权限读取；策略只能使用可访问快照</x:v>
      </x:c>
    </x:row>
    <x:row r="2317" ht="32" customHeight="1">
      <x:c r="A2317" s="30" t="str">
        <x:v>A026</x:v>
      </x:c>
      <x:c r="B2317" s="30" t="str">
        <x:v>F124</x:v>
      </x:c>
      <x:c r="C2317" s="30" t="str">
        <x:v>equipment.consumable_remaining</x:v>
      </x:c>
      <x:c r="D2317" s="30" t="str">
        <x:v>候选输入schema</x:v>
      </x:c>
      <x:c r="E2317" s="30" t="str">
        <x:v>按执行角色权限读取；策略只能使用可访问快照</x:v>
      </x:c>
    </x:row>
    <x:row r="2318" ht="32" customHeight="1">
      <x:c r="A2318" s="30" t="str">
        <x:v>A026</x:v>
      </x:c>
      <x:c r="B2318" s="30" t="str">
        <x:v>F125</x:v>
      </x:c>
      <x:c r="C2318" s="30" t="str">
        <x:v>equipment.operator_authority</x:v>
      </x:c>
      <x:c r="D2318" s="30" t="str">
        <x:v>候选输入schema</x:v>
      </x:c>
      <x:c r="E2318" s="30" t="str">
        <x:v>按执行角色权限读取；策略只能使用可访问快照</x:v>
      </x:c>
    </x:row>
    <x:row r="2319" ht="32" customHeight="1">
      <x:c r="A2319" s="30" t="str">
        <x:v>A026</x:v>
      </x:c>
      <x:c r="B2319" s="30" t="str">
        <x:v>F126</x:v>
      </x:c>
      <x:c r="C2319" s="30" t="str">
        <x:v>equipment.setup_state</x:v>
      </x:c>
      <x:c r="D2319" s="30" t="str">
        <x:v>候选输入schema</x:v>
      </x:c>
      <x:c r="E2319" s="30" t="str">
        <x:v>按执行角色权限读取；策略只能使用可访问快照</x:v>
      </x:c>
    </x:row>
    <x:row r="2320" ht="32" customHeight="1">
      <x:c r="A2320" s="30" t="str">
        <x:v>A026</x:v>
      </x:c>
      <x:c r="B2320" s="30" t="str">
        <x:v>F127</x:v>
      </x:c>
      <x:c r="C2320" s="30" t="str">
        <x:v>equipment.busy_action_id</x:v>
      </x:c>
      <x:c r="D2320" s="30" t="str">
        <x:v>候选输入schema</x:v>
      </x:c>
      <x:c r="E2320" s="30" t="str">
        <x:v>按执行角色权限读取；策略只能使用可访问快照</x:v>
      </x:c>
    </x:row>
    <x:row r="2321" ht="32" customHeight="1">
      <x:c r="A2321" s="30" t="str">
        <x:v>A026</x:v>
      </x:c>
      <x:c r="B2321" s="30" t="str">
        <x:v>F128</x:v>
      </x:c>
      <x:c r="C2321" s="30" t="str">
        <x:v>item.kind</x:v>
      </x:c>
      <x:c r="D2321" s="30" t="str">
        <x:v>候选输入schema</x:v>
      </x:c>
      <x:c r="E2321" s="30" t="str">
        <x:v>按执行角色权限读取；策略只能使用可访问快照</x:v>
      </x:c>
    </x:row>
    <x:row r="2322" ht="32" customHeight="1">
      <x:c r="A2322" s="30" t="str">
        <x:v>A026</x:v>
      </x:c>
      <x:c r="B2322" s="30" t="str">
        <x:v>F129</x:v>
      </x:c>
      <x:c r="C2322" s="30" t="str">
        <x:v>item.mass_kg</x:v>
      </x:c>
      <x:c r="D2322" s="30" t="str">
        <x:v>候选输入schema</x:v>
      </x:c>
      <x:c r="E2322" s="30" t="str">
        <x:v>按执行角色权限读取；策略只能使用可访问快照</x:v>
      </x:c>
    </x:row>
    <x:row r="2323" ht="32" customHeight="1">
      <x:c r="A2323" s="30" t="str">
        <x:v>A026</x:v>
      </x:c>
      <x:c r="B2323" s="30" t="str">
        <x:v>F130</x:v>
      </x:c>
      <x:c r="C2323" s="30" t="str">
        <x:v>item.dimensions_m</x:v>
      </x:c>
      <x:c r="D2323" s="30" t="str">
        <x:v>候选输入schema</x:v>
      </x:c>
      <x:c r="E2323" s="30" t="str">
        <x:v>按执行角色权限读取；策略只能使用可访问快照</x:v>
      </x:c>
    </x:row>
    <x:row r="2324" ht="32" customHeight="1">
      <x:c r="A2324" s="30" t="str">
        <x:v>A026</x:v>
      </x:c>
      <x:c r="B2324" s="30" t="str">
        <x:v>F131</x:v>
      </x:c>
      <x:c r="C2324" s="30" t="str">
        <x:v>item.quantity</x:v>
      </x:c>
      <x:c r="D2324" s="30" t="str">
        <x:v>候选输入schema</x:v>
      </x:c>
      <x:c r="E2324" s="30" t="str">
        <x:v>按执行角色权限读取；策略只能使用可访问快照</x:v>
      </x:c>
    </x:row>
    <x:row r="2325" ht="32" customHeight="1">
      <x:c r="A2325" s="30" t="str">
        <x:v>A026</x:v>
      </x:c>
      <x:c r="B2325" s="30" t="str">
        <x:v>F132</x:v>
      </x:c>
      <x:c r="C2325" s="30" t="str">
        <x:v>item.holder_id</x:v>
      </x:c>
      <x:c r="D2325" s="30" t="str">
        <x:v>候选输入schema</x:v>
      </x:c>
      <x:c r="E2325" s="30" t="str">
        <x:v>按执行角色权限读取；策略只能使用可访问快照</x:v>
      </x:c>
    </x:row>
    <x:row r="2326" ht="32" customHeight="1">
      <x:c r="A2326" s="30" t="str">
        <x:v>A026</x:v>
      </x:c>
      <x:c r="B2326" s="30" t="str">
        <x:v>F133</x:v>
      </x:c>
      <x:c r="C2326" s="30" t="str">
        <x:v>item.state</x:v>
      </x:c>
      <x:c r="D2326" s="30" t="str">
        <x:v>候选输入schema</x:v>
      </x:c>
      <x:c r="E2326" s="30" t="str">
        <x:v>按执行角色权限读取；策略只能使用可访问快照</x:v>
      </x:c>
    </x:row>
    <x:row r="2327" ht="32" customHeight="1">
      <x:c r="A2327" s="30" t="str">
        <x:v>A026</x:v>
      </x:c>
      <x:c r="B2327" s="30" t="str">
        <x:v>F134</x:v>
      </x:c>
      <x:c r="C2327" s="30" t="str">
        <x:v>item.attachment_id</x:v>
      </x:c>
      <x:c r="D2327" s="30" t="str">
        <x:v>候选输入schema</x:v>
      </x:c>
      <x:c r="E2327" s="30" t="str">
        <x:v>按执行角色权限读取；策略只能使用可访问快照</x:v>
      </x:c>
    </x:row>
    <x:row r="2328" ht="32" customHeight="1">
      <x:c r="A2328" s="30" t="str">
        <x:v>A026</x:v>
      </x:c>
      <x:c r="B2328" s="30" t="str">
        <x:v>F135</x:v>
      </x:c>
      <x:c r="C2328" s="30" t="str">
        <x:v>item.reservation_task_id</x:v>
      </x:c>
      <x:c r="D2328" s="30" t="str">
        <x:v>候选输入schema</x:v>
      </x:c>
      <x:c r="E2328" s="30" t="str">
        <x:v>按执行角色权限读取；策略只能使用可访问快照</x:v>
      </x:c>
    </x:row>
    <x:row r="2329" ht="32" customHeight="1">
      <x:c r="A2329" s="30" t="str">
        <x:v>A026</x:v>
      </x:c>
      <x:c r="B2329" s="30" t="str">
        <x:v>F136</x:v>
      </x:c>
      <x:c r="C2329" s="30" t="str">
        <x:v>item.release_state</x:v>
      </x:c>
      <x:c r="D2329" s="30" t="str">
        <x:v>候选输入schema</x:v>
      </x:c>
      <x:c r="E2329" s="30" t="str">
        <x:v>按执行角色权限读取；策略只能使用可访问快照</x:v>
      </x:c>
    </x:row>
    <x:row r="2330" ht="32" customHeight="1">
      <x:c r="A2330" s="30" t="str">
        <x:v>A026</x:v>
      </x:c>
      <x:c r="B2330" s="30" t="str">
        <x:v>F137</x:v>
      </x:c>
      <x:c r="C2330" s="30" t="str">
        <x:v>item.contact_pose</x:v>
      </x:c>
      <x:c r="D2330" s="30" t="str">
        <x:v>候选输入schema</x:v>
      </x:c>
      <x:c r="E2330" s="30" t="str">
        <x:v>按执行角色权限读取；策略只能使用可访问快照</x:v>
      </x:c>
    </x:row>
    <x:row r="2331" ht="32" customHeight="1">
      <x:c r="A2331" s="30" t="str">
        <x:v>A026</x:v>
      </x:c>
      <x:c r="B2331" s="30" t="str">
        <x:v>F138</x:v>
      </x:c>
      <x:c r="C2331" s="30" t="str">
        <x:v>item.receiver_id</x:v>
      </x:c>
      <x:c r="D2331" s="30" t="str">
        <x:v>候选输入schema</x:v>
      </x:c>
      <x:c r="E2331" s="30" t="str">
        <x:v>按执行角色权限读取；策略只能使用可访问快照</x:v>
      </x:c>
    </x:row>
    <x:row r="2332" ht="32" customHeight="1">
      <x:c r="A2332" s="30" t="str">
        <x:v>A026</x:v>
      </x:c>
      <x:c r="B2332" s="30" t="str">
        <x:v>F139</x:v>
      </x:c>
      <x:c r="C2332" s="30" t="str">
        <x:v>item.receipt_id</x:v>
      </x:c>
      <x:c r="D2332" s="30" t="str">
        <x:v>候选输入schema</x:v>
      </x:c>
      <x:c r="E2332" s="30" t="str">
        <x:v>按执行角色权限读取；策略只能使用可访问快照</x:v>
      </x:c>
    </x:row>
    <x:row r="2333" ht="32" customHeight="1">
      <x:c r="A2333" s="30" t="str">
        <x:v>A026</x:v>
      </x:c>
      <x:c r="B2333" s="30" t="str">
        <x:v>F140</x:v>
      </x:c>
      <x:c r="C2333" s="30" t="str">
        <x:v>item.condition</x:v>
      </x:c>
      <x:c r="D2333" s="30" t="str">
        <x:v>候选输入schema</x:v>
      </x:c>
      <x:c r="E2333" s="30" t="str">
        <x:v>按执行角色权限读取；策略只能使用可访问快照</x:v>
      </x:c>
    </x:row>
    <x:row r="2334" ht="32" customHeight="1">
      <x:c r="A2334" s="30" t="str">
        <x:v>A026</x:v>
      </x:c>
      <x:c r="B2334" s="30" t="str">
        <x:v>F230</x:v>
      </x:c>
      <x:c r="C2334" s="30" t="str">
        <x:v>action.type</x:v>
      </x:c>
      <x:c r="D2334" s="30" t="str">
        <x:v>候选输入schema</x:v>
      </x:c>
      <x:c r="E2334" s="30" t="str">
        <x:v>按执行角色权限读取；策略只能使用可访问快照</x:v>
      </x:c>
    </x:row>
    <x:row r="2335" ht="32" customHeight="1">
      <x:c r="A2335" s="30" t="str">
        <x:v>A026</x:v>
      </x:c>
      <x:c r="B2335" s="30" t="str">
        <x:v>F231</x:v>
      </x:c>
      <x:c r="C2335" s="30" t="str">
        <x:v>action.executor_id</x:v>
      </x:c>
      <x:c r="D2335" s="30" t="str">
        <x:v>候选输入schema</x:v>
      </x:c>
      <x:c r="E2335" s="30" t="str">
        <x:v>按执行角色权限读取；策略只能使用可访问快照</x:v>
      </x:c>
    </x:row>
    <x:row r="2336" ht="32" customHeight="1">
      <x:c r="A2336" s="30" t="str">
        <x:v>A026</x:v>
      </x:c>
      <x:c r="B2336" s="30" t="str">
        <x:v>F232</x:v>
      </x:c>
      <x:c r="C2336" s="30" t="str">
        <x:v>action.task_ref</x:v>
      </x:c>
      <x:c r="D2336" s="30" t="str">
        <x:v>候选输入schema</x:v>
      </x:c>
      <x:c r="E2336" s="30" t="str">
        <x:v>按执行角色权限读取；策略只能使用可访问快照</x:v>
      </x:c>
    </x:row>
    <x:row r="2337" ht="32" customHeight="1">
      <x:c r="A2337" s="30" t="str">
        <x:v>A026</x:v>
      </x:c>
      <x:c r="B2337" s="30" t="str">
        <x:v>F233</x:v>
      </x:c>
      <x:c r="C2337" s="30" t="str">
        <x:v>action.target_ref</x:v>
      </x:c>
      <x:c r="D2337" s="30" t="str">
        <x:v>候选输入schema</x:v>
      </x:c>
      <x:c r="E2337" s="30" t="str">
        <x:v>按执行角色权限读取；策略只能使用可访问快照</x:v>
      </x:c>
    </x:row>
    <x:row r="2338" ht="32" customHeight="1">
      <x:c r="A2338" s="30" t="str">
        <x:v>A026</x:v>
      </x:c>
      <x:c r="B2338" s="30" t="str">
        <x:v>F234</x:v>
      </x:c>
      <x:c r="C2338" s="30" t="str">
        <x:v>action.parameters</x:v>
      </x:c>
      <x:c r="D2338" s="30" t="str">
        <x:v>候选输入schema</x:v>
      </x:c>
      <x:c r="E2338" s="30" t="str">
        <x:v>按执行角色权限读取；策略只能使用可访问快照</x:v>
      </x:c>
    </x:row>
    <x:row r="2339" ht="32" customHeight="1">
      <x:c r="A2339" s="30" t="str">
        <x:v>A026</x:v>
      </x:c>
      <x:c r="B2339" s="30" t="str">
        <x:v>F235</x:v>
      </x:c>
      <x:c r="C2339" s="30" t="str">
        <x:v>action.status</x:v>
      </x:c>
      <x:c r="D2339" s="30" t="str">
        <x:v>候选输入schema</x:v>
      </x:c>
      <x:c r="E2339" s="30" t="str">
        <x:v>按执行角色权限读取；策略只能使用可访问快照</x:v>
      </x:c>
    </x:row>
    <x:row r="2340" ht="32" customHeight="1">
      <x:c r="A2340" s="30" t="str">
        <x:v>A026</x:v>
      </x:c>
      <x:c r="B2340" s="30" t="str">
        <x:v>F236</x:v>
      </x:c>
      <x:c r="C2340" s="30" t="str">
        <x:v>action.start_s</x:v>
      </x:c>
      <x:c r="D2340" s="30" t="str">
        <x:v>候选输入schema</x:v>
      </x:c>
      <x:c r="E2340" s="30" t="str">
        <x:v>按执行角色权限读取；策略只能使用可访问快照</x:v>
      </x:c>
    </x:row>
    <x:row r="2341" ht="32" customHeight="1">
      <x:c r="A2341" s="30" t="str">
        <x:v>A026</x:v>
      </x:c>
      <x:c r="B2341" s="30" t="str">
        <x:v>F237</x:v>
      </x:c>
      <x:c r="C2341" s="30" t="str">
        <x:v>action.finish_s</x:v>
      </x:c>
      <x:c r="D2341" s="30" t="str">
        <x:v>候选输入schema</x:v>
      </x:c>
      <x:c r="E2341" s="30" t="str">
        <x:v>按执行角色权限读取；策略只能使用可访问快照</x:v>
      </x:c>
    </x:row>
    <x:row r="2342" ht="32" customHeight="1">
      <x:c r="A2342" s="30" t="str">
        <x:v>A026</x:v>
      </x:c>
      <x:c r="B2342" s="30" t="str">
        <x:v>F238</x:v>
      </x:c>
      <x:c r="C2342" s="30" t="str">
        <x:v>action.reserved_resources</x:v>
      </x:c>
      <x:c r="D2342" s="30" t="str">
        <x:v>候选输入schema</x:v>
      </x:c>
      <x:c r="E2342" s="30" t="str">
        <x:v>按执行角色权限读取；策略只能使用可访问快照</x:v>
      </x:c>
    </x:row>
    <x:row r="2343" ht="32" customHeight="1">
      <x:c r="A2343" s="30" t="str">
        <x:v>A026</x:v>
      </x:c>
      <x:c r="B2343" s="30" t="str">
        <x:v>F239</x:v>
      </x:c>
      <x:c r="C2343" s="30" t="str">
        <x:v>action.consumed_resources</x:v>
      </x:c>
      <x:c r="D2343" s="30" t="str">
        <x:v>候选输入schema</x:v>
      </x:c>
      <x:c r="E2343" s="30" t="str">
        <x:v>按执行角色权限读取；策略只能使用可访问快照</x:v>
      </x:c>
    </x:row>
    <x:row r="2344" ht="32" customHeight="1">
      <x:c r="A2344" s="30" t="str">
        <x:v>A026</x:v>
      </x:c>
      <x:c r="B2344" s="30" t="str">
        <x:v>F240</x:v>
      </x:c>
      <x:c r="C2344" s="30" t="str">
        <x:v>action.feedback</x:v>
      </x:c>
      <x:c r="D2344" s="30" t="str">
        <x:v>候选输入schema</x:v>
      </x:c>
      <x:c r="E2344" s="30" t="str">
        <x:v>按执行角色权限读取；策略只能使用可访问快照</x:v>
      </x:c>
    </x:row>
    <x:row r="2345" ht="32" customHeight="1">
      <x:c r="A2345" s="30" t="str">
        <x:v>A026</x:v>
      </x:c>
      <x:c r="B2345" s="30" t="str">
        <x:v>F241</x:v>
      </x:c>
      <x:c r="C2345" s="30" t="str">
        <x:v>action.result</x:v>
      </x:c>
      <x:c r="D2345" s="30" t="str">
        <x:v>候选输入schema</x:v>
      </x:c>
      <x:c r="E2345" s="30" t="str">
        <x:v>按执行角色权限读取；策略只能使用可访问快照</x:v>
      </x:c>
    </x:row>
    <x:row r="2346" ht="32" customHeight="1">
      <x:c r="A2346" s="30" t="str">
        <x:v>A026</x:v>
      </x:c>
      <x:c r="B2346" s="30" t="str">
        <x:v>F242</x:v>
      </x:c>
      <x:c r="C2346" s="30" t="str">
        <x:v>action.rejection_code</x:v>
      </x:c>
      <x:c r="D2346" s="30" t="str">
        <x:v>候选输入schema</x:v>
      </x:c>
      <x:c r="E2346" s="30" t="str">
        <x:v>按执行角色权限读取；策略只能使用可访问快照</x:v>
      </x:c>
    </x:row>
    <x:row r="2347" ht="32" customHeight="1">
      <x:c r="A2347" s="30" t="str">
        <x:v>A026</x:v>
      </x:c>
      <x:c r="B2347" s="30" t="str">
        <x:v>F243</x:v>
      </x:c>
      <x:c r="C2347" s="30" t="str">
        <x:v>action.failure_code</x:v>
      </x:c>
      <x:c r="D2347" s="30" t="str">
        <x:v>候选输入schema</x:v>
      </x:c>
      <x:c r="E2347" s="30" t="str">
        <x:v>按执行角色权限读取；策略只能使用可访问快照</x:v>
      </x:c>
    </x:row>
    <x:row r="2348" ht="32" customHeight="1">
      <x:c r="A2348" s="30" t="str">
        <x:v>A026</x:v>
      </x:c>
      <x:c r="B2348" s="30" t="str">
        <x:v>F244</x:v>
      </x:c>
      <x:c r="C2348" s="30" t="str">
        <x:v>action.cancel_requested</x:v>
      </x:c>
      <x:c r="D2348" s="30" t="str">
        <x:v>候选输入schema</x:v>
      </x:c>
      <x:c r="E2348" s="30" t="str">
        <x:v>按执行角色权限读取；策略只能使用可访问快照</x:v>
      </x:c>
    </x:row>
    <x:row r="2349" ht="32" customHeight="1">
      <x:c r="A2349" s="30" t="str">
        <x:v>A026</x:v>
      </x:c>
      <x:c r="B2349" s="30" t="str">
        <x:v>F245</x:v>
      </x:c>
      <x:c r="C2349" s="30" t="str">
        <x:v>action.backend_mode</x:v>
      </x:c>
      <x:c r="D2349" s="30" t="str">
        <x:v>候选输入schema</x:v>
      </x:c>
      <x:c r="E2349" s="30" t="str">
        <x:v>按执行角色权限读取；策略只能使用可访问快照</x:v>
      </x:c>
    </x:row>
    <x:row r="2350" ht="32" customHeight="1">
      <x:c r="A2350" s="30" t="str">
        <x:v>A026</x:v>
      </x:c>
      <x:c r="B2350" s="30" t="str">
        <x:v>F133</x:v>
      </x:c>
      <x:c r="C2350" s="30" t="str">
        <x:v>item.state</x:v>
      </x:c>
      <x:c r="D2350" s="30" t="str">
        <x:v>直接效果</x:v>
      </x:c>
      <x:c r="E2350" s="30" t="str">
        <x:v>经实际执行/回执提交；不是规划时提前修改</x:v>
      </x:c>
    </x:row>
    <x:row r="2351" ht="32" customHeight="1">
      <x:c r="A2351" s="30" t="str">
        <x:v>A026</x:v>
      </x:c>
      <x:c r="B2351" s="30" t="str">
        <x:v>F132</x:v>
      </x:c>
      <x:c r="C2351" s="30" t="str">
        <x:v>item.holder_id</x:v>
      </x:c>
      <x:c r="D2351" s="30" t="str">
        <x:v>直接效果</x:v>
      </x:c>
      <x:c r="E2351" s="30" t="str">
        <x:v>经实际执行/回执提交；不是规划时提前修改</x:v>
      </x:c>
    </x:row>
    <x:row r="2352" ht="32" customHeight="1">
      <x:c r="A2352" s="30" t="str">
        <x:v>A026</x:v>
      </x:c>
      <x:c r="B2352" s="30" t="str">
        <x:v>F137</x:v>
      </x:c>
      <x:c r="C2352" s="30" t="str">
        <x:v>item.contact_pose</x:v>
      </x:c>
      <x:c r="D2352" s="30" t="str">
        <x:v>直接效果</x:v>
      </x:c>
      <x:c r="E2352" s="30" t="str">
        <x:v>经实际执行/回执提交；不是规划时提前修改</x:v>
      </x:c>
    </x:row>
    <x:row r="2353" ht="32" customHeight="1">
      <x:c r="A2353" s="30" t="str">
        <x:v>A026</x:v>
      </x:c>
      <x:c r="B2353" s="30" t="str">
        <x:v>F103</x:v>
      </x:c>
      <x:c r="C2353" s="30" t="str">
        <x:v>platform.payload_item_ids</x:v>
      </x:c>
      <x:c r="D2353" s="30" t="str">
        <x:v>直接效果</x:v>
      </x:c>
      <x:c r="E2353" s="30" t="str">
        <x:v>经实际执行/回执提交；不是规划时提前修改</x:v>
      </x:c>
    </x:row>
    <x:row r="2354" ht="32" customHeight="1">
      <x:c r="A2354" s="30" t="str">
        <x:v>A027</x:v>
      </x:c>
      <x:c r="B2354" s="30" t="str">
        <x:v>F071</x:v>
      </x:c>
      <x:c r="C2354" s="30" t="str">
        <x:v>human.location_context</x:v>
      </x:c>
      <x:c r="D2354" s="30" t="str">
        <x:v>候选输入schema</x:v>
      </x:c>
      <x:c r="E2354" s="30" t="str">
        <x:v>按执行角色权限读取；策略只能使用可访问快照</x:v>
      </x:c>
    </x:row>
    <x:row r="2355" ht="32" customHeight="1">
      <x:c r="A2355" s="30" t="str">
        <x:v>A027</x:v>
      </x:c>
      <x:c r="B2355" s="30" t="str">
        <x:v>F072</x:v>
      </x:c>
      <x:c r="C2355" s="30" t="str">
        <x:v>human.alive</x:v>
      </x:c>
      <x:c r="D2355" s="30" t="str">
        <x:v>候选输入schema</x:v>
      </x:c>
      <x:c r="E2355" s="30" t="str">
        <x:v>按执行角色权限读取；策略只能使用可访问快照</x:v>
      </x:c>
    </x:row>
    <x:row r="2356" ht="32" customHeight="1">
      <x:c r="A2356" s="30" t="str">
        <x:v>A027</x:v>
      </x:c>
      <x:c r="B2356" s="30" t="str">
        <x:v>F073</x:v>
      </x:c>
      <x:c r="C2356" s="30" t="str">
        <x:v>human.injury</x:v>
      </x:c>
      <x:c r="D2356" s="30" t="str">
        <x:v>候选输入schema</x:v>
      </x:c>
      <x:c r="E2356" s="30" t="str">
        <x:v>按执行角色权限读取；策略只能使用可访问快照</x:v>
      </x:c>
    </x:row>
    <x:row r="2357" ht="32" customHeight="1">
      <x:c r="A2357" s="30" t="str">
        <x:v>A027</x:v>
      </x:c>
      <x:c r="B2357" s="30" t="str">
        <x:v>F074</x:v>
      </x:c>
      <x:c r="C2357" s="30" t="str">
        <x:v>human.mobility</x:v>
      </x:c>
      <x:c r="D2357" s="30" t="str">
        <x:v>候选输入schema</x:v>
      </x:c>
      <x:c r="E2357" s="30" t="str">
        <x:v>按执行角色权限读取；策略只能使用可访问快照</x:v>
      </x:c>
    </x:row>
    <x:row r="2358" ht="32" customHeight="1">
      <x:c r="A2358" s="30" t="str">
        <x:v>A027</x:v>
      </x:c>
      <x:c r="B2358" s="30" t="str">
        <x:v>F075</x:v>
      </x:c>
      <x:c r="C2358" s="30" t="str">
        <x:v>human.buriedness</x:v>
      </x:c>
      <x:c r="D2358" s="30" t="str">
        <x:v>候选输入schema</x:v>
      </x:c>
      <x:c r="E2358" s="30" t="str">
        <x:v>按执行角色权限读取；策略只能使用可访问快照</x:v>
      </x:c>
    </x:row>
    <x:row r="2359" ht="32" customHeight="1">
      <x:c r="A2359" s="30" t="str">
        <x:v>A027</x:v>
      </x:c>
      <x:c r="B2359" s="30" t="str">
        <x:v>F076</x:v>
      </x:c>
      <x:c r="C2359" s="30" t="str">
        <x:v>human.needs</x:v>
      </x:c>
      <x:c r="D2359" s="30" t="str">
        <x:v>候选输入schema</x:v>
      </x:c>
      <x:c r="E2359" s="30" t="str">
        <x:v>按执行角色权限读取；策略只能使用可访问快照</x:v>
      </x:c>
    </x:row>
    <x:row r="2360" ht="32" customHeight="1">
      <x:c r="A2360" s="30" t="str">
        <x:v>A027</x:v>
      </x:c>
      <x:c r="B2360" s="30" t="str">
        <x:v>F077</x:v>
      </x:c>
      <x:c r="C2360" s="30" t="str">
        <x:v>human.pose</x:v>
      </x:c>
      <x:c r="D2360" s="30" t="str">
        <x:v>候选输入schema</x:v>
      </x:c>
      <x:c r="E2360" s="30" t="str">
        <x:v>按执行角色权限读取；策略只能使用可访问快照</x:v>
      </x:c>
    </x:row>
    <x:row r="2361" ht="32" customHeight="1">
      <x:c r="A2361" s="30" t="str">
        <x:v>A027</x:v>
      </x:c>
      <x:c r="B2361" s="30" t="str">
        <x:v>F078</x:v>
      </x:c>
      <x:c r="C2361" s="30" t="str">
        <x:v>human.visibility_context</x:v>
      </x:c>
      <x:c r="D2361" s="30" t="str">
        <x:v>候选输入schema</x:v>
      </x:c>
      <x:c r="E2361" s="30" t="str">
        <x:v>按执行角色权限读取；策略只能使用可访问快照</x:v>
      </x:c>
    </x:row>
    <x:row r="2362" ht="32" customHeight="1">
      <x:c r="A2362" s="30" t="str">
        <x:v>A027</x:v>
      </x:c>
      <x:c r="B2362" s="30" t="str">
        <x:v>F079</x:v>
      </x:c>
      <x:c r="C2362" s="30" t="str">
        <x:v>human.distress_signal</x:v>
      </x:c>
      <x:c r="D2362" s="30" t="str">
        <x:v>候选输入schema</x:v>
      </x:c>
      <x:c r="E2362" s="30" t="str">
        <x:v>按执行角色权限读取；策略只能使用可访问快照</x:v>
      </x:c>
    </x:row>
    <x:row r="2363" ht="32" customHeight="1">
      <x:c r="A2363" s="30" t="str">
        <x:v>A027</x:v>
      </x:c>
      <x:c r="B2363" s="30" t="str">
        <x:v>F080</x:v>
      </x:c>
      <x:c r="C2363" s="30" t="str">
        <x:v>human.health_model</x:v>
      </x:c>
      <x:c r="D2363" s="30" t="str">
        <x:v>候选输入schema</x:v>
      </x:c>
      <x:c r="E2363" s="30" t="str">
        <x:v>按执行角色权限读取；策略只能使用可访问快照</x:v>
      </x:c>
    </x:row>
    <x:row r="2364" ht="32" customHeight="1">
      <x:c r="A2364" s="30" t="str">
        <x:v>A027</x:v>
      </x:c>
      <x:c r="B2364" s="30" t="str">
        <x:v>F081</x:v>
      </x:c>
      <x:c r="C2364" s="30" t="str">
        <x:v>human.health_value</x:v>
      </x:c>
      <x:c r="D2364" s="30" t="str">
        <x:v>候选输入schema</x:v>
      </x:c>
      <x:c r="E2364" s="30" t="str">
        <x:v>按执行角色权限读取；策略只能使用可访问快照</x:v>
      </x:c>
    </x:row>
    <x:row r="2365" ht="32" customHeight="1">
      <x:c r="A2365" s="30" t="str">
        <x:v>A027</x:v>
      </x:c>
      <x:c r="B2365" s="30" t="str">
        <x:v>F082</x:v>
      </x:c>
      <x:c r="C2365" s="30" t="str">
        <x:v>human.support_received</x:v>
      </x:c>
      <x:c r="D2365" s="30" t="str">
        <x:v>候选输入schema</x:v>
      </x:c>
      <x:c r="E2365" s="30" t="str">
        <x:v>按执行角色权限读取；策略只能使用可访问快照</x:v>
      </x:c>
    </x:row>
    <x:row r="2366" ht="32" customHeight="1">
      <x:c r="A2366" s="30" t="str">
        <x:v>A027</x:v>
      </x:c>
      <x:c r="B2366" s="30" t="str">
        <x:v>F083</x:v>
      </x:c>
      <x:c r="C2366" s="30" t="str">
        <x:v>human.carrier_id</x:v>
      </x:c>
      <x:c r="D2366" s="30" t="str">
        <x:v>候选输入schema</x:v>
      </x:c>
      <x:c r="E2366" s="30" t="str">
        <x:v>按执行角色权限读取；策略只能使用可访问快照</x:v>
      </x:c>
    </x:row>
    <x:row r="2367" ht="32" customHeight="1">
      <x:c r="A2367" s="30" t="str">
        <x:v>A027</x:v>
      </x:c>
      <x:c r="B2367" s="30" t="str">
        <x:v>F084</x:v>
      </x:c>
      <x:c r="C2367" s="30" t="str">
        <x:v>human.destination_id</x:v>
      </x:c>
      <x:c r="D2367" s="30" t="str">
        <x:v>候选输入schema</x:v>
      </x:c>
      <x:c r="E2367" s="30" t="str">
        <x:v>按执行角色权限读取；策略只能使用可访问快照</x:v>
      </x:c>
    </x:row>
    <x:row r="2368" ht="32" customHeight="1">
      <x:c r="A2368" s="30" t="str">
        <x:v>A027</x:v>
      </x:c>
      <x:c r="B2368" s="30" t="str">
        <x:v>F085</x:v>
      </x:c>
      <x:c r="C2368" s="30" t="str">
        <x:v>human.handover_status</x:v>
      </x:c>
      <x:c r="D2368" s="30" t="str">
        <x:v>候选输入schema</x:v>
      </x:c>
      <x:c r="E2368" s="30" t="str">
        <x:v>按执行角色权限读取；策略只能使用可访问快照</x:v>
      </x:c>
    </x:row>
    <x:row r="2369" ht="32" customHeight="1">
      <x:c r="A2369" s="30" t="str">
        <x:v>A027</x:v>
      </x:c>
      <x:c r="B2369" s="30" t="str">
        <x:v>F086</x:v>
      </x:c>
      <x:c r="C2369" s="30" t="str">
        <x:v>human.last_assessed_s</x:v>
      </x:c>
      <x:c r="D2369" s="30" t="str">
        <x:v>候选输入schema</x:v>
      </x:c>
      <x:c r="E2369" s="30" t="str">
        <x:v>按执行角色权限读取；策略只能使用可访问快照</x:v>
      </x:c>
    </x:row>
    <x:row r="2370" ht="32" customHeight="1">
      <x:c r="A2370" s="30" t="str">
        <x:v>A027</x:v>
      </x:c>
      <x:c r="B2370" s="30" t="str">
        <x:v>F087</x:v>
      </x:c>
      <x:c r="C2370" s="30" t="str">
        <x:v>human.identity_association</x:v>
      </x:c>
      <x:c r="D2370" s="30" t="str">
        <x:v>候选输入schema</x:v>
      </x:c>
      <x:c r="E2370" s="30" t="str">
        <x:v>按执行角色权限读取；策略只能使用可访问快照</x:v>
      </x:c>
    </x:row>
    <x:row r="2371" ht="32" customHeight="1">
      <x:c r="A2371" s="30" t="str">
        <x:v>A027</x:v>
      </x:c>
      <x:c r="B2371" s="30" t="str">
        <x:v>F128</x:v>
      </x:c>
      <x:c r="C2371" s="30" t="str">
        <x:v>item.kind</x:v>
      </x:c>
      <x:c r="D2371" s="30" t="str">
        <x:v>候选输入schema</x:v>
      </x:c>
      <x:c r="E2371" s="30" t="str">
        <x:v>按执行角色权限读取；策略只能使用可访问快照</x:v>
      </x:c>
    </x:row>
    <x:row r="2372" ht="32" customHeight="1">
      <x:c r="A2372" s="30" t="str">
        <x:v>A027</x:v>
      </x:c>
      <x:c r="B2372" s="30" t="str">
        <x:v>F129</x:v>
      </x:c>
      <x:c r="C2372" s="30" t="str">
        <x:v>item.mass_kg</x:v>
      </x:c>
      <x:c r="D2372" s="30" t="str">
        <x:v>候选输入schema</x:v>
      </x:c>
      <x:c r="E2372" s="30" t="str">
        <x:v>按执行角色权限读取；策略只能使用可访问快照</x:v>
      </x:c>
    </x:row>
    <x:row r="2373" ht="32" customHeight="1">
      <x:c r="A2373" s="30" t="str">
        <x:v>A027</x:v>
      </x:c>
      <x:c r="B2373" s="30" t="str">
        <x:v>F130</x:v>
      </x:c>
      <x:c r="C2373" s="30" t="str">
        <x:v>item.dimensions_m</x:v>
      </x:c>
      <x:c r="D2373" s="30" t="str">
        <x:v>候选输入schema</x:v>
      </x:c>
      <x:c r="E2373" s="30" t="str">
        <x:v>按执行角色权限读取；策略只能使用可访问快照</x:v>
      </x:c>
    </x:row>
    <x:row r="2374" ht="32" customHeight="1">
      <x:c r="A2374" s="30" t="str">
        <x:v>A027</x:v>
      </x:c>
      <x:c r="B2374" s="30" t="str">
        <x:v>F131</x:v>
      </x:c>
      <x:c r="C2374" s="30" t="str">
        <x:v>item.quantity</x:v>
      </x:c>
      <x:c r="D2374" s="30" t="str">
        <x:v>候选输入schema</x:v>
      </x:c>
      <x:c r="E2374" s="30" t="str">
        <x:v>按执行角色权限读取；策略只能使用可访问快照</x:v>
      </x:c>
    </x:row>
    <x:row r="2375" ht="32" customHeight="1">
      <x:c r="A2375" s="30" t="str">
        <x:v>A027</x:v>
      </x:c>
      <x:c r="B2375" s="30" t="str">
        <x:v>F132</x:v>
      </x:c>
      <x:c r="C2375" s="30" t="str">
        <x:v>item.holder_id</x:v>
      </x:c>
      <x:c r="D2375" s="30" t="str">
        <x:v>候选输入schema</x:v>
      </x:c>
      <x:c r="E2375" s="30" t="str">
        <x:v>按执行角色权限读取；策略只能使用可访问快照</x:v>
      </x:c>
    </x:row>
    <x:row r="2376" ht="32" customHeight="1">
      <x:c r="A2376" s="30" t="str">
        <x:v>A027</x:v>
      </x:c>
      <x:c r="B2376" s="30" t="str">
        <x:v>F133</x:v>
      </x:c>
      <x:c r="C2376" s="30" t="str">
        <x:v>item.state</x:v>
      </x:c>
      <x:c r="D2376" s="30" t="str">
        <x:v>候选输入schema</x:v>
      </x:c>
      <x:c r="E2376" s="30" t="str">
        <x:v>按执行角色权限读取；策略只能使用可访问快照</x:v>
      </x:c>
    </x:row>
    <x:row r="2377" ht="32" customHeight="1">
      <x:c r="A2377" s="30" t="str">
        <x:v>A027</x:v>
      </x:c>
      <x:c r="B2377" s="30" t="str">
        <x:v>F134</x:v>
      </x:c>
      <x:c r="C2377" s="30" t="str">
        <x:v>item.attachment_id</x:v>
      </x:c>
      <x:c r="D2377" s="30" t="str">
        <x:v>候选输入schema</x:v>
      </x:c>
      <x:c r="E2377" s="30" t="str">
        <x:v>按执行角色权限读取；策略只能使用可访问快照</x:v>
      </x:c>
    </x:row>
    <x:row r="2378" ht="32" customHeight="1">
      <x:c r="A2378" s="30" t="str">
        <x:v>A027</x:v>
      </x:c>
      <x:c r="B2378" s="30" t="str">
        <x:v>F135</x:v>
      </x:c>
      <x:c r="C2378" s="30" t="str">
        <x:v>item.reservation_task_id</x:v>
      </x:c>
      <x:c r="D2378" s="30" t="str">
        <x:v>候选输入schema</x:v>
      </x:c>
      <x:c r="E2378" s="30" t="str">
        <x:v>按执行角色权限读取；策略只能使用可访问快照</x:v>
      </x:c>
    </x:row>
    <x:row r="2379" ht="32" customHeight="1">
      <x:c r="A2379" s="30" t="str">
        <x:v>A027</x:v>
      </x:c>
      <x:c r="B2379" s="30" t="str">
        <x:v>F136</x:v>
      </x:c>
      <x:c r="C2379" s="30" t="str">
        <x:v>item.release_state</x:v>
      </x:c>
      <x:c r="D2379" s="30" t="str">
        <x:v>候选输入schema</x:v>
      </x:c>
      <x:c r="E2379" s="30" t="str">
        <x:v>按执行角色权限读取；策略只能使用可访问快照</x:v>
      </x:c>
    </x:row>
    <x:row r="2380" ht="32" customHeight="1">
      <x:c r="A2380" s="30" t="str">
        <x:v>A027</x:v>
      </x:c>
      <x:c r="B2380" s="30" t="str">
        <x:v>F137</x:v>
      </x:c>
      <x:c r="C2380" s="30" t="str">
        <x:v>item.contact_pose</x:v>
      </x:c>
      <x:c r="D2380" s="30" t="str">
        <x:v>候选输入schema</x:v>
      </x:c>
      <x:c r="E2380" s="30" t="str">
        <x:v>按执行角色权限读取；策略只能使用可访问快照</x:v>
      </x:c>
    </x:row>
    <x:row r="2381" ht="32" customHeight="1">
      <x:c r="A2381" s="30" t="str">
        <x:v>A027</x:v>
      </x:c>
      <x:c r="B2381" s="30" t="str">
        <x:v>F138</x:v>
      </x:c>
      <x:c r="C2381" s="30" t="str">
        <x:v>item.receiver_id</x:v>
      </x:c>
      <x:c r="D2381" s="30" t="str">
        <x:v>候选输入schema</x:v>
      </x:c>
      <x:c r="E2381" s="30" t="str">
        <x:v>按执行角色权限读取；策略只能使用可访问快照</x:v>
      </x:c>
    </x:row>
    <x:row r="2382" ht="32" customHeight="1">
      <x:c r="A2382" s="30" t="str">
        <x:v>A027</x:v>
      </x:c>
      <x:c r="B2382" s="30" t="str">
        <x:v>F139</x:v>
      </x:c>
      <x:c r="C2382" s="30" t="str">
        <x:v>item.receipt_id</x:v>
      </x:c>
      <x:c r="D2382" s="30" t="str">
        <x:v>候选输入schema</x:v>
      </x:c>
      <x:c r="E2382" s="30" t="str">
        <x:v>按执行角色权限读取；策略只能使用可访问快照</x:v>
      </x:c>
    </x:row>
    <x:row r="2383" ht="32" customHeight="1">
      <x:c r="A2383" s="30" t="str">
        <x:v>A027</x:v>
      </x:c>
      <x:c r="B2383" s="30" t="str">
        <x:v>F140</x:v>
      </x:c>
      <x:c r="C2383" s="30" t="str">
        <x:v>item.condition</x:v>
      </x:c>
      <x:c r="D2383" s="30" t="str">
        <x:v>候选输入schema</x:v>
      </x:c>
      <x:c r="E2383" s="30" t="str">
        <x:v>按执行角色权限读取；策略只能使用可访问快照</x:v>
      </x:c>
    </x:row>
    <x:row r="2384" ht="32" customHeight="1">
      <x:c r="A2384" s="30" t="str">
        <x:v>A027</x:v>
      </x:c>
      <x:c r="B2384" s="30" t="str">
        <x:v>F166</x:v>
      </x:c>
      <x:c r="C2384" s="30" t="str">
        <x:v>observation.observer_id</x:v>
      </x:c>
      <x:c r="D2384" s="30" t="str">
        <x:v>候选输入schema</x:v>
      </x:c>
      <x:c r="E2384" s="30" t="str">
        <x:v>按执行角色权限读取；策略只能使用可访问快照</x:v>
      </x:c>
    </x:row>
    <x:row r="2385" ht="32" customHeight="1">
      <x:c r="A2385" s="30" t="str">
        <x:v>A027</x:v>
      </x:c>
      <x:c r="B2385" s="30" t="str">
        <x:v>F167</x:v>
      </x:c>
      <x:c r="C2385" s="30" t="str">
        <x:v>observation.sensor_id</x:v>
      </x:c>
      <x:c r="D2385" s="30" t="str">
        <x:v>候选输入schema</x:v>
      </x:c>
      <x:c r="E2385" s="30" t="str">
        <x:v>按执行角色权限读取；策略只能使用可访问快照</x:v>
      </x:c>
    </x:row>
    <x:row r="2386" ht="32" customHeight="1">
      <x:c r="A2386" s="30" t="str">
        <x:v>A027</x:v>
      </x:c>
      <x:c r="B2386" s="30" t="str">
        <x:v>F168</x:v>
      </x:c>
      <x:c r="C2386" s="30" t="str">
        <x:v>observation.captured_at_s</x:v>
      </x:c>
      <x:c r="D2386" s="30" t="str">
        <x:v>候选输入schema</x:v>
      </x:c>
      <x:c r="E2386" s="30" t="str">
        <x:v>按执行角色权限读取；策略只能使用可访问快照</x:v>
      </x:c>
    </x:row>
    <x:row r="2387" ht="32" customHeight="1">
      <x:c r="A2387" s="30" t="str">
        <x:v>A027</x:v>
      </x:c>
      <x:c r="B2387" s="30" t="str">
        <x:v>F169</x:v>
      </x:c>
      <x:c r="C2387" s="30" t="str">
        <x:v>observation.pose_estimate</x:v>
      </x:c>
      <x:c r="D2387" s="30" t="str">
        <x:v>候选输入schema</x:v>
      </x:c>
      <x:c r="E2387" s="30" t="str">
        <x:v>按执行角色权限读取；策略只能使用可访问快照</x:v>
      </x:c>
    </x:row>
    <x:row r="2388" ht="32" customHeight="1">
      <x:c r="A2388" s="30" t="str">
        <x:v>A027</x:v>
      </x:c>
      <x:c r="B2388" s="30" t="str">
        <x:v>F170</x:v>
      </x:c>
      <x:c r="C2388" s="30" t="str">
        <x:v>observation.payload_ref</x:v>
      </x:c>
      <x:c r="D2388" s="30" t="str">
        <x:v>候选输入schema</x:v>
      </x:c>
      <x:c r="E2388" s="30" t="str">
        <x:v>按执行角色权限读取；策略只能使用可访问快照</x:v>
      </x:c>
    </x:row>
    <x:row r="2389" ht="32" customHeight="1">
      <x:c r="A2389" s="30" t="str">
        <x:v>A027</x:v>
      </x:c>
      <x:c r="B2389" s="30" t="str">
        <x:v>F171</x:v>
      </x:c>
      <x:c r="C2389" s="30" t="str">
        <x:v>observation.payload_bytes</x:v>
      </x:c>
      <x:c r="D2389" s="30" t="str">
        <x:v>候选输入schema</x:v>
      </x:c>
      <x:c r="E2389" s="30" t="str">
        <x:v>按执行角色权限读取；策略只能使用可访问快照</x:v>
      </x:c>
    </x:row>
    <x:row r="2390" ht="32" customHeight="1">
      <x:c r="A2390" s="30" t="str">
        <x:v>A027</x:v>
      </x:c>
      <x:c r="B2390" s="30" t="str">
        <x:v>F172</x:v>
      </x:c>
      <x:c r="C2390" s="30" t="str">
        <x:v>observation.content_hash</x:v>
      </x:c>
      <x:c r="D2390" s="30" t="str">
        <x:v>候选输入schema</x:v>
      </x:c>
      <x:c r="E2390" s="30" t="str">
        <x:v>按执行角色权限读取；策略只能使用可访问快照</x:v>
      </x:c>
    </x:row>
    <x:row r="2391" ht="32" customHeight="1">
      <x:c r="A2391" s="30" t="str">
        <x:v>A027</x:v>
      </x:c>
      <x:c r="B2391" s="30" t="str">
        <x:v>F173</x:v>
      </x:c>
      <x:c r="C2391" s="30" t="str">
        <x:v>observation.modality</x:v>
      </x:c>
      <x:c r="D2391" s="30" t="str">
        <x:v>候选输入schema</x:v>
      </x:c>
      <x:c r="E2391" s="30" t="str">
        <x:v>按执行角色权限读取；策略只能使用可访问快照</x:v>
      </x:c>
    </x:row>
    <x:row r="2392" ht="32" customHeight="1">
      <x:c r="A2392" s="30" t="str">
        <x:v>A027</x:v>
      </x:c>
      <x:c r="B2392" s="30" t="str">
        <x:v>F174</x:v>
      </x:c>
      <x:c r="C2392" s="30" t="str">
        <x:v>observation.detections</x:v>
      </x:c>
      <x:c r="D2392" s="30" t="str">
        <x:v>候选输入schema</x:v>
      </x:c>
      <x:c r="E2392" s="30" t="str">
        <x:v>按执行角色权限读取；策略只能使用可访问快照</x:v>
      </x:c>
    </x:row>
    <x:row r="2393" ht="32" customHeight="1">
      <x:c r="A2393" s="30" t="str">
        <x:v>A027</x:v>
      </x:c>
      <x:c r="B2393" s="30" t="str">
        <x:v>F175</x:v>
      </x:c>
      <x:c r="C2393" s="30" t="str">
        <x:v>observation.confidence</x:v>
      </x:c>
      <x:c r="D2393" s="30" t="str">
        <x:v>候选输入schema</x:v>
      </x:c>
      <x:c r="E2393" s="30" t="str">
        <x:v>按执行角色权限读取；策略只能使用可访问快照</x:v>
      </x:c>
    </x:row>
    <x:row r="2394" ht="32" customHeight="1">
      <x:c r="A2394" s="30" t="str">
        <x:v>A027</x:v>
      </x:c>
      <x:c r="B2394" s="30" t="str">
        <x:v>F176</x:v>
      </x:c>
      <x:c r="C2394" s="30" t="str">
        <x:v>observation.coverage_estimate</x:v>
      </x:c>
      <x:c r="D2394" s="30" t="str">
        <x:v>候选输入schema</x:v>
      </x:c>
      <x:c r="E2394" s="30" t="str">
        <x:v>按执行角色权限读取；策略只能使用可访问快照</x:v>
      </x:c>
    </x:row>
    <x:row r="2395" ht="32" customHeight="1">
      <x:c r="A2395" s="30" t="str">
        <x:v>A027</x:v>
      </x:c>
      <x:c r="B2395" s="30" t="str">
        <x:v>F177</x:v>
      </x:c>
      <x:c r="C2395" s="30" t="str">
        <x:v>observation.processing_job_id</x:v>
      </x:c>
      <x:c r="D2395" s="30" t="str">
        <x:v>候选输入schema</x:v>
      </x:c>
      <x:c r="E2395" s="30" t="str">
        <x:v>按执行角色权限读取；策略只能使用可访问快照</x:v>
      </x:c>
    </x:row>
    <x:row r="2396" ht="32" customHeight="1">
      <x:c r="A2396" s="30" t="str">
        <x:v>A027</x:v>
      </x:c>
      <x:c r="B2396" s="30" t="str">
        <x:v>F178</x:v>
      </x:c>
      <x:c r="C2396" s="30" t="str">
        <x:v>observation.parent_evidence_ids</x:v>
      </x:c>
      <x:c r="D2396" s="30" t="str">
        <x:v>候选输入schema</x:v>
      </x:c>
      <x:c r="E2396" s="30" t="str">
        <x:v>按执行角色权限读取；策略只能使用可访问快照</x:v>
      </x:c>
    </x:row>
    <x:row r="2397" ht="32" customHeight="1">
      <x:c r="A2397" s="30" t="str">
        <x:v>A027</x:v>
      </x:c>
      <x:c r="B2397" s="30" t="str">
        <x:v>F179</x:v>
      </x:c>
      <x:c r="C2397" s="30" t="str">
        <x:v>observation.valid_until_s</x:v>
      </x:c>
      <x:c r="D2397" s="30" t="str">
        <x:v>候选输入schema</x:v>
      </x:c>
      <x:c r="E2397" s="30" t="str">
        <x:v>按执行角色权限读取；策略只能使用可访问快照</x:v>
      </x:c>
    </x:row>
    <x:row r="2398" ht="32" customHeight="1">
      <x:c r="A2398" s="30" t="str">
        <x:v>A027</x:v>
      </x:c>
      <x:c r="B2398" s="30" t="str">
        <x:v>F180</x:v>
      </x:c>
      <x:c r="C2398" s="30" t="str">
        <x:v>observation.mode</x:v>
      </x:c>
      <x:c r="D2398" s="30" t="str">
        <x:v>候选输入schema</x:v>
      </x:c>
      <x:c r="E2398" s="30" t="str">
        <x:v>按执行角色权限读取；策略只能使用可访问快照</x:v>
      </x:c>
    </x:row>
    <x:row r="2399" ht="32" customHeight="1">
      <x:c r="A2399" s="30" t="str">
        <x:v>A027</x:v>
      </x:c>
      <x:c r="B2399" s="30" t="str">
        <x:v>F196</x:v>
      </x:c>
      <x:c r="C2399" s="30" t="str">
        <x:v>task.type</x:v>
      </x:c>
      <x:c r="D2399" s="30" t="str">
        <x:v>候选输入schema</x:v>
      </x:c>
      <x:c r="E2399" s="30" t="str">
        <x:v>按执行角色权限读取；策略只能使用可访问快照</x:v>
      </x:c>
    </x:row>
    <x:row r="2400" ht="32" customHeight="1">
      <x:c r="A2400" s="30" t="str">
        <x:v>A027</x:v>
      </x:c>
      <x:c r="B2400" s="30" t="str">
        <x:v>F197</x:v>
      </x:c>
      <x:c r="C2400" s="30" t="str">
        <x:v>task.creator_id</x:v>
      </x:c>
      <x:c r="D2400" s="30" t="str">
        <x:v>候选输入schema</x:v>
      </x:c>
      <x:c r="E2400" s="30" t="str">
        <x:v>按执行角色权限读取；策略只能使用可访问快照</x:v>
      </x:c>
    </x:row>
    <x:row r="2401" ht="32" customHeight="1">
      <x:c r="A2401" s="30" t="str">
        <x:v>A027</x:v>
      </x:c>
      <x:c r="B2401" s="30" t="str">
        <x:v>F198</x:v>
      </x:c>
      <x:c r="C2401" s="30" t="str">
        <x:v>task.target_ref</x:v>
      </x:c>
      <x:c r="D2401" s="30" t="str">
        <x:v>候选输入schema</x:v>
      </x:c>
      <x:c r="E2401" s="30" t="str">
        <x:v>按执行角色权限读取；策略只能使用可访问快照</x:v>
      </x:c>
    </x:row>
    <x:row r="2402" ht="32" customHeight="1">
      <x:c r="A2402" s="30" t="str">
        <x:v>A027</x:v>
      </x:c>
      <x:c r="B2402" s="30" t="str">
        <x:v>F199</x:v>
      </x:c>
      <x:c r="C2402" s="30" t="str">
        <x:v>task.goal_predicate</x:v>
      </x:c>
      <x:c r="D2402" s="30" t="str">
        <x:v>候选输入schema</x:v>
      </x:c>
      <x:c r="E2402" s="30" t="str">
        <x:v>按执行角色权限读取；策略只能使用可访问快照</x:v>
      </x:c>
    </x:row>
    <x:row r="2403" ht="32" customHeight="1">
      <x:c r="A2403" s="30" t="str">
        <x:v>A027</x:v>
      </x:c>
      <x:c r="B2403" s="30" t="str">
        <x:v>F200</x:v>
      </x:c>
      <x:c r="C2403" s="30" t="str">
        <x:v>task.revision</x:v>
      </x:c>
      <x:c r="D2403" s="30" t="str">
        <x:v>候选输入schema</x:v>
      </x:c>
      <x:c r="E2403" s="30" t="str">
        <x:v>按执行角色权限读取；策略只能使用可访问快照</x:v>
      </x:c>
    </x:row>
    <x:row r="2404" ht="32" customHeight="1">
      <x:c r="A2404" s="30" t="str">
        <x:v>A027</x:v>
      </x:c>
      <x:c r="B2404" s="30" t="str">
        <x:v>F201</x:v>
      </x:c>
      <x:c r="C2404" s="30" t="str">
        <x:v>task.status</x:v>
      </x:c>
      <x:c r="D2404" s="30" t="str">
        <x:v>候选输入schema</x:v>
      </x:c>
      <x:c r="E2404" s="30" t="str">
        <x:v>按执行角色权限读取；策略只能使用可访问快照</x:v>
      </x:c>
    </x:row>
    <x:row r="2405" ht="32" customHeight="1">
      <x:c r="A2405" s="30" t="str">
        <x:v>A027</x:v>
      </x:c>
      <x:c r="B2405" s="30" t="str">
        <x:v>F202</x:v>
      </x:c>
      <x:c r="C2405" s="30" t="str">
        <x:v>task.priority</x:v>
      </x:c>
      <x:c r="D2405" s="30" t="str">
        <x:v>候选输入schema</x:v>
      </x:c>
      <x:c r="E2405" s="30" t="str">
        <x:v>按执行角色权限读取；策略只能使用可访问快照</x:v>
      </x:c>
    </x:row>
    <x:row r="2406" ht="32" customHeight="1">
      <x:c r="A2406" s="30" t="str">
        <x:v>A027</x:v>
      </x:c>
      <x:c r="B2406" s="30" t="str">
        <x:v>F203</x:v>
      </x:c>
      <x:c r="C2406" s="30" t="str">
        <x:v>task.deadline_s</x:v>
      </x:c>
      <x:c r="D2406" s="30" t="str">
        <x:v>候选输入schema</x:v>
      </x:c>
      <x:c r="E2406" s="30" t="str">
        <x:v>按执行角色权限读取；策略只能使用可访问快照</x:v>
      </x:c>
    </x:row>
    <x:row r="2407" ht="32" customHeight="1">
      <x:c r="A2407" s="30" t="str">
        <x:v>A027</x:v>
      </x:c>
      <x:c r="B2407" s="30" t="str">
        <x:v>F204</x:v>
      </x:c>
      <x:c r="C2407" s="30" t="str">
        <x:v>task.dependency_ids</x:v>
      </x:c>
      <x:c r="D2407" s="30" t="str">
        <x:v>候选输入schema</x:v>
      </x:c>
      <x:c r="E2407" s="30" t="str">
        <x:v>按执行角色权限读取；策略只能使用可访问快照</x:v>
      </x:c>
    </x:row>
    <x:row r="2408" ht="32" customHeight="1">
      <x:c r="A2408" s="30" t="str">
        <x:v>A027</x:v>
      </x:c>
      <x:c r="B2408" s="30" t="str">
        <x:v>F205</x:v>
      </x:c>
      <x:c r="C2408" s="30" t="str">
        <x:v>task.required_capability_ids</x:v>
      </x:c>
      <x:c r="D2408" s="30" t="str">
        <x:v>候选输入schema</x:v>
      </x:c>
      <x:c r="E2408" s="30" t="str">
        <x:v>按执行角色权限读取；策略只能使用可访问快照</x:v>
      </x:c>
    </x:row>
    <x:row r="2409" ht="32" customHeight="1">
      <x:c r="A2409" s="30" t="str">
        <x:v>A027</x:v>
      </x:c>
      <x:c r="B2409" s="30" t="str">
        <x:v>F206</x:v>
      </x:c>
      <x:c r="C2409" s="30" t="str">
        <x:v>task.resource_budget</x:v>
      </x:c>
      <x:c r="D2409" s="30" t="str">
        <x:v>候选输入schema</x:v>
      </x:c>
      <x:c r="E2409" s="30" t="str">
        <x:v>按执行角色权限读取；策略只能使用可访问快照</x:v>
      </x:c>
    </x:row>
    <x:row r="2410" ht="32" customHeight="1">
      <x:c r="A2410" s="30" t="str">
        <x:v>A027</x:v>
      </x:c>
      <x:c r="B2410" s="30" t="str">
        <x:v>F207</x:v>
      </x:c>
      <x:c r="C2410" s="30" t="str">
        <x:v>task.assigned_to</x:v>
      </x:c>
      <x:c r="D2410" s="30" t="str">
        <x:v>候选输入schema</x:v>
      </x:c>
      <x:c r="E2410" s="30" t="str">
        <x:v>按执行角色权限读取；策略只能使用可访问快照</x:v>
      </x:c>
    </x:row>
    <x:row r="2411" ht="32" customHeight="1">
      <x:c r="A2411" s="30" t="str">
        <x:v>A027</x:v>
      </x:c>
      <x:c r="B2411" s="30" t="str">
        <x:v>F208</x:v>
      </x:c>
      <x:c r="C2411" s="30" t="str">
        <x:v>task.accepted_by</x:v>
      </x:c>
      <x:c r="D2411" s="30" t="str">
        <x:v>候选输入schema</x:v>
      </x:c>
      <x:c r="E2411" s="30" t="str">
        <x:v>按执行角色权限读取；策略只能使用可访问快照</x:v>
      </x:c>
    </x:row>
    <x:row r="2412" ht="32" customHeight="1">
      <x:c r="A2412" s="30" t="str">
        <x:v>A027</x:v>
      </x:c>
      <x:c r="B2412" s="30" t="str">
        <x:v>F209</x:v>
      </x:c>
      <x:c r="C2412" s="30" t="str">
        <x:v>task.commitment_window</x:v>
      </x:c>
      <x:c r="D2412" s="30" t="str">
        <x:v>候选输入schema</x:v>
      </x:c>
      <x:c r="E2412" s="30" t="str">
        <x:v>按执行角色权限读取；策略只能使用可访问快照</x:v>
      </x:c>
    </x:row>
    <x:row r="2413" ht="32" customHeight="1">
      <x:c r="A2413" s="30" t="str">
        <x:v>A027</x:v>
      </x:c>
      <x:c r="B2413" s="30" t="str">
        <x:v>F210</x:v>
      </x:c>
      <x:c r="C2413" s="30" t="str">
        <x:v>task.progress</x:v>
      </x:c>
      <x:c r="D2413" s="30" t="str">
        <x:v>候选输入schema</x:v>
      </x:c>
      <x:c r="E2413" s="30" t="str">
        <x:v>按执行角色权限读取；策略只能使用可访问快照</x:v>
      </x:c>
    </x:row>
    <x:row r="2414" ht="32" customHeight="1">
      <x:c r="A2414" s="30" t="str">
        <x:v>A027</x:v>
      </x:c>
      <x:c r="B2414" s="30" t="str">
        <x:v>F211</x:v>
      </x:c>
      <x:c r="C2414" s="30" t="str">
        <x:v>task.active_action_ids</x:v>
      </x:c>
      <x:c r="D2414" s="30" t="str">
        <x:v>候选输入schema</x:v>
      </x:c>
      <x:c r="E2414" s="30" t="str">
        <x:v>按执行角色权限读取；策略只能使用可访问快照</x:v>
      </x:c>
    </x:row>
    <x:row r="2415" ht="32" customHeight="1">
      <x:c r="A2415" s="30" t="str">
        <x:v>A027</x:v>
      </x:c>
      <x:c r="B2415" s="30" t="str">
        <x:v>F212</x:v>
      </x:c>
      <x:c r="C2415" s="30" t="str">
        <x:v>task.interruptibility</x:v>
      </x:c>
      <x:c r="D2415" s="30" t="str">
        <x:v>候选输入schema</x:v>
      </x:c>
      <x:c r="E2415" s="30" t="str">
        <x:v>按执行角色权限读取；策略只能使用可访问快照</x:v>
      </x:c>
    </x:row>
    <x:row r="2416" ht="32" customHeight="1">
      <x:c r="A2416" s="30" t="str">
        <x:v>A027</x:v>
      </x:c>
      <x:c r="B2416" s="30" t="str">
        <x:v>F213</x:v>
      </x:c>
      <x:c r="C2416" s="30" t="str">
        <x:v>task.original_task_id</x:v>
      </x:c>
      <x:c r="D2416" s="30" t="str">
        <x:v>候选输入schema</x:v>
      </x:c>
      <x:c r="E2416" s="30" t="str">
        <x:v>按执行角色权限读取；策略只能使用可访问快照</x:v>
      </x:c>
    </x:row>
    <x:row r="2417" ht="32" customHeight="1">
      <x:c r="A2417" s="30" t="str">
        <x:v>A027</x:v>
      </x:c>
      <x:c r="B2417" s="30" t="str">
        <x:v>F214</x:v>
      </x:c>
      <x:c r="C2417" s="30" t="str">
        <x:v>task.resume_checkpoint</x:v>
      </x:c>
      <x:c r="D2417" s="30" t="str">
        <x:v>候选输入schema</x:v>
      </x:c>
      <x:c r="E2417" s="30" t="str">
        <x:v>按执行角色权限读取；策略只能使用可访问快照</x:v>
      </x:c>
    </x:row>
    <x:row r="2418" ht="32" customHeight="1">
      <x:c r="A2418" s="30" t="str">
        <x:v>A027</x:v>
      </x:c>
      <x:c r="B2418" s="30" t="str">
        <x:v>F215</x:v>
      </x:c>
      <x:c r="C2418" s="30" t="str">
        <x:v>task.handoff_target_id</x:v>
      </x:c>
      <x:c r="D2418" s="30" t="str">
        <x:v>候选输入schema</x:v>
      </x:c>
      <x:c r="E2418" s="30" t="str">
        <x:v>按执行角色权限读取；策略只能使用可访问快照</x:v>
      </x:c>
    </x:row>
    <x:row r="2419" ht="32" customHeight="1">
      <x:c r="A2419" s="30" t="str">
        <x:v>A027</x:v>
      </x:c>
      <x:c r="B2419" s="30" t="str">
        <x:v>F216</x:v>
      </x:c>
      <x:c r="C2419" s="30" t="str">
        <x:v>task.result_evidence_ids</x:v>
      </x:c>
      <x:c r="D2419" s="30" t="str">
        <x:v>候选输入schema</x:v>
      </x:c>
      <x:c r="E2419" s="30" t="str">
        <x:v>按执行角色权限读取；策略只能使用可访问快照</x:v>
      </x:c>
    </x:row>
    <x:row r="2420" ht="32" customHeight="1">
      <x:c r="A2420" s="30" t="str">
        <x:v>A027</x:v>
      </x:c>
      <x:c r="B2420" s="30" t="str">
        <x:v>F217</x:v>
      </x:c>
      <x:c r="C2420" s="30" t="str">
        <x:v>task.failure_reason</x:v>
      </x:c>
      <x:c r="D2420" s="30" t="str">
        <x:v>候选输入schema</x:v>
      </x:c>
      <x:c r="E2420" s="30" t="str">
        <x:v>按执行角色权限读取；策略只能使用可访问快照</x:v>
      </x:c>
    </x:row>
    <x:row r="2421" ht="32" customHeight="1">
      <x:c r="A2421" s="30" t="str">
        <x:v>A027</x:v>
      </x:c>
      <x:c r="B2421" s="30" t="str">
        <x:v>F218</x:v>
      </x:c>
      <x:c r="C2421" s="30" t="str">
        <x:v>task.last_event_s</x:v>
      </x:c>
      <x:c r="D2421" s="30" t="str">
        <x:v>候选输入schema</x:v>
      </x:c>
      <x:c r="E2421" s="30" t="str">
        <x:v>按执行角色权限读取；策略只能使用可访问快照</x:v>
      </x:c>
    </x:row>
    <x:row r="2422" ht="32" customHeight="1">
      <x:c r="A2422" s="30" t="str">
        <x:v>A027</x:v>
      </x:c>
      <x:c r="B2422" s="30" t="str">
        <x:v>F219</x:v>
      </x:c>
      <x:c r="C2422" s="30" t="str">
        <x:v>task.opportunity_cost</x:v>
      </x:c>
      <x:c r="D2422" s="30" t="str">
        <x:v>候选输入schema</x:v>
      </x:c>
      <x:c r="E2422" s="30" t="str">
        <x:v>按执行角色权限读取；策略只能使用可访问快照</x:v>
      </x:c>
    </x:row>
    <x:row r="2423" ht="32" customHeight="1">
      <x:c r="A2423" s="30" t="str">
        <x:v>A027</x:v>
      </x:c>
      <x:c r="B2423" s="30" t="str">
        <x:v>F275</x:v>
      </x:c>
      <x:c r="C2423" s="30" t="str">
        <x:v>message.kind</x:v>
      </x:c>
      <x:c r="D2423" s="30" t="str">
        <x:v>候选输入schema</x:v>
      </x:c>
      <x:c r="E2423" s="30" t="str">
        <x:v>按执行角色权限读取；策略只能使用可访问快照</x:v>
      </x:c>
    </x:row>
    <x:row r="2424" ht="32" customHeight="1">
      <x:c r="A2424" s="30" t="str">
        <x:v>A027</x:v>
      </x:c>
      <x:c r="B2424" s="30" t="str">
        <x:v>F276</x:v>
      </x:c>
      <x:c r="C2424" s="30" t="str">
        <x:v>message.sender_id</x:v>
      </x:c>
      <x:c r="D2424" s="30" t="str">
        <x:v>候选输入schema</x:v>
      </x:c>
      <x:c r="E2424" s="30" t="str">
        <x:v>按执行角色权限读取；策略只能使用可访问快照</x:v>
      </x:c>
    </x:row>
    <x:row r="2425" ht="32" customHeight="1">
      <x:c r="A2425" s="30" t="str">
        <x:v>A027</x:v>
      </x:c>
      <x:c r="B2425" s="30" t="str">
        <x:v>F277</x:v>
      </x:c>
      <x:c r="C2425" s="30" t="str">
        <x:v>message.receiver_ids</x:v>
      </x:c>
      <x:c r="D2425" s="30" t="str">
        <x:v>候选输入schema</x:v>
      </x:c>
      <x:c r="E2425" s="30" t="str">
        <x:v>按执行角色权限读取；策略只能使用可访问快照</x:v>
      </x:c>
    </x:row>
    <x:row r="2426" ht="32" customHeight="1">
      <x:c r="A2426" s="30" t="str">
        <x:v>A027</x:v>
      </x:c>
      <x:c r="B2426" s="30" t="str">
        <x:v>F278</x:v>
      </x:c>
      <x:c r="C2426" s="30" t="str">
        <x:v>message.payload_ref</x:v>
      </x:c>
      <x:c r="D2426" s="30" t="str">
        <x:v>候选输入schema</x:v>
      </x:c>
      <x:c r="E2426" s="30" t="str">
        <x:v>按执行角色权限读取；策略只能使用可访问快照</x:v>
      </x:c>
    </x:row>
    <x:row r="2427" ht="32" customHeight="1">
      <x:c r="A2427" s="30" t="str">
        <x:v>A027</x:v>
      </x:c>
      <x:c r="B2427" s="30" t="str">
        <x:v>F279</x:v>
      </x:c>
      <x:c r="C2427" s="30" t="str">
        <x:v>message.size_bytes</x:v>
      </x:c>
      <x:c r="D2427" s="30" t="str">
        <x:v>候选输入schema</x:v>
      </x:c>
      <x:c r="E2427" s="30" t="str">
        <x:v>按执行角色权限读取；策略只能使用可访问快照</x:v>
      </x:c>
    </x:row>
    <x:row r="2428" ht="32" customHeight="1">
      <x:c r="A2428" s="30" t="str">
        <x:v>A027</x:v>
      </x:c>
      <x:c r="B2428" s="30" t="str">
        <x:v>F280</x:v>
      </x:c>
      <x:c r="C2428" s="30" t="str">
        <x:v>message.fragment_count</x:v>
      </x:c>
      <x:c r="D2428" s="30" t="str">
        <x:v>候选输入schema</x:v>
      </x:c>
      <x:c r="E2428" s="30" t="str">
        <x:v>按执行角色权限读取；策略只能使用可访问快照</x:v>
      </x:c>
    </x:row>
    <x:row r="2429" ht="32" customHeight="1">
      <x:c r="A2429" s="30" t="str">
        <x:v>A027</x:v>
      </x:c>
      <x:c r="B2429" s="30" t="str">
        <x:v>F281</x:v>
      </x:c>
      <x:c r="C2429" s="30" t="str">
        <x:v>message.received_fragments</x:v>
      </x:c>
      <x:c r="D2429" s="30" t="str">
        <x:v>候选输入schema</x:v>
      </x:c>
      <x:c r="E2429" s="30" t="str">
        <x:v>按执行角色权限读取；策略只能使用可访问快照</x:v>
      </x:c>
    </x:row>
    <x:row r="2430" ht="32" customHeight="1">
      <x:c r="A2430" s="30" t="str">
        <x:v>A027</x:v>
      </x:c>
      <x:c r="B2430" s="30" t="str">
        <x:v>F282</x:v>
      </x:c>
      <x:c r="C2430" s="30" t="str">
        <x:v>message.content_hash</x:v>
      </x:c>
      <x:c r="D2430" s="30" t="str">
        <x:v>候选输入schema</x:v>
      </x:c>
      <x:c r="E2430" s="30" t="str">
        <x:v>按执行角色权限读取；策略只能使用可访问快照</x:v>
      </x:c>
    </x:row>
    <x:row r="2431" ht="32" customHeight="1">
      <x:c r="A2431" s="30" t="str">
        <x:v>A027</x:v>
      </x:c>
      <x:c r="B2431" s="30" t="str">
        <x:v>F283</x:v>
      </x:c>
      <x:c r="C2431" s="30" t="str">
        <x:v>message.priority</x:v>
      </x:c>
      <x:c r="D2431" s="30" t="str">
        <x:v>候选输入schema</x:v>
      </x:c>
      <x:c r="E2431" s="30" t="str">
        <x:v>按执行角色权限读取；策略只能使用可访问快照</x:v>
      </x:c>
    </x:row>
    <x:row r="2432" ht="32" customHeight="1">
      <x:c r="A2432" s="30" t="str">
        <x:v>A027</x:v>
      </x:c>
      <x:c r="B2432" s="30" t="str">
        <x:v>F284</x:v>
      </x:c>
      <x:c r="C2432" s="30" t="str">
        <x:v>message.ttl_s</x:v>
      </x:c>
      <x:c r="D2432" s="30" t="str">
        <x:v>候选输入schema</x:v>
      </x:c>
      <x:c r="E2432" s="30" t="str">
        <x:v>按执行角色权限读取；策略只能使用可访问快照</x:v>
      </x:c>
    </x:row>
    <x:row r="2433" ht="32" customHeight="1">
      <x:c r="A2433" s="30" t="str">
        <x:v>A027</x:v>
      </x:c>
      <x:c r="B2433" s="30" t="str">
        <x:v>F285</x:v>
      </x:c>
      <x:c r="C2433" s="30" t="str">
        <x:v>message.status</x:v>
      </x:c>
      <x:c r="D2433" s="30" t="str">
        <x:v>候选输入schema</x:v>
      </x:c>
      <x:c r="E2433" s="30" t="str">
        <x:v>按执行角色权限读取；策略只能使用可访问快照</x:v>
      </x:c>
    </x:row>
    <x:row r="2434" ht="32" customHeight="1">
      <x:c r="A2434" s="30" t="str">
        <x:v>A027</x:v>
      </x:c>
      <x:c r="B2434" s="30" t="str">
        <x:v>F286</x:v>
      </x:c>
      <x:c r="C2434" s="30" t="str">
        <x:v>message.sent_s</x:v>
      </x:c>
      <x:c r="D2434" s="30" t="str">
        <x:v>候选输入schema</x:v>
      </x:c>
      <x:c r="E2434" s="30" t="str">
        <x:v>按执行角色权限读取；策略只能使用可访问快照</x:v>
      </x:c>
    </x:row>
    <x:row r="2435" ht="32" customHeight="1">
      <x:c r="A2435" s="30" t="str">
        <x:v>A027</x:v>
      </x:c>
      <x:c r="B2435" s="30" t="str">
        <x:v>F287</x:v>
      </x:c>
      <x:c r="C2435" s="30" t="str">
        <x:v>message.delivered_s</x:v>
      </x:c>
      <x:c r="D2435" s="30" t="str">
        <x:v>候选输入schema</x:v>
      </x:c>
      <x:c r="E2435" s="30" t="str">
        <x:v>按执行角色权限读取；策略只能使用可访问快照</x:v>
      </x:c>
    </x:row>
    <x:row r="2436" ht="32" customHeight="1">
      <x:c r="A2436" s="30" t="str">
        <x:v>A027</x:v>
      </x:c>
      <x:c r="B2436" s="30" t="str">
        <x:v>F288</x:v>
      </x:c>
      <x:c r="C2436" s="30" t="str">
        <x:v>message.ack_state</x:v>
      </x:c>
      <x:c r="D2436" s="30" t="str">
        <x:v>候选输入schema</x:v>
      </x:c>
      <x:c r="E2436" s="30" t="str">
        <x:v>按执行角色权限读取；策略只能使用可访问快照</x:v>
      </x:c>
    </x:row>
    <x:row r="2437" ht="32" customHeight="1">
      <x:c r="A2437" s="30" t="str">
        <x:v>A027</x:v>
      </x:c>
      <x:c r="B2437" s="30" t="str">
        <x:v>F289</x:v>
      </x:c>
      <x:c r="C2437" s="30" t="str">
        <x:v>message.retry_count</x:v>
      </x:c>
      <x:c r="D2437" s="30" t="str">
        <x:v>候选输入schema</x:v>
      </x:c>
      <x:c r="E2437" s="30" t="str">
        <x:v>按执行角色权限读取；策略只能使用可访问快照</x:v>
      </x:c>
    </x:row>
    <x:row r="2438" ht="32" customHeight="1">
      <x:c r="A2438" s="30" t="str">
        <x:v>A027</x:v>
      </x:c>
      <x:c r="B2438" s="30" t="str">
        <x:v>F290</x:v>
      </x:c>
      <x:c r="C2438" s="30" t="str">
        <x:v>message.hop_trace</x:v>
      </x:c>
      <x:c r="D2438" s="30" t="str">
        <x:v>候选输入schema</x:v>
      </x:c>
      <x:c r="E2438" s="30" t="str">
        <x:v>按执行角色权限读取；策略只能使用可访问快照</x:v>
      </x:c>
    </x:row>
    <x:row r="2439" ht="32" customHeight="1">
      <x:c r="A2439" s="30" t="str">
        <x:v>A027</x:v>
      </x:c>
      <x:c r="B2439" s="30" t="str">
        <x:v>F291</x:v>
      </x:c>
      <x:c r="C2439" s="30" t="str">
        <x:v>message.correlation_id</x:v>
      </x:c>
      <x:c r="D2439" s="30" t="str">
        <x:v>候选输入schema</x:v>
      </x:c>
      <x:c r="E2439" s="30" t="str">
        <x:v>按执行角色权限读取；策略只能使用可访问快照</x:v>
      </x:c>
    </x:row>
    <x:row r="2440" ht="32" customHeight="1">
      <x:c r="A2440" s="30" t="str">
        <x:v>A027</x:v>
      </x:c>
      <x:c r="B2440" s="30" t="str">
        <x:v>F292</x:v>
      </x:c>
      <x:c r="C2440" s="30" t="str">
        <x:v>message.local_availability</x:v>
      </x:c>
      <x:c r="D2440" s="30" t="str">
        <x:v>候选输入schema</x:v>
      </x:c>
      <x:c r="E2440" s="30" t="str">
        <x:v>按执行角色权限读取；策略只能使用可访问快照</x:v>
      </x:c>
    </x:row>
    <x:row r="2441" ht="32" customHeight="1">
      <x:c r="A2441" s="30" t="str">
        <x:v>A027</x:v>
      </x:c>
      <x:c r="B2441" s="30" t="str">
        <x:v>F139</x:v>
      </x:c>
      <x:c r="C2441" s="30" t="str">
        <x:v>item.receipt_id</x:v>
      </x:c>
      <x:c r="D2441" s="30" t="str">
        <x:v>直接效果</x:v>
      </x:c>
      <x:c r="E2441" s="30" t="str">
        <x:v>经实际执行/回执提交；不是规划时提前修改</x:v>
      </x:c>
    </x:row>
    <x:row r="2442" ht="32" customHeight="1">
      <x:c r="A2442" s="30" t="str">
        <x:v>A027</x:v>
      </x:c>
      <x:c r="B2442" s="30" t="str">
        <x:v>F133</x:v>
      </x:c>
      <x:c r="C2442" s="30" t="str">
        <x:v>item.state</x:v>
      </x:c>
      <x:c r="D2442" s="30" t="str">
        <x:v>直接效果</x:v>
      </x:c>
      <x:c r="E2442" s="30" t="str">
        <x:v>经实际执行/回执提交；不是规划时提前修改</x:v>
      </x:c>
    </x:row>
    <x:row r="2443" ht="32" customHeight="1">
      <x:c r="A2443" s="30" t="str">
        <x:v>A027</x:v>
      </x:c>
      <x:c r="B2443" s="30" t="str">
        <x:v>F082</x:v>
      </x:c>
      <x:c r="C2443" s="30" t="str">
        <x:v>human.support_received</x:v>
      </x:c>
      <x:c r="D2443" s="30" t="str">
        <x:v>直接效果</x:v>
      </x:c>
      <x:c r="E2443" s="30" t="str">
        <x:v>经实际执行/回执提交；不是规划时提前修改</x:v>
      </x:c>
    </x:row>
    <x:row r="2444" ht="32" customHeight="1">
      <x:c r="A2444" s="30" t="str">
        <x:v>A028</x:v>
      </x:c>
      <x:c r="B2444" s="30" t="str">
        <x:v>F095</x:v>
      </x:c>
      <x:c r="C2444" s="30" t="str">
        <x:v>platform.kind</x:v>
      </x:c>
      <x:c r="D2444" s="30" t="str">
        <x:v>候选输入schema</x:v>
      </x:c>
      <x:c r="E2444" s="30" t="str">
        <x:v>按执行角色权限读取；策略只能使用可访问快照</x:v>
      </x:c>
    </x:row>
    <x:row r="2445" ht="32" customHeight="1">
      <x:c r="A2445" s="30" t="str">
        <x:v>A028</x:v>
      </x:c>
      <x:c r="B2445" s="30" t="str">
        <x:v>F096</x:v>
      </x:c>
      <x:c r="C2445" s="30" t="str">
        <x:v>platform.capability_ids</x:v>
      </x:c>
      <x:c r="D2445" s="30" t="str">
        <x:v>候选输入schema</x:v>
      </x:c>
      <x:c r="E2445" s="30" t="str">
        <x:v>按执行角色权限读取；策略只能使用可访问快照</x:v>
      </x:c>
    </x:row>
    <x:row r="2446" ht="32" customHeight="1">
      <x:c r="A2446" s="30" t="str">
        <x:v>A028</x:v>
      </x:c>
      <x:c r="B2446" s="30" t="str">
        <x:v>F097</x:v>
      </x:c>
      <x:c r="C2446" s="30" t="str">
        <x:v>platform.equipment_ids</x:v>
      </x:c>
      <x:c r="D2446" s="30" t="str">
        <x:v>候选输入schema</x:v>
      </x:c>
      <x:c r="E2446" s="30" t="str">
        <x:v>按执行角色权限读取；策略只能使用可访问快照</x:v>
      </x:c>
    </x:row>
    <x:row r="2447" ht="32" customHeight="1">
      <x:c r="A2447" s="30" t="str">
        <x:v>A028</x:v>
      </x:c>
      <x:c r="B2447" s="30" t="str">
        <x:v>F098</x:v>
      </x:c>
      <x:c r="C2447" s="30" t="str">
        <x:v>platform.width_m</x:v>
      </x:c>
      <x:c r="D2447" s="30" t="str">
        <x:v>候选输入schema</x:v>
      </x:c>
      <x:c r="E2447" s="30" t="str">
        <x:v>按执行角色权限读取；策略只能使用可访问快照</x:v>
      </x:c>
    </x:row>
    <x:row r="2448" ht="32" customHeight="1">
      <x:c r="A2448" s="30" t="str">
        <x:v>A028</x:v>
      </x:c>
      <x:c r="B2448" s="30" t="str">
        <x:v>F099</x:v>
      </x:c>
      <x:c r="C2448" s="30" t="str">
        <x:v>platform.height_m</x:v>
      </x:c>
      <x:c r="D2448" s="30" t="str">
        <x:v>候选输入schema</x:v>
      </x:c>
      <x:c r="E2448" s="30" t="str">
        <x:v>按执行角色权限读取；策略只能使用可访问快照</x:v>
      </x:c>
    </x:row>
    <x:row r="2449" ht="32" customHeight="1">
      <x:c r="A2449" s="30" t="str">
        <x:v>A028</x:v>
      </x:c>
      <x:c r="B2449" s="30" t="str">
        <x:v>F100</x:v>
      </x:c>
      <x:c r="C2449" s="30" t="str">
        <x:v>platform.swept_radius_m</x:v>
      </x:c>
      <x:c r="D2449" s="30" t="str">
        <x:v>候选输入schema</x:v>
      </x:c>
      <x:c r="E2449" s="30" t="str">
        <x:v>按执行角色权限读取；策略只能使用可访问快照</x:v>
      </x:c>
    </x:row>
    <x:row r="2450" ht="32" customHeight="1">
      <x:c r="A2450" s="30" t="str">
        <x:v>A028</x:v>
      </x:c>
      <x:c r="B2450" s="30" t="str">
        <x:v>F101</x:v>
      </x:c>
      <x:c r="C2450" s="30" t="str">
        <x:v>platform.payload_capacity_kg</x:v>
      </x:c>
      <x:c r="D2450" s="30" t="str">
        <x:v>候选输入schema</x:v>
      </x:c>
      <x:c r="E2450" s="30" t="str">
        <x:v>按执行角色权限读取；策略只能使用可访问快照</x:v>
      </x:c>
    </x:row>
    <x:row r="2451" ht="32" customHeight="1">
      <x:c r="A2451" s="30" t="str">
        <x:v>A028</x:v>
      </x:c>
      <x:c r="B2451" s="30" t="str">
        <x:v>F102</x:v>
      </x:c>
      <x:c r="C2451" s="30" t="str">
        <x:v>platform.payload_used_kg</x:v>
      </x:c>
      <x:c r="D2451" s="30" t="str">
        <x:v>候选输入schema</x:v>
      </x:c>
      <x:c r="E2451" s="30" t="str">
        <x:v>按执行角色权限读取；策略只能使用可访问快照</x:v>
      </x:c>
    </x:row>
    <x:row r="2452" ht="32" customHeight="1">
      <x:c r="A2452" s="30" t="str">
        <x:v>A028</x:v>
      </x:c>
      <x:c r="B2452" s="30" t="str">
        <x:v>F103</x:v>
      </x:c>
      <x:c r="C2452" s="30" t="str">
        <x:v>platform.payload_item_ids</x:v>
      </x:c>
      <x:c r="D2452" s="30" t="str">
        <x:v>候选输入schema</x:v>
      </x:c>
      <x:c r="E2452" s="30" t="str">
        <x:v>按执行角色权限读取；策略只能使用可访问快照</x:v>
      </x:c>
    </x:row>
    <x:row r="2453" ht="32" customHeight="1">
      <x:c r="A2453" s="30" t="str">
        <x:v>A028</x:v>
      </x:c>
      <x:c r="B2453" s="30" t="str">
        <x:v>F104</x:v>
      </x:c>
      <x:c r="C2453" s="30" t="str">
        <x:v>platform.battery_capacity_Wh</x:v>
      </x:c>
      <x:c r="D2453" s="30" t="str">
        <x:v>候选输入schema</x:v>
      </x:c>
      <x:c r="E2453" s="30" t="str">
        <x:v>按执行角色权限读取；策略只能使用可访问快照</x:v>
      </x:c>
    </x:row>
    <x:row r="2454" ht="32" customHeight="1">
      <x:c r="A2454" s="30" t="str">
        <x:v>A028</x:v>
      </x:c>
      <x:c r="B2454" s="30" t="str">
        <x:v>F105</x:v>
      </x:c>
      <x:c r="C2454" s="30" t="str">
        <x:v>platform.battery_remaining_Wh</x:v>
      </x:c>
      <x:c r="D2454" s="30" t="str">
        <x:v>候选输入schema</x:v>
      </x:c>
      <x:c r="E2454" s="30" t="str">
        <x:v>按执行角色权限读取；策略只能使用可访问快照</x:v>
      </x:c>
    </x:row>
    <x:row r="2455" ht="32" customHeight="1">
      <x:c r="A2455" s="30" t="str">
        <x:v>A028</x:v>
      </x:c>
      <x:c r="B2455" s="30" t="str">
        <x:v>F106</x:v>
      </x:c>
      <x:c r="C2455" s="30" t="str">
        <x:v>platform.reserve_Wh</x:v>
      </x:c>
      <x:c r="D2455" s="30" t="str">
        <x:v>候选输入schema</x:v>
      </x:c>
      <x:c r="E2455" s="30" t="str">
        <x:v>按执行角色权限读取；策略只能使用可访问快照</x:v>
      </x:c>
    </x:row>
    <x:row r="2456" ht="32" customHeight="1">
      <x:c r="A2456" s="30" t="str">
        <x:v>A028</x:v>
      </x:c>
      <x:c r="B2456" s="30" t="str">
        <x:v>F107</x:v>
      </x:c>
      <x:c r="C2456" s="30" t="str">
        <x:v>platform.speed_limit_mps</x:v>
      </x:c>
      <x:c r="D2456" s="30" t="str">
        <x:v>候选输入schema</x:v>
      </x:c>
      <x:c r="E2456" s="30" t="str">
        <x:v>按执行角色权限读取；策略只能使用可访问快照</x:v>
      </x:c>
    </x:row>
    <x:row r="2457" ht="32" customHeight="1">
      <x:c r="A2457" s="30" t="str">
        <x:v>A028</x:v>
      </x:c>
      <x:c r="B2457" s="30" t="str">
        <x:v>F108</x:v>
      </x:c>
      <x:c r="C2457" s="30" t="str">
        <x:v>platform.energy_model</x:v>
      </x:c>
      <x:c r="D2457" s="30" t="str">
        <x:v>候选输入schema</x:v>
      </x:c>
      <x:c r="E2457" s="30" t="str">
        <x:v>按执行角色权限读取；策略只能使用可访问快照</x:v>
      </x:c>
    </x:row>
    <x:row r="2458" ht="32" customHeight="1">
      <x:c r="A2458" s="30" t="str">
        <x:v>A028</x:v>
      </x:c>
      <x:c r="B2458" s="30" t="str">
        <x:v>F109</x:v>
      </x:c>
      <x:c r="C2458" s="30" t="str">
        <x:v>platform.motion_state</x:v>
      </x:c>
      <x:c r="D2458" s="30" t="str">
        <x:v>候选输入schema</x:v>
      </x:c>
      <x:c r="E2458" s="30" t="str">
        <x:v>按执行角色权限读取；策略只能使用可访问快照</x:v>
      </x:c>
    </x:row>
    <x:row r="2459" ht="32" customHeight="1">
      <x:c r="A2459" s="30" t="str">
        <x:v>A028</x:v>
      </x:c>
      <x:c r="B2459" s="30" t="str">
        <x:v>F110</x:v>
      </x:c>
      <x:c r="C2459" s="30" t="str">
        <x:v>platform.health_state</x:v>
      </x:c>
      <x:c r="D2459" s="30" t="str">
        <x:v>候选输入schema</x:v>
      </x:c>
      <x:c r="E2459" s="30" t="str">
        <x:v>按执行角色权限读取；策略只能使用可访问快照</x:v>
      </x:c>
    </x:row>
    <x:row r="2460" ht="32" customHeight="1">
      <x:c r="A2460" s="30" t="str">
        <x:v>A028</x:v>
      </x:c>
      <x:c r="B2460" s="30" t="str">
        <x:v>F111</x:v>
      </x:c>
      <x:c r="C2460" s="30" t="str">
        <x:v>platform.current_action_id</x:v>
      </x:c>
      <x:c r="D2460" s="30" t="str">
        <x:v>候选输入schema</x:v>
      </x:c>
      <x:c r="E2460" s="30" t="str">
        <x:v>按执行角色权限读取；策略只能使用可访问快照</x:v>
      </x:c>
    </x:row>
    <x:row r="2461" ht="32" customHeight="1">
      <x:c r="A2461" s="30" t="str">
        <x:v>A028</x:v>
      </x:c>
      <x:c r="B2461" s="30" t="str">
        <x:v>F112</x:v>
      </x:c>
      <x:c r="C2461" s="30" t="str">
        <x:v>platform.busy_until_est_s</x:v>
      </x:c>
      <x:c r="D2461" s="30" t="str">
        <x:v>候选输入schema</x:v>
      </x:c>
      <x:c r="E2461" s="30" t="str">
        <x:v>按执行角色权限读取；策略只能使用可访问快照</x:v>
      </x:c>
    </x:row>
    <x:row r="2462" ht="32" customHeight="1">
      <x:c r="A2462" s="30" t="str">
        <x:v>A028</x:v>
      </x:c>
      <x:c r="B2462" s="30" t="str">
        <x:v>F113</x:v>
      </x:c>
      <x:c r="C2462" s="30" t="str">
        <x:v>platform.return_site_id</x:v>
      </x:c>
      <x:c r="D2462" s="30" t="str">
        <x:v>候选输入schema</x:v>
      </x:c>
      <x:c r="E2462" s="30" t="str">
        <x:v>按执行角色权限读取；策略只能使用可访问快照</x:v>
      </x:c>
    </x:row>
    <x:row r="2463" ht="32" customHeight="1">
      <x:c r="A2463" s="30" t="str">
        <x:v>A028</x:v>
      </x:c>
      <x:c r="B2463" s="30" t="str">
        <x:v>F114</x:v>
      </x:c>
      <x:c r="C2463" s="30" t="str">
        <x:v>platform.water_tolerance_m</x:v>
      </x:c>
      <x:c r="D2463" s="30" t="str">
        <x:v>候选输入schema</x:v>
      </x:c>
      <x:c r="E2463" s="30" t="str">
        <x:v>按执行角色权限读取；策略只能使用可访问快照</x:v>
      </x:c>
    </x:row>
    <x:row r="2464" ht="32" customHeight="1">
      <x:c r="A2464" s="30" t="str">
        <x:v>A028</x:v>
      </x:c>
      <x:c r="B2464" s="30" t="str">
        <x:v>F115</x:v>
      </x:c>
      <x:c r="C2464" s="30" t="str">
        <x:v>platform.concurrency_policy</x:v>
      </x:c>
      <x:c r="D2464" s="30" t="str">
        <x:v>候选输入schema</x:v>
      </x:c>
      <x:c r="E2464" s="30" t="str">
        <x:v>按执行角色权限读取；策略只能使用可访问快照</x:v>
      </x:c>
    </x:row>
    <x:row r="2465" ht="32" customHeight="1">
      <x:c r="A2465" s="30" t="str">
        <x:v>A028</x:v>
      </x:c>
      <x:c r="B2465" s="30" t="str">
        <x:v>F116</x:v>
      </x:c>
      <x:c r="C2465" s="30" t="str">
        <x:v>equipment.kind</x:v>
      </x:c>
      <x:c r="D2465" s="30" t="str">
        <x:v>候选输入schema</x:v>
      </x:c>
      <x:c r="E2465" s="30" t="str">
        <x:v>按执行角色权限读取；策略只能使用可访问快照</x:v>
      </x:c>
    </x:row>
    <x:row r="2466" ht="32" customHeight="1">
      <x:c r="A2466" s="30" t="str">
        <x:v>A028</x:v>
      </x:c>
      <x:c r="B2466" s="30" t="str">
        <x:v>F117</x:v>
      </x:c>
      <x:c r="C2466" s="30" t="str">
        <x:v>equipment.enabled</x:v>
      </x:c>
      <x:c r="D2466" s="30" t="str">
        <x:v>候选输入schema</x:v>
      </x:c>
      <x:c r="E2466" s="30" t="str">
        <x:v>按执行角色权限读取；策略只能使用可访问快照</x:v>
      </x:c>
    </x:row>
    <x:row r="2467" ht="32" customHeight="1">
      <x:c r="A2467" s="30" t="str">
        <x:v>A028</x:v>
      </x:c>
      <x:c r="B2467" s="30" t="str">
        <x:v>F118</x:v>
      </x:c>
      <x:c r="C2467" s="30" t="str">
        <x:v>equipment.health</x:v>
      </x:c>
      <x:c r="D2467" s="30" t="str">
        <x:v>候选输入schema</x:v>
      </x:c>
      <x:c r="E2467" s="30" t="str">
        <x:v>按执行角色权限读取；策略只能使用可访问快照</x:v>
      </x:c>
    </x:row>
    <x:row r="2468" ht="32" customHeight="1">
      <x:c r="A2468" s="30" t="str">
        <x:v>A028</x:v>
      </x:c>
      <x:c r="B2468" s="30" t="str">
        <x:v>F119</x:v>
      </x:c>
      <x:c r="C2468" s="30" t="str">
        <x:v>equipment.rated_load_kg</x:v>
      </x:c>
      <x:c r="D2468" s="30" t="str">
        <x:v>候选输入schema</x:v>
      </x:c>
      <x:c r="E2468" s="30" t="str">
        <x:v>按执行角色权限读取；策略只能使用可访问快照</x:v>
      </x:c>
    </x:row>
    <x:row r="2469" ht="32" customHeight="1">
      <x:c r="A2469" s="30" t="str">
        <x:v>A028</x:v>
      </x:c>
      <x:c r="B2469" s="30" t="str">
        <x:v>F120</x:v>
      </x:c>
      <x:c r="C2469" s="30" t="str">
        <x:v>equipment.reach_m</x:v>
      </x:c>
      <x:c r="D2469" s="30" t="str">
        <x:v>候选输入schema</x:v>
      </x:c>
      <x:c r="E2469" s="30" t="str">
        <x:v>按执行角色权限读取；策略只能使用可访问快照</x:v>
      </x:c>
    </x:row>
    <x:row r="2470" ht="32" customHeight="1">
      <x:c r="A2470" s="30" t="str">
        <x:v>A028</x:v>
      </x:c>
      <x:c r="B2470" s="30" t="str">
        <x:v>F121</x:v>
      </x:c>
      <x:c r="C2470" s="30" t="str">
        <x:v>equipment.compatible_materials</x:v>
      </x:c>
      <x:c r="D2470" s="30" t="str">
        <x:v>候选输入schema</x:v>
      </x:c>
      <x:c r="E2470" s="30" t="str">
        <x:v>按执行角色权限读取；策略只能使用可访问快照</x:v>
      </x:c>
    </x:row>
    <x:row r="2471" ht="32" customHeight="1">
      <x:c r="A2471" s="30" t="str">
        <x:v>A028</x:v>
      </x:c>
      <x:c r="B2471" s="30" t="str">
        <x:v>F122</x:v>
      </x:c>
      <x:c r="C2471" s="30" t="str">
        <x:v>equipment.tool_size</x:v>
      </x:c>
      <x:c r="D2471" s="30" t="str">
        <x:v>候选输入schema</x:v>
      </x:c>
      <x:c r="E2471" s="30" t="str">
        <x:v>按执行角色权限读取；策略只能使用可访问快照</x:v>
      </x:c>
    </x:row>
    <x:row r="2472" ht="32" customHeight="1">
      <x:c r="A2472" s="30" t="str">
        <x:v>A028</x:v>
      </x:c>
      <x:c r="B2472" s="30" t="str">
        <x:v>F123</x:v>
      </x:c>
      <x:c r="C2472" s="30" t="str">
        <x:v>equipment.consumable_type</x:v>
      </x:c>
      <x:c r="D2472" s="30" t="str">
        <x:v>候选输入schema</x:v>
      </x:c>
      <x:c r="E2472" s="30" t="str">
        <x:v>按执行角色权限读取；策略只能使用可访问快照</x:v>
      </x:c>
    </x:row>
    <x:row r="2473" ht="32" customHeight="1">
      <x:c r="A2473" s="30" t="str">
        <x:v>A028</x:v>
      </x:c>
      <x:c r="B2473" s="30" t="str">
        <x:v>F124</x:v>
      </x:c>
      <x:c r="C2473" s="30" t="str">
        <x:v>equipment.consumable_remaining</x:v>
      </x:c>
      <x:c r="D2473" s="30" t="str">
        <x:v>候选输入schema</x:v>
      </x:c>
      <x:c r="E2473" s="30" t="str">
        <x:v>按执行角色权限读取；策略只能使用可访问快照</x:v>
      </x:c>
    </x:row>
    <x:row r="2474" ht="32" customHeight="1">
      <x:c r="A2474" s="30" t="str">
        <x:v>A028</x:v>
      </x:c>
      <x:c r="B2474" s="30" t="str">
        <x:v>F125</x:v>
      </x:c>
      <x:c r="C2474" s="30" t="str">
        <x:v>equipment.operator_authority</x:v>
      </x:c>
      <x:c r="D2474" s="30" t="str">
        <x:v>候选输入schema</x:v>
      </x:c>
      <x:c r="E2474" s="30" t="str">
        <x:v>按执行角色权限读取；策略只能使用可访问快照</x:v>
      </x:c>
    </x:row>
    <x:row r="2475" ht="32" customHeight="1">
      <x:c r="A2475" s="30" t="str">
        <x:v>A028</x:v>
      </x:c>
      <x:c r="B2475" s="30" t="str">
        <x:v>F126</x:v>
      </x:c>
      <x:c r="C2475" s="30" t="str">
        <x:v>equipment.setup_state</x:v>
      </x:c>
      <x:c r="D2475" s="30" t="str">
        <x:v>候选输入schema</x:v>
      </x:c>
      <x:c r="E2475" s="30" t="str">
        <x:v>按执行角色权限读取；策略只能使用可访问快照</x:v>
      </x:c>
    </x:row>
    <x:row r="2476" ht="32" customHeight="1">
      <x:c r="A2476" s="30" t="str">
        <x:v>A028</x:v>
      </x:c>
      <x:c r="B2476" s="30" t="str">
        <x:v>F127</x:v>
      </x:c>
      <x:c r="C2476" s="30" t="str">
        <x:v>equipment.busy_action_id</x:v>
      </x:c>
      <x:c r="D2476" s="30" t="str">
        <x:v>候选输入schema</x:v>
      </x:c>
      <x:c r="E2476" s="30" t="str">
        <x:v>按执行角色权限读取；策略只能使用可访问快照</x:v>
      </x:c>
    </x:row>
    <x:row r="2477" ht="32" customHeight="1">
      <x:c r="A2477" s="30" t="str">
        <x:v>A028</x:v>
      </x:c>
      <x:c r="B2477" s="30" t="str">
        <x:v>F128</x:v>
      </x:c>
      <x:c r="C2477" s="30" t="str">
        <x:v>item.kind</x:v>
      </x:c>
      <x:c r="D2477" s="30" t="str">
        <x:v>候选输入schema</x:v>
      </x:c>
      <x:c r="E2477" s="30" t="str">
        <x:v>按执行角色权限读取；策略只能使用可访问快照</x:v>
      </x:c>
    </x:row>
    <x:row r="2478" ht="32" customHeight="1">
      <x:c r="A2478" s="30" t="str">
        <x:v>A028</x:v>
      </x:c>
      <x:c r="B2478" s="30" t="str">
        <x:v>F129</x:v>
      </x:c>
      <x:c r="C2478" s="30" t="str">
        <x:v>item.mass_kg</x:v>
      </x:c>
      <x:c r="D2478" s="30" t="str">
        <x:v>候选输入schema</x:v>
      </x:c>
      <x:c r="E2478" s="30" t="str">
        <x:v>按执行角色权限读取；策略只能使用可访问快照</x:v>
      </x:c>
    </x:row>
    <x:row r="2479" ht="32" customHeight="1">
      <x:c r="A2479" s="30" t="str">
        <x:v>A028</x:v>
      </x:c>
      <x:c r="B2479" s="30" t="str">
        <x:v>F130</x:v>
      </x:c>
      <x:c r="C2479" s="30" t="str">
        <x:v>item.dimensions_m</x:v>
      </x:c>
      <x:c r="D2479" s="30" t="str">
        <x:v>候选输入schema</x:v>
      </x:c>
      <x:c r="E2479" s="30" t="str">
        <x:v>按执行角色权限读取；策略只能使用可访问快照</x:v>
      </x:c>
    </x:row>
    <x:row r="2480" ht="32" customHeight="1">
      <x:c r="A2480" s="30" t="str">
        <x:v>A028</x:v>
      </x:c>
      <x:c r="B2480" s="30" t="str">
        <x:v>F131</x:v>
      </x:c>
      <x:c r="C2480" s="30" t="str">
        <x:v>item.quantity</x:v>
      </x:c>
      <x:c r="D2480" s="30" t="str">
        <x:v>候选输入schema</x:v>
      </x:c>
      <x:c r="E2480" s="30" t="str">
        <x:v>按执行角色权限读取；策略只能使用可访问快照</x:v>
      </x:c>
    </x:row>
    <x:row r="2481" ht="32" customHeight="1">
      <x:c r="A2481" s="30" t="str">
        <x:v>A028</x:v>
      </x:c>
      <x:c r="B2481" s="30" t="str">
        <x:v>F132</x:v>
      </x:c>
      <x:c r="C2481" s="30" t="str">
        <x:v>item.holder_id</x:v>
      </x:c>
      <x:c r="D2481" s="30" t="str">
        <x:v>候选输入schema</x:v>
      </x:c>
      <x:c r="E2481" s="30" t="str">
        <x:v>按执行角色权限读取；策略只能使用可访问快照</x:v>
      </x:c>
    </x:row>
    <x:row r="2482" ht="32" customHeight="1">
      <x:c r="A2482" s="30" t="str">
        <x:v>A028</x:v>
      </x:c>
      <x:c r="B2482" s="30" t="str">
        <x:v>F133</x:v>
      </x:c>
      <x:c r="C2482" s="30" t="str">
        <x:v>item.state</x:v>
      </x:c>
      <x:c r="D2482" s="30" t="str">
        <x:v>候选输入schema</x:v>
      </x:c>
      <x:c r="E2482" s="30" t="str">
        <x:v>按执行角色权限读取；策略只能使用可访问快照</x:v>
      </x:c>
    </x:row>
    <x:row r="2483" ht="32" customHeight="1">
      <x:c r="A2483" s="30" t="str">
        <x:v>A028</x:v>
      </x:c>
      <x:c r="B2483" s="30" t="str">
        <x:v>F134</x:v>
      </x:c>
      <x:c r="C2483" s="30" t="str">
        <x:v>item.attachment_id</x:v>
      </x:c>
      <x:c r="D2483" s="30" t="str">
        <x:v>候选输入schema</x:v>
      </x:c>
      <x:c r="E2483" s="30" t="str">
        <x:v>按执行角色权限读取；策略只能使用可访问快照</x:v>
      </x:c>
    </x:row>
    <x:row r="2484" ht="32" customHeight="1">
      <x:c r="A2484" s="30" t="str">
        <x:v>A028</x:v>
      </x:c>
      <x:c r="B2484" s="30" t="str">
        <x:v>F135</x:v>
      </x:c>
      <x:c r="C2484" s="30" t="str">
        <x:v>item.reservation_task_id</x:v>
      </x:c>
      <x:c r="D2484" s="30" t="str">
        <x:v>候选输入schema</x:v>
      </x:c>
      <x:c r="E2484" s="30" t="str">
        <x:v>按执行角色权限读取；策略只能使用可访问快照</x:v>
      </x:c>
    </x:row>
    <x:row r="2485" ht="32" customHeight="1">
      <x:c r="A2485" s="30" t="str">
        <x:v>A028</x:v>
      </x:c>
      <x:c r="B2485" s="30" t="str">
        <x:v>F136</x:v>
      </x:c>
      <x:c r="C2485" s="30" t="str">
        <x:v>item.release_state</x:v>
      </x:c>
      <x:c r="D2485" s="30" t="str">
        <x:v>候选输入schema</x:v>
      </x:c>
      <x:c r="E2485" s="30" t="str">
        <x:v>按执行角色权限读取；策略只能使用可访问快照</x:v>
      </x:c>
    </x:row>
    <x:row r="2486" ht="32" customHeight="1">
      <x:c r="A2486" s="30" t="str">
        <x:v>A028</x:v>
      </x:c>
      <x:c r="B2486" s="30" t="str">
        <x:v>F137</x:v>
      </x:c>
      <x:c r="C2486" s="30" t="str">
        <x:v>item.contact_pose</x:v>
      </x:c>
      <x:c r="D2486" s="30" t="str">
        <x:v>候选输入schema</x:v>
      </x:c>
      <x:c r="E2486" s="30" t="str">
        <x:v>按执行角色权限读取；策略只能使用可访问快照</x:v>
      </x:c>
    </x:row>
    <x:row r="2487" ht="32" customHeight="1">
      <x:c r="A2487" s="30" t="str">
        <x:v>A028</x:v>
      </x:c>
      <x:c r="B2487" s="30" t="str">
        <x:v>F138</x:v>
      </x:c>
      <x:c r="C2487" s="30" t="str">
        <x:v>item.receiver_id</x:v>
      </x:c>
      <x:c r="D2487" s="30" t="str">
        <x:v>候选输入schema</x:v>
      </x:c>
      <x:c r="E2487" s="30" t="str">
        <x:v>按执行角色权限读取；策略只能使用可访问快照</x:v>
      </x:c>
    </x:row>
    <x:row r="2488" ht="32" customHeight="1">
      <x:c r="A2488" s="30" t="str">
        <x:v>A028</x:v>
      </x:c>
      <x:c r="B2488" s="30" t="str">
        <x:v>F139</x:v>
      </x:c>
      <x:c r="C2488" s="30" t="str">
        <x:v>item.receipt_id</x:v>
      </x:c>
      <x:c r="D2488" s="30" t="str">
        <x:v>候选输入schema</x:v>
      </x:c>
      <x:c r="E2488" s="30" t="str">
        <x:v>按执行角色权限读取；策略只能使用可访问快照</x:v>
      </x:c>
    </x:row>
    <x:row r="2489" ht="32" customHeight="1">
      <x:c r="A2489" s="30" t="str">
        <x:v>A028</x:v>
      </x:c>
      <x:c r="B2489" s="30" t="str">
        <x:v>F140</x:v>
      </x:c>
      <x:c r="C2489" s="30" t="str">
        <x:v>item.condition</x:v>
      </x:c>
      <x:c r="D2489" s="30" t="str">
        <x:v>候选输入schema</x:v>
      </x:c>
      <x:c r="E2489" s="30" t="str">
        <x:v>按执行角色权限读取；策略只能使用可访问快照</x:v>
      </x:c>
    </x:row>
    <x:row r="2490" ht="32" customHeight="1">
      <x:c r="A2490" s="30" t="str">
        <x:v>A028</x:v>
      </x:c>
      <x:c r="B2490" s="30" t="str">
        <x:v>F141</x:v>
      </x:c>
      <x:c r="C2490" s="30" t="str">
        <x:v>station.kind</x:v>
      </x:c>
      <x:c r="D2490" s="30" t="str">
        <x:v>候选输入schema</x:v>
      </x:c>
      <x:c r="E2490" s="30" t="str">
        <x:v>按执行角色权限读取；策略只能使用可访问快照</x:v>
      </x:c>
    </x:row>
    <x:row r="2491" ht="32" customHeight="1">
      <x:c r="A2491" s="30" t="str">
        <x:v>A028</x:v>
      </x:c>
      <x:c r="B2491" s="30" t="str">
        <x:v>F142</x:v>
      </x:c>
      <x:c r="C2491" s="30" t="str">
        <x:v>station.capacity</x:v>
      </x:c>
      <x:c r="D2491" s="30" t="str">
        <x:v>候选输入schema</x:v>
      </x:c>
      <x:c r="E2491" s="30" t="str">
        <x:v>按执行角色权限读取；策略只能使用可访问快照</x:v>
      </x:c>
    </x:row>
    <x:row r="2492" ht="32" customHeight="1">
      <x:c r="A2492" s="30" t="str">
        <x:v>A028</x:v>
      </x:c>
      <x:c r="B2492" s="30" t="str">
        <x:v>F143</x:v>
      </x:c>
      <x:c r="C2492" s="30" t="str">
        <x:v>station.occupied</x:v>
      </x:c>
      <x:c r="D2492" s="30" t="str">
        <x:v>候选输入schema</x:v>
      </x:c>
      <x:c r="E2492" s="30" t="str">
        <x:v>按执行角色权限读取；策略只能使用可访问快照</x:v>
      </x:c>
    </x:row>
    <x:row r="2493" ht="32" customHeight="1">
      <x:c r="A2493" s="30" t="str">
        <x:v>A028</x:v>
      </x:c>
      <x:c r="B2493" s="30" t="str">
        <x:v>F144</x:v>
      </x:c>
      <x:c r="C2493" s="30" t="str">
        <x:v>station.inventory</x:v>
      </x:c>
      <x:c r="D2493" s="30" t="str">
        <x:v>候选输入schema</x:v>
      </x:c>
      <x:c r="E2493" s="30" t="str">
        <x:v>按执行角色权限读取；策略只能使用可访问快照</x:v>
      </x:c>
    </x:row>
    <x:row r="2494" ht="32" customHeight="1">
      <x:c r="A2494" s="30" t="str">
        <x:v>A028</x:v>
      </x:c>
      <x:c r="B2494" s="30" t="str">
        <x:v>F145</x:v>
      </x:c>
      <x:c r="C2494" s="30" t="str">
        <x:v>station.power_W</x:v>
      </x:c>
      <x:c r="D2494" s="30" t="str">
        <x:v>候选输入schema</x:v>
      </x:c>
      <x:c r="E2494" s="30" t="str">
        <x:v>按执行角色权限读取；策略只能使用可访问快照</x:v>
      </x:c>
    </x:row>
    <x:row r="2495" ht="32" customHeight="1">
      <x:c r="A2495" s="30" t="str">
        <x:v>A028</x:v>
      </x:c>
      <x:c r="B2495" s="30" t="str">
        <x:v>F146</x:v>
      </x:c>
      <x:c r="C2495" s="30" t="str">
        <x:v>station.connector_types</x:v>
      </x:c>
      <x:c r="D2495" s="30" t="str">
        <x:v>候选输入schema</x:v>
      </x:c>
      <x:c r="E2495" s="30" t="str">
        <x:v>按执行角色权限读取；策略只能使用可访问快照</x:v>
      </x:c>
    </x:row>
    <x:row r="2496" ht="32" customHeight="1">
      <x:c r="A2496" s="30" t="str">
        <x:v>A028</x:v>
      </x:c>
      <x:c r="B2496" s="30" t="str">
        <x:v>F147</x:v>
      </x:c>
      <x:c r="C2496" s="30" t="str">
        <x:v>station.queue_ids</x:v>
      </x:c>
      <x:c r="D2496" s="30" t="str">
        <x:v>候选输入schema</x:v>
      </x:c>
      <x:c r="E2496" s="30" t="str">
        <x:v>按执行角色权限读取；策略只能使用可访问快照</x:v>
      </x:c>
    </x:row>
    <x:row r="2497" ht="32" customHeight="1">
      <x:c r="A2497" s="30" t="str">
        <x:v>A028</x:v>
      </x:c>
      <x:c r="B2497" s="30" t="str">
        <x:v>F148</x:v>
      </x:c>
      <x:c r="C2497" s="30" t="str">
        <x:v>station.open_state</x:v>
      </x:c>
      <x:c r="D2497" s="30" t="str">
        <x:v>候选输入schema</x:v>
      </x:c>
      <x:c r="E2497" s="30" t="str">
        <x:v>按执行角色权限读取；策略只能使用可访问快照</x:v>
      </x:c>
    </x:row>
    <x:row r="2498" ht="32" customHeight="1">
      <x:c r="A2498" s="30" t="str">
        <x:v>A028</x:v>
      </x:c>
      <x:c r="B2498" s="30" t="str">
        <x:v>F149</x:v>
      </x:c>
      <x:c r="C2498" s="30" t="str">
        <x:v>station.accepted_need_types</x:v>
      </x:c>
      <x:c r="D2498" s="30" t="str">
        <x:v>候选输入schema</x:v>
      </x:c>
      <x:c r="E2498" s="30" t="str">
        <x:v>按执行角色权限读取；策略只能使用可访问快照</x:v>
      </x:c>
    </x:row>
    <x:row r="2499" ht="32" customHeight="1">
      <x:c r="A2499" s="30" t="str">
        <x:v>A028</x:v>
      </x:c>
      <x:c r="B2499" s="30" t="str">
        <x:v>F150</x:v>
      </x:c>
      <x:c r="C2499" s="30" t="str">
        <x:v>station.access_region</x:v>
      </x:c>
      <x:c r="D2499" s="30" t="str">
        <x:v>候选输入schema</x:v>
      </x:c>
      <x:c r="E2499" s="30" t="str">
        <x:v>按执行角色权限读取；策略只能使用可访问快照</x:v>
      </x:c>
    </x:row>
    <x:row r="2500" ht="32" customHeight="1">
      <x:c r="A2500" s="30" t="str">
        <x:v>A028</x:v>
      </x:c>
      <x:c r="B2500" s="30" t="str">
        <x:v>F230</x:v>
      </x:c>
      <x:c r="C2500" s="30" t="str">
        <x:v>action.type</x:v>
      </x:c>
      <x:c r="D2500" s="30" t="str">
        <x:v>候选输入schema</x:v>
      </x:c>
      <x:c r="E2500" s="30" t="str">
        <x:v>按执行角色权限读取；策略只能使用可访问快照</x:v>
      </x:c>
    </x:row>
    <x:row r="2501" ht="32" customHeight="1">
      <x:c r="A2501" s="30" t="str">
        <x:v>A028</x:v>
      </x:c>
      <x:c r="B2501" s="30" t="str">
        <x:v>F231</x:v>
      </x:c>
      <x:c r="C2501" s="30" t="str">
        <x:v>action.executor_id</x:v>
      </x:c>
      <x:c r="D2501" s="30" t="str">
        <x:v>候选输入schema</x:v>
      </x:c>
      <x:c r="E2501" s="30" t="str">
        <x:v>按执行角色权限读取；策略只能使用可访问快照</x:v>
      </x:c>
    </x:row>
    <x:row r="2502" ht="32" customHeight="1">
      <x:c r="A2502" s="30" t="str">
        <x:v>A028</x:v>
      </x:c>
      <x:c r="B2502" s="30" t="str">
        <x:v>F232</x:v>
      </x:c>
      <x:c r="C2502" s="30" t="str">
        <x:v>action.task_ref</x:v>
      </x:c>
      <x:c r="D2502" s="30" t="str">
        <x:v>候选输入schema</x:v>
      </x:c>
      <x:c r="E2502" s="30" t="str">
        <x:v>按执行角色权限读取；策略只能使用可访问快照</x:v>
      </x:c>
    </x:row>
    <x:row r="2503" ht="32" customHeight="1">
      <x:c r="A2503" s="30" t="str">
        <x:v>A028</x:v>
      </x:c>
      <x:c r="B2503" s="30" t="str">
        <x:v>F233</x:v>
      </x:c>
      <x:c r="C2503" s="30" t="str">
        <x:v>action.target_ref</x:v>
      </x:c>
      <x:c r="D2503" s="30" t="str">
        <x:v>候选输入schema</x:v>
      </x:c>
      <x:c r="E2503" s="30" t="str">
        <x:v>按执行角色权限读取；策略只能使用可访问快照</x:v>
      </x:c>
    </x:row>
    <x:row r="2504" ht="32" customHeight="1">
      <x:c r="A2504" s="30" t="str">
        <x:v>A028</x:v>
      </x:c>
      <x:c r="B2504" s="30" t="str">
        <x:v>F234</x:v>
      </x:c>
      <x:c r="C2504" s="30" t="str">
        <x:v>action.parameters</x:v>
      </x:c>
      <x:c r="D2504" s="30" t="str">
        <x:v>候选输入schema</x:v>
      </x:c>
      <x:c r="E2504" s="30" t="str">
        <x:v>按执行角色权限读取；策略只能使用可访问快照</x:v>
      </x:c>
    </x:row>
    <x:row r="2505" ht="32" customHeight="1">
      <x:c r="A2505" s="30" t="str">
        <x:v>A028</x:v>
      </x:c>
      <x:c r="B2505" s="30" t="str">
        <x:v>F235</x:v>
      </x:c>
      <x:c r="C2505" s="30" t="str">
        <x:v>action.status</x:v>
      </x:c>
      <x:c r="D2505" s="30" t="str">
        <x:v>候选输入schema</x:v>
      </x:c>
      <x:c r="E2505" s="30" t="str">
        <x:v>按执行角色权限读取；策略只能使用可访问快照</x:v>
      </x:c>
    </x:row>
    <x:row r="2506" ht="32" customHeight="1">
      <x:c r="A2506" s="30" t="str">
        <x:v>A028</x:v>
      </x:c>
      <x:c r="B2506" s="30" t="str">
        <x:v>F236</x:v>
      </x:c>
      <x:c r="C2506" s="30" t="str">
        <x:v>action.start_s</x:v>
      </x:c>
      <x:c r="D2506" s="30" t="str">
        <x:v>候选输入schema</x:v>
      </x:c>
      <x:c r="E2506" s="30" t="str">
        <x:v>按执行角色权限读取；策略只能使用可访问快照</x:v>
      </x:c>
    </x:row>
    <x:row r="2507" ht="32" customHeight="1">
      <x:c r="A2507" s="30" t="str">
        <x:v>A028</x:v>
      </x:c>
      <x:c r="B2507" s="30" t="str">
        <x:v>F237</x:v>
      </x:c>
      <x:c r="C2507" s="30" t="str">
        <x:v>action.finish_s</x:v>
      </x:c>
      <x:c r="D2507" s="30" t="str">
        <x:v>候选输入schema</x:v>
      </x:c>
      <x:c r="E2507" s="30" t="str">
        <x:v>按执行角色权限读取；策略只能使用可访问快照</x:v>
      </x:c>
    </x:row>
    <x:row r="2508" ht="32" customHeight="1">
      <x:c r="A2508" s="30" t="str">
        <x:v>A028</x:v>
      </x:c>
      <x:c r="B2508" s="30" t="str">
        <x:v>F238</x:v>
      </x:c>
      <x:c r="C2508" s="30" t="str">
        <x:v>action.reserved_resources</x:v>
      </x:c>
      <x:c r="D2508" s="30" t="str">
        <x:v>候选输入schema</x:v>
      </x:c>
      <x:c r="E2508" s="30" t="str">
        <x:v>按执行角色权限读取；策略只能使用可访问快照</x:v>
      </x:c>
    </x:row>
    <x:row r="2509" ht="32" customHeight="1">
      <x:c r="A2509" s="30" t="str">
        <x:v>A028</x:v>
      </x:c>
      <x:c r="B2509" s="30" t="str">
        <x:v>F239</x:v>
      </x:c>
      <x:c r="C2509" s="30" t="str">
        <x:v>action.consumed_resources</x:v>
      </x:c>
      <x:c r="D2509" s="30" t="str">
        <x:v>候选输入schema</x:v>
      </x:c>
      <x:c r="E2509" s="30" t="str">
        <x:v>按执行角色权限读取；策略只能使用可访问快照</x:v>
      </x:c>
    </x:row>
    <x:row r="2510" ht="32" customHeight="1">
      <x:c r="A2510" s="30" t="str">
        <x:v>A028</x:v>
      </x:c>
      <x:c r="B2510" s="30" t="str">
        <x:v>F240</x:v>
      </x:c>
      <x:c r="C2510" s="30" t="str">
        <x:v>action.feedback</x:v>
      </x:c>
      <x:c r="D2510" s="30" t="str">
        <x:v>候选输入schema</x:v>
      </x:c>
      <x:c r="E2510" s="30" t="str">
        <x:v>按执行角色权限读取；策略只能使用可访问快照</x:v>
      </x:c>
    </x:row>
    <x:row r="2511" ht="32" customHeight="1">
      <x:c r="A2511" s="30" t="str">
        <x:v>A028</x:v>
      </x:c>
      <x:c r="B2511" s="30" t="str">
        <x:v>F241</x:v>
      </x:c>
      <x:c r="C2511" s="30" t="str">
        <x:v>action.result</x:v>
      </x:c>
      <x:c r="D2511" s="30" t="str">
        <x:v>候选输入schema</x:v>
      </x:c>
      <x:c r="E2511" s="30" t="str">
        <x:v>按执行角色权限读取；策略只能使用可访问快照</x:v>
      </x:c>
    </x:row>
    <x:row r="2512" ht="32" customHeight="1">
      <x:c r="A2512" s="30" t="str">
        <x:v>A028</x:v>
      </x:c>
      <x:c r="B2512" s="30" t="str">
        <x:v>F242</x:v>
      </x:c>
      <x:c r="C2512" s="30" t="str">
        <x:v>action.rejection_code</x:v>
      </x:c>
      <x:c r="D2512" s="30" t="str">
        <x:v>候选输入schema</x:v>
      </x:c>
      <x:c r="E2512" s="30" t="str">
        <x:v>按执行角色权限读取；策略只能使用可访问快照</x:v>
      </x:c>
    </x:row>
    <x:row r="2513" ht="32" customHeight="1">
      <x:c r="A2513" s="30" t="str">
        <x:v>A028</x:v>
      </x:c>
      <x:c r="B2513" s="30" t="str">
        <x:v>F243</x:v>
      </x:c>
      <x:c r="C2513" s="30" t="str">
        <x:v>action.failure_code</x:v>
      </x:c>
      <x:c r="D2513" s="30" t="str">
        <x:v>候选输入schema</x:v>
      </x:c>
      <x:c r="E2513" s="30" t="str">
        <x:v>按执行角色权限读取；策略只能使用可访问快照</x:v>
      </x:c>
    </x:row>
    <x:row r="2514" ht="32" customHeight="1">
      <x:c r="A2514" s="30" t="str">
        <x:v>A028</x:v>
      </x:c>
      <x:c r="B2514" s="30" t="str">
        <x:v>F244</x:v>
      </x:c>
      <x:c r="C2514" s="30" t="str">
        <x:v>action.cancel_requested</x:v>
      </x:c>
      <x:c r="D2514" s="30" t="str">
        <x:v>候选输入schema</x:v>
      </x:c>
      <x:c r="E2514" s="30" t="str">
        <x:v>按执行角色权限读取；策略只能使用可访问快照</x:v>
      </x:c>
    </x:row>
    <x:row r="2515" ht="32" customHeight="1">
      <x:c r="A2515" s="30" t="str">
        <x:v>A028</x:v>
      </x:c>
      <x:c r="B2515" s="30" t="str">
        <x:v>F245</x:v>
      </x:c>
      <x:c r="C2515" s="30" t="str">
        <x:v>action.backend_mode</x:v>
      </x:c>
      <x:c r="D2515" s="30" t="str">
        <x:v>候选输入schema</x:v>
      </x:c>
      <x:c r="E2515" s="30" t="str">
        <x:v>按执行角色权限读取；策略只能使用可访问快照</x:v>
      </x:c>
    </x:row>
    <x:row r="2516" ht="32" customHeight="1">
      <x:c r="A2516" s="30" t="str">
        <x:v>A028</x:v>
      </x:c>
      <x:c r="B2516" s="30" t="str">
        <x:v>F131</x:v>
      </x:c>
      <x:c r="C2516" s="30" t="str">
        <x:v>item.quantity</x:v>
      </x:c>
      <x:c r="D2516" s="30" t="str">
        <x:v>直接效果</x:v>
      </x:c>
      <x:c r="E2516" s="30" t="str">
        <x:v>经实际执行/回执提交；不是规划时提前修改</x:v>
      </x:c>
    </x:row>
    <x:row r="2517" ht="32" customHeight="1">
      <x:c r="A2517" s="30" t="str">
        <x:v>A028</x:v>
      </x:c>
      <x:c r="B2517" s="30" t="str">
        <x:v>F132</x:v>
      </x:c>
      <x:c r="C2517" s="30" t="str">
        <x:v>item.holder_id</x:v>
      </x:c>
      <x:c r="D2517" s="30" t="str">
        <x:v>直接效果</x:v>
      </x:c>
      <x:c r="E2517" s="30" t="str">
        <x:v>经实际执行/回执提交；不是规划时提前修改</x:v>
      </x:c>
    </x:row>
    <x:row r="2518" ht="32" customHeight="1">
      <x:c r="A2518" s="30" t="str">
        <x:v>A028</x:v>
      </x:c>
      <x:c r="B2518" s="30" t="str">
        <x:v>F124</x:v>
      </x:c>
      <x:c r="C2518" s="30" t="str">
        <x:v>equipment.consumable_remaining</x:v>
      </x:c>
      <x:c r="D2518" s="30" t="str">
        <x:v>直接效果</x:v>
      </x:c>
      <x:c r="E2518" s="30" t="str">
        <x:v>经实际执行/回执提交；不是规划时提前修改</x:v>
      </x:c>
    </x:row>
    <x:row r="2519" ht="32" customHeight="1">
      <x:c r="A2519" s="30" t="str">
        <x:v>A029</x:v>
      </x:c>
      <x:c r="B2519" s="30" t="str">
        <x:v>F095</x:v>
      </x:c>
      <x:c r="C2519" s="30" t="str">
        <x:v>platform.kind</x:v>
      </x:c>
      <x:c r="D2519" s="30" t="str">
        <x:v>候选输入schema</x:v>
      </x:c>
      <x:c r="E2519" s="30" t="str">
        <x:v>按执行角色权限读取；策略只能使用可访问快照</x:v>
      </x:c>
    </x:row>
    <x:row r="2520" ht="32" customHeight="1">
      <x:c r="A2520" s="30" t="str">
        <x:v>A029</x:v>
      </x:c>
      <x:c r="B2520" s="30" t="str">
        <x:v>F096</x:v>
      </x:c>
      <x:c r="C2520" s="30" t="str">
        <x:v>platform.capability_ids</x:v>
      </x:c>
      <x:c r="D2520" s="30" t="str">
        <x:v>候选输入schema</x:v>
      </x:c>
      <x:c r="E2520" s="30" t="str">
        <x:v>按执行角色权限读取；策略只能使用可访问快照</x:v>
      </x:c>
    </x:row>
    <x:row r="2521" ht="32" customHeight="1">
      <x:c r="A2521" s="30" t="str">
        <x:v>A029</x:v>
      </x:c>
      <x:c r="B2521" s="30" t="str">
        <x:v>F097</x:v>
      </x:c>
      <x:c r="C2521" s="30" t="str">
        <x:v>platform.equipment_ids</x:v>
      </x:c>
      <x:c r="D2521" s="30" t="str">
        <x:v>候选输入schema</x:v>
      </x:c>
      <x:c r="E2521" s="30" t="str">
        <x:v>按执行角色权限读取；策略只能使用可访问快照</x:v>
      </x:c>
    </x:row>
    <x:row r="2522" ht="32" customHeight="1">
      <x:c r="A2522" s="30" t="str">
        <x:v>A029</x:v>
      </x:c>
      <x:c r="B2522" s="30" t="str">
        <x:v>F098</x:v>
      </x:c>
      <x:c r="C2522" s="30" t="str">
        <x:v>platform.width_m</x:v>
      </x:c>
      <x:c r="D2522" s="30" t="str">
        <x:v>候选输入schema</x:v>
      </x:c>
      <x:c r="E2522" s="30" t="str">
        <x:v>按执行角色权限读取；策略只能使用可访问快照</x:v>
      </x:c>
    </x:row>
    <x:row r="2523" ht="32" customHeight="1">
      <x:c r="A2523" s="30" t="str">
        <x:v>A029</x:v>
      </x:c>
      <x:c r="B2523" s="30" t="str">
        <x:v>F099</x:v>
      </x:c>
      <x:c r="C2523" s="30" t="str">
        <x:v>platform.height_m</x:v>
      </x:c>
      <x:c r="D2523" s="30" t="str">
        <x:v>候选输入schema</x:v>
      </x:c>
      <x:c r="E2523" s="30" t="str">
        <x:v>按执行角色权限读取；策略只能使用可访问快照</x:v>
      </x:c>
    </x:row>
    <x:row r="2524" ht="32" customHeight="1">
      <x:c r="A2524" s="30" t="str">
        <x:v>A029</x:v>
      </x:c>
      <x:c r="B2524" s="30" t="str">
        <x:v>F100</x:v>
      </x:c>
      <x:c r="C2524" s="30" t="str">
        <x:v>platform.swept_radius_m</x:v>
      </x:c>
      <x:c r="D2524" s="30" t="str">
        <x:v>候选输入schema</x:v>
      </x:c>
      <x:c r="E2524" s="30" t="str">
        <x:v>按执行角色权限读取；策略只能使用可访问快照</x:v>
      </x:c>
    </x:row>
    <x:row r="2525" ht="32" customHeight="1">
      <x:c r="A2525" s="30" t="str">
        <x:v>A029</x:v>
      </x:c>
      <x:c r="B2525" s="30" t="str">
        <x:v>F101</x:v>
      </x:c>
      <x:c r="C2525" s="30" t="str">
        <x:v>platform.payload_capacity_kg</x:v>
      </x:c>
      <x:c r="D2525" s="30" t="str">
        <x:v>候选输入schema</x:v>
      </x:c>
      <x:c r="E2525" s="30" t="str">
        <x:v>按执行角色权限读取；策略只能使用可访问快照</x:v>
      </x:c>
    </x:row>
    <x:row r="2526" ht="32" customHeight="1">
      <x:c r="A2526" s="30" t="str">
        <x:v>A029</x:v>
      </x:c>
      <x:c r="B2526" s="30" t="str">
        <x:v>F102</x:v>
      </x:c>
      <x:c r="C2526" s="30" t="str">
        <x:v>platform.payload_used_kg</x:v>
      </x:c>
      <x:c r="D2526" s="30" t="str">
        <x:v>候选输入schema</x:v>
      </x:c>
      <x:c r="E2526" s="30" t="str">
        <x:v>按执行角色权限读取；策略只能使用可访问快照</x:v>
      </x:c>
    </x:row>
    <x:row r="2527" ht="32" customHeight="1">
      <x:c r="A2527" s="30" t="str">
        <x:v>A029</x:v>
      </x:c>
      <x:c r="B2527" s="30" t="str">
        <x:v>F103</x:v>
      </x:c>
      <x:c r="C2527" s="30" t="str">
        <x:v>platform.payload_item_ids</x:v>
      </x:c>
      <x:c r="D2527" s="30" t="str">
        <x:v>候选输入schema</x:v>
      </x:c>
      <x:c r="E2527" s="30" t="str">
        <x:v>按执行角色权限读取；策略只能使用可访问快照</x:v>
      </x:c>
    </x:row>
    <x:row r="2528" ht="32" customHeight="1">
      <x:c r="A2528" s="30" t="str">
        <x:v>A029</x:v>
      </x:c>
      <x:c r="B2528" s="30" t="str">
        <x:v>F104</x:v>
      </x:c>
      <x:c r="C2528" s="30" t="str">
        <x:v>platform.battery_capacity_Wh</x:v>
      </x:c>
      <x:c r="D2528" s="30" t="str">
        <x:v>候选输入schema</x:v>
      </x:c>
      <x:c r="E2528" s="30" t="str">
        <x:v>按执行角色权限读取；策略只能使用可访问快照</x:v>
      </x:c>
    </x:row>
    <x:row r="2529" ht="32" customHeight="1">
      <x:c r="A2529" s="30" t="str">
        <x:v>A029</x:v>
      </x:c>
      <x:c r="B2529" s="30" t="str">
        <x:v>F105</x:v>
      </x:c>
      <x:c r="C2529" s="30" t="str">
        <x:v>platform.battery_remaining_Wh</x:v>
      </x:c>
      <x:c r="D2529" s="30" t="str">
        <x:v>候选输入schema</x:v>
      </x:c>
      <x:c r="E2529" s="30" t="str">
        <x:v>按执行角色权限读取；策略只能使用可访问快照</x:v>
      </x:c>
    </x:row>
    <x:row r="2530" ht="32" customHeight="1">
      <x:c r="A2530" s="30" t="str">
        <x:v>A029</x:v>
      </x:c>
      <x:c r="B2530" s="30" t="str">
        <x:v>F106</x:v>
      </x:c>
      <x:c r="C2530" s="30" t="str">
        <x:v>platform.reserve_Wh</x:v>
      </x:c>
      <x:c r="D2530" s="30" t="str">
        <x:v>候选输入schema</x:v>
      </x:c>
      <x:c r="E2530" s="30" t="str">
        <x:v>按执行角色权限读取；策略只能使用可访问快照</x:v>
      </x:c>
    </x:row>
    <x:row r="2531" ht="32" customHeight="1">
      <x:c r="A2531" s="30" t="str">
        <x:v>A029</x:v>
      </x:c>
      <x:c r="B2531" s="30" t="str">
        <x:v>F107</x:v>
      </x:c>
      <x:c r="C2531" s="30" t="str">
        <x:v>platform.speed_limit_mps</x:v>
      </x:c>
      <x:c r="D2531" s="30" t="str">
        <x:v>候选输入schema</x:v>
      </x:c>
      <x:c r="E2531" s="30" t="str">
        <x:v>按执行角色权限读取；策略只能使用可访问快照</x:v>
      </x:c>
    </x:row>
    <x:row r="2532" ht="32" customHeight="1">
      <x:c r="A2532" s="30" t="str">
        <x:v>A029</x:v>
      </x:c>
      <x:c r="B2532" s="30" t="str">
        <x:v>F108</x:v>
      </x:c>
      <x:c r="C2532" s="30" t="str">
        <x:v>platform.energy_model</x:v>
      </x:c>
      <x:c r="D2532" s="30" t="str">
        <x:v>候选输入schema</x:v>
      </x:c>
      <x:c r="E2532" s="30" t="str">
        <x:v>按执行角色权限读取；策略只能使用可访问快照</x:v>
      </x:c>
    </x:row>
    <x:row r="2533" ht="32" customHeight="1">
      <x:c r="A2533" s="30" t="str">
        <x:v>A029</x:v>
      </x:c>
      <x:c r="B2533" s="30" t="str">
        <x:v>F109</x:v>
      </x:c>
      <x:c r="C2533" s="30" t="str">
        <x:v>platform.motion_state</x:v>
      </x:c>
      <x:c r="D2533" s="30" t="str">
        <x:v>候选输入schema</x:v>
      </x:c>
      <x:c r="E2533" s="30" t="str">
        <x:v>按执行角色权限读取；策略只能使用可访问快照</x:v>
      </x:c>
    </x:row>
    <x:row r="2534" ht="32" customHeight="1">
      <x:c r="A2534" s="30" t="str">
        <x:v>A029</x:v>
      </x:c>
      <x:c r="B2534" s="30" t="str">
        <x:v>F110</x:v>
      </x:c>
      <x:c r="C2534" s="30" t="str">
        <x:v>platform.health_state</x:v>
      </x:c>
      <x:c r="D2534" s="30" t="str">
        <x:v>候选输入schema</x:v>
      </x:c>
      <x:c r="E2534" s="30" t="str">
        <x:v>按执行角色权限读取；策略只能使用可访问快照</x:v>
      </x:c>
    </x:row>
    <x:row r="2535" ht="32" customHeight="1">
      <x:c r="A2535" s="30" t="str">
        <x:v>A029</x:v>
      </x:c>
      <x:c r="B2535" s="30" t="str">
        <x:v>F111</x:v>
      </x:c>
      <x:c r="C2535" s="30" t="str">
        <x:v>platform.current_action_id</x:v>
      </x:c>
      <x:c r="D2535" s="30" t="str">
        <x:v>候选输入schema</x:v>
      </x:c>
      <x:c r="E2535" s="30" t="str">
        <x:v>按执行角色权限读取；策略只能使用可访问快照</x:v>
      </x:c>
    </x:row>
    <x:row r="2536" ht="32" customHeight="1">
      <x:c r="A2536" s="30" t="str">
        <x:v>A029</x:v>
      </x:c>
      <x:c r="B2536" s="30" t="str">
        <x:v>F112</x:v>
      </x:c>
      <x:c r="C2536" s="30" t="str">
        <x:v>platform.busy_until_est_s</x:v>
      </x:c>
      <x:c r="D2536" s="30" t="str">
        <x:v>候选输入schema</x:v>
      </x:c>
      <x:c r="E2536" s="30" t="str">
        <x:v>按执行角色权限读取；策略只能使用可访问快照</x:v>
      </x:c>
    </x:row>
    <x:row r="2537" ht="32" customHeight="1">
      <x:c r="A2537" s="30" t="str">
        <x:v>A029</x:v>
      </x:c>
      <x:c r="B2537" s="30" t="str">
        <x:v>F113</x:v>
      </x:c>
      <x:c r="C2537" s="30" t="str">
        <x:v>platform.return_site_id</x:v>
      </x:c>
      <x:c r="D2537" s="30" t="str">
        <x:v>候选输入schema</x:v>
      </x:c>
      <x:c r="E2537" s="30" t="str">
        <x:v>按执行角色权限读取；策略只能使用可访问快照</x:v>
      </x:c>
    </x:row>
    <x:row r="2538" ht="32" customHeight="1">
      <x:c r="A2538" s="30" t="str">
        <x:v>A029</x:v>
      </x:c>
      <x:c r="B2538" s="30" t="str">
        <x:v>F114</x:v>
      </x:c>
      <x:c r="C2538" s="30" t="str">
        <x:v>platform.water_tolerance_m</x:v>
      </x:c>
      <x:c r="D2538" s="30" t="str">
        <x:v>候选输入schema</x:v>
      </x:c>
      <x:c r="E2538" s="30" t="str">
        <x:v>按执行角色权限读取；策略只能使用可访问快照</x:v>
      </x:c>
    </x:row>
    <x:row r="2539" ht="32" customHeight="1">
      <x:c r="A2539" s="30" t="str">
        <x:v>A029</x:v>
      </x:c>
      <x:c r="B2539" s="30" t="str">
        <x:v>F115</x:v>
      </x:c>
      <x:c r="C2539" s="30" t="str">
        <x:v>platform.concurrency_policy</x:v>
      </x:c>
      <x:c r="D2539" s="30" t="str">
        <x:v>候选输入schema</x:v>
      </x:c>
      <x:c r="E2539" s="30" t="str">
        <x:v>按执行角色权限读取；策略只能使用可访问快照</x:v>
      </x:c>
    </x:row>
    <x:row r="2540" ht="32" customHeight="1">
      <x:c r="A2540" s="30" t="str">
        <x:v>A029</x:v>
      </x:c>
      <x:c r="B2540" s="30" t="str">
        <x:v>F116</x:v>
      </x:c>
      <x:c r="C2540" s="30" t="str">
        <x:v>equipment.kind</x:v>
      </x:c>
      <x:c r="D2540" s="30" t="str">
        <x:v>候选输入schema</x:v>
      </x:c>
      <x:c r="E2540" s="30" t="str">
        <x:v>按执行角色权限读取；策略只能使用可访问快照</x:v>
      </x:c>
    </x:row>
    <x:row r="2541" ht="32" customHeight="1">
      <x:c r="A2541" s="30" t="str">
        <x:v>A029</x:v>
      </x:c>
      <x:c r="B2541" s="30" t="str">
        <x:v>F117</x:v>
      </x:c>
      <x:c r="C2541" s="30" t="str">
        <x:v>equipment.enabled</x:v>
      </x:c>
      <x:c r="D2541" s="30" t="str">
        <x:v>候选输入schema</x:v>
      </x:c>
      <x:c r="E2541" s="30" t="str">
        <x:v>按执行角色权限读取；策略只能使用可访问快照</x:v>
      </x:c>
    </x:row>
    <x:row r="2542" ht="32" customHeight="1">
      <x:c r="A2542" s="30" t="str">
        <x:v>A029</x:v>
      </x:c>
      <x:c r="B2542" s="30" t="str">
        <x:v>F118</x:v>
      </x:c>
      <x:c r="C2542" s="30" t="str">
        <x:v>equipment.health</x:v>
      </x:c>
      <x:c r="D2542" s="30" t="str">
        <x:v>候选输入schema</x:v>
      </x:c>
      <x:c r="E2542" s="30" t="str">
        <x:v>按执行角色权限读取；策略只能使用可访问快照</x:v>
      </x:c>
    </x:row>
    <x:row r="2543" ht="32" customHeight="1">
      <x:c r="A2543" s="30" t="str">
        <x:v>A029</x:v>
      </x:c>
      <x:c r="B2543" s="30" t="str">
        <x:v>F119</x:v>
      </x:c>
      <x:c r="C2543" s="30" t="str">
        <x:v>equipment.rated_load_kg</x:v>
      </x:c>
      <x:c r="D2543" s="30" t="str">
        <x:v>候选输入schema</x:v>
      </x:c>
      <x:c r="E2543" s="30" t="str">
        <x:v>按执行角色权限读取；策略只能使用可访问快照</x:v>
      </x:c>
    </x:row>
    <x:row r="2544" ht="32" customHeight="1">
      <x:c r="A2544" s="30" t="str">
        <x:v>A029</x:v>
      </x:c>
      <x:c r="B2544" s="30" t="str">
        <x:v>F120</x:v>
      </x:c>
      <x:c r="C2544" s="30" t="str">
        <x:v>equipment.reach_m</x:v>
      </x:c>
      <x:c r="D2544" s="30" t="str">
        <x:v>候选输入schema</x:v>
      </x:c>
      <x:c r="E2544" s="30" t="str">
        <x:v>按执行角色权限读取；策略只能使用可访问快照</x:v>
      </x:c>
    </x:row>
    <x:row r="2545" ht="32" customHeight="1">
      <x:c r="A2545" s="30" t="str">
        <x:v>A029</x:v>
      </x:c>
      <x:c r="B2545" s="30" t="str">
        <x:v>F121</x:v>
      </x:c>
      <x:c r="C2545" s="30" t="str">
        <x:v>equipment.compatible_materials</x:v>
      </x:c>
      <x:c r="D2545" s="30" t="str">
        <x:v>候选输入schema</x:v>
      </x:c>
      <x:c r="E2545" s="30" t="str">
        <x:v>按执行角色权限读取；策略只能使用可访问快照</x:v>
      </x:c>
    </x:row>
    <x:row r="2546" ht="32" customHeight="1">
      <x:c r="A2546" s="30" t="str">
        <x:v>A029</x:v>
      </x:c>
      <x:c r="B2546" s="30" t="str">
        <x:v>F122</x:v>
      </x:c>
      <x:c r="C2546" s="30" t="str">
        <x:v>equipment.tool_size</x:v>
      </x:c>
      <x:c r="D2546" s="30" t="str">
        <x:v>候选输入schema</x:v>
      </x:c>
      <x:c r="E2546" s="30" t="str">
        <x:v>按执行角色权限读取；策略只能使用可访问快照</x:v>
      </x:c>
    </x:row>
    <x:row r="2547" ht="32" customHeight="1">
      <x:c r="A2547" s="30" t="str">
        <x:v>A029</x:v>
      </x:c>
      <x:c r="B2547" s="30" t="str">
        <x:v>F123</x:v>
      </x:c>
      <x:c r="C2547" s="30" t="str">
        <x:v>equipment.consumable_type</x:v>
      </x:c>
      <x:c r="D2547" s="30" t="str">
        <x:v>候选输入schema</x:v>
      </x:c>
      <x:c r="E2547" s="30" t="str">
        <x:v>按执行角色权限读取；策略只能使用可访问快照</x:v>
      </x:c>
    </x:row>
    <x:row r="2548" ht="32" customHeight="1">
      <x:c r="A2548" s="30" t="str">
        <x:v>A029</x:v>
      </x:c>
      <x:c r="B2548" s="30" t="str">
        <x:v>F124</x:v>
      </x:c>
      <x:c r="C2548" s="30" t="str">
        <x:v>equipment.consumable_remaining</x:v>
      </x:c>
      <x:c r="D2548" s="30" t="str">
        <x:v>候选输入schema</x:v>
      </x:c>
      <x:c r="E2548" s="30" t="str">
        <x:v>按执行角色权限读取；策略只能使用可访问快照</x:v>
      </x:c>
    </x:row>
    <x:row r="2549" ht="32" customHeight="1">
      <x:c r="A2549" s="30" t="str">
        <x:v>A029</x:v>
      </x:c>
      <x:c r="B2549" s="30" t="str">
        <x:v>F125</x:v>
      </x:c>
      <x:c r="C2549" s="30" t="str">
        <x:v>equipment.operator_authority</x:v>
      </x:c>
      <x:c r="D2549" s="30" t="str">
        <x:v>候选输入schema</x:v>
      </x:c>
      <x:c r="E2549" s="30" t="str">
        <x:v>按执行角色权限读取；策略只能使用可访问快照</x:v>
      </x:c>
    </x:row>
    <x:row r="2550" ht="32" customHeight="1">
      <x:c r="A2550" s="30" t="str">
        <x:v>A029</x:v>
      </x:c>
      <x:c r="B2550" s="30" t="str">
        <x:v>F126</x:v>
      </x:c>
      <x:c r="C2550" s="30" t="str">
        <x:v>equipment.setup_state</x:v>
      </x:c>
      <x:c r="D2550" s="30" t="str">
        <x:v>候选输入schema</x:v>
      </x:c>
      <x:c r="E2550" s="30" t="str">
        <x:v>按执行角色权限读取；策略只能使用可访问快照</x:v>
      </x:c>
    </x:row>
    <x:row r="2551" ht="32" customHeight="1">
      <x:c r="A2551" s="30" t="str">
        <x:v>A029</x:v>
      </x:c>
      <x:c r="B2551" s="30" t="str">
        <x:v>F127</x:v>
      </x:c>
      <x:c r="C2551" s="30" t="str">
        <x:v>equipment.busy_action_id</x:v>
      </x:c>
      <x:c r="D2551" s="30" t="str">
        <x:v>候选输入schema</x:v>
      </x:c>
      <x:c r="E2551" s="30" t="str">
        <x:v>按执行角色权限读取；策略只能使用可访问快照</x:v>
      </x:c>
    </x:row>
    <x:row r="2552" ht="32" customHeight="1">
      <x:c r="A2552" s="30" t="str">
        <x:v>A029</x:v>
      </x:c>
      <x:c r="B2552" s="30" t="str">
        <x:v>F141</x:v>
      </x:c>
      <x:c r="C2552" s="30" t="str">
        <x:v>station.kind</x:v>
      </x:c>
      <x:c r="D2552" s="30" t="str">
        <x:v>候选输入schema</x:v>
      </x:c>
      <x:c r="E2552" s="30" t="str">
        <x:v>按执行角色权限读取；策略只能使用可访问快照</x:v>
      </x:c>
    </x:row>
    <x:row r="2553" ht="32" customHeight="1">
      <x:c r="A2553" s="30" t="str">
        <x:v>A029</x:v>
      </x:c>
      <x:c r="B2553" s="30" t="str">
        <x:v>F142</x:v>
      </x:c>
      <x:c r="C2553" s="30" t="str">
        <x:v>station.capacity</x:v>
      </x:c>
      <x:c r="D2553" s="30" t="str">
        <x:v>候选输入schema</x:v>
      </x:c>
      <x:c r="E2553" s="30" t="str">
        <x:v>按执行角色权限读取；策略只能使用可访问快照</x:v>
      </x:c>
    </x:row>
    <x:row r="2554" ht="32" customHeight="1">
      <x:c r="A2554" s="30" t="str">
        <x:v>A029</x:v>
      </x:c>
      <x:c r="B2554" s="30" t="str">
        <x:v>F143</x:v>
      </x:c>
      <x:c r="C2554" s="30" t="str">
        <x:v>station.occupied</x:v>
      </x:c>
      <x:c r="D2554" s="30" t="str">
        <x:v>候选输入schema</x:v>
      </x:c>
      <x:c r="E2554" s="30" t="str">
        <x:v>按执行角色权限读取；策略只能使用可访问快照</x:v>
      </x:c>
    </x:row>
    <x:row r="2555" ht="32" customHeight="1">
      <x:c r="A2555" s="30" t="str">
        <x:v>A029</x:v>
      </x:c>
      <x:c r="B2555" s="30" t="str">
        <x:v>F144</x:v>
      </x:c>
      <x:c r="C2555" s="30" t="str">
        <x:v>station.inventory</x:v>
      </x:c>
      <x:c r="D2555" s="30" t="str">
        <x:v>候选输入schema</x:v>
      </x:c>
      <x:c r="E2555" s="30" t="str">
        <x:v>按执行角色权限读取；策略只能使用可访问快照</x:v>
      </x:c>
    </x:row>
    <x:row r="2556" ht="32" customHeight="1">
      <x:c r="A2556" s="30" t="str">
        <x:v>A029</x:v>
      </x:c>
      <x:c r="B2556" s="30" t="str">
        <x:v>F145</x:v>
      </x:c>
      <x:c r="C2556" s="30" t="str">
        <x:v>station.power_W</x:v>
      </x:c>
      <x:c r="D2556" s="30" t="str">
        <x:v>候选输入schema</x:v>
      </x:c>
      <x:c r="E2556" s="30" t="str">
        <x:v>按执行角色权限读取；策略只能使用可访问快照</x:v>
      </x:c>
    </x:row>
    <x:row r="2557" ht="32" customHeight="1">
      <x:c r="A2557" s="30" t="str">
        <x:v>A029</x:v>
      </x:c>
      <x:c r="B2557" s="30" t="str">
        <x:v>F146</x:v>
      </x:c>
      <x:c r="C2557" s="30" t="str">
        <x:v>station.connector_types</x:v>
      </x:c>
      <x:c r="D2557" s="30" t="str">
        <x:v>候选输入schema</x:v>
      </x:c>
      <x:c r="E2557" s="30" t="str">
        <x:v>按执行角色权限读取；策略只能使用可访问快照</x:v>
      </x:c>
    </x:row>
    <x:row r="2558" ht="32" customHeight="1">
      <x:c r="A2558" s="30" t="str">
        <x:v>A029</x:v>
      </x:c>
      <x:c r="B2558" s="30" t="str">
        <x:v>F147</x:v>
      </x:c>
      <x:c r="C2558" s="30" t="str">
        <x:v>station.queue_ids</x:v>
      </x:c>
      <x:c r="D2558" s="30" t="str">
        <x:v>候选输入schema</x:v>
      </x:c>
      <x:c r="E2558" s="30" t="str">
        <x:v>按执行角色权限读取；策略只能使用可访问快照</x:v>
      </x:c>
    </x:row>
    <x:row r="2559" ht="32" customHeight="1">
      <x:c r="A2559" s="30" t="str">
        <x:v>A029</x:v>
      </x:c>
      <x:c r="B2559" s="30" t="str">
        <x:v>F148</x:v>
      </x:c>
      <x:c r="C2559" s="30" t="str">
        <x:v>station.open_state</x:v>
      </x:c>
      <x:c r="D2559" s="30" t="str">
        <x:v>候选输入schema</x:v>
      </x:c>
      <x:c r="E2559" s="30" t="str">
        <x:v>按执行角色权限读取；策略只能使用可访问快照</x:v>
      </x:c>
    </x:row>
    <x:row r="2560" ht="32" customHeight="1">
      <x:c r="A2560" s="30" t="str">
        <x:v>A029</x:v>
      </x:c>
      <x:c r="B2560" s="30" t="str">
        <x:v>F149</x:v>
      </x:c>
      <x:c r="C2560" s="30" t="str">
        <x:v>station.accepted_need_types</x:v>
      </x:c>
      <x:c r="D2560" s="30" t="str">
        <x:v>候选输入schema</x:v>
      </x:c>
      <x:c r="E2560" s="30" t="str">
        <x:v>按执行角色权限读取；策略只能使用可访问快照</x:v>
      </x:c>
    </x:row>
    <x:row r="2561" ht="32" customHeight="1">
      <x:c r="A2561" s="30" t="str">
        <x:v>A029</x:v>
      </x:c>
      <x:c r="B2561" s="30" t="str">
        <x:v>F150</x:v>
      </x:c>
      <x:c r="C2561" s="30" t="str">
        <x:v>station.access_region</x:v>
      </x:c>
      <x:c r="D2561" s="30" t="str">
        <x:v>候选输入schema</x:v>
      </x:c>
      <x:c r="E2561" s="30" t="str">
        <x:v>按执行角色权限读取；策略只能使用可访问快照</x:v>
      </x:c>
    </x:row>
    <x:row r="2562" ht="32" customHeight="1">
      <x:c r="A2562" s="30" t="str">
        <x:v>A029</x:v>
      </x:c>
      <x:c r="B2562" s="30" t="str">
        <x:v>F196</x:v>
      </x:c>
      <x:c r="C2562" s="30" t="str">
        <x:v>task.type</x:v>
      </x:c>
      <x:c r="D2562" s="30" t="str">
        <x:v>候选输入schema</x:v>
      </x:c>
      <x:c r="E2562" s="30" t="str">
        <x:v>按执行角色权限读取；策略只能使用可访问快照</x:v>
      </x:c>
    </x:row>
    <x:row r="2563" ht="32" customHeight="1">
      <x:c r="A2563" s="30" t="str">
        <x:v>A029</x:v>
      </x:c>
      <x:c r="B2563" s="30" t="str">
        <x:v>F197</x:v>
      </x:c>
      <x:c r="C2563" s="30" t="str">
        <x:v>task.creator_id</x:v>
      </x:c>
      <x:c r="D2563" s="30" t="str">
        <x:v>候选输入schema</x:v>
      </x:c>
      <x:c r="E2563" s="30" t="str">
        <x:v>按执行角色权限读取；策略只能使用可访问快照</x:v>
      </x:c>
    </x:row>
    <x:row r="2564" ht="32" customHeight="1">
      <x:c r="A2564" s="30" t="str">
        <x:v>A029</x:v>
      </x:c>
      <x:c r="B2564" s="30" t="str">
        <x:v>F198</x:v>
      </x:c>
      <x:c r="C2564" s="30" t="str">
        <x:v>task.target_ref</x:v>
      </x:c>
      <x:c r="D2564" s="30" t="str">
        <x:v>候选输入schema</x:v>
      </x:c>
      <x:c r="E2564" s="30" t="str">
        <x:v>按执行角色权限读取；策略只能使用可访问快照</x:v>
      </x:c>
    </x:row>
    <x:row r="2565" ht="32" customHeight="1">
      <x:c r="A2565" s="30" t="str">
        <x:v>A029</x:v>
      </x:c>
      <x:c r="B2565" s="30" t="str">
        <x:v>F199</x:v>
      </x:c>
      <x:c r="C2565" s="30" t="str">
        <x:v>task.goal_predicate</x:v>
      </x:c>
      <x:c r="D2565" s="30" t="str">
        <x:v>候选输入schema</x:v>
      </x:c>
      <x:c r="E2565" s="30" t="str">
        <x:v>按执行角色权限读取；策略只能使用可访问快照</x:v>
      </x:c>
    </x:row>
    <x:row r="2566" ht="32" customHeight="1">
      <x:c r="A2566" s="30" t="str">
        <x:v>A029</x:v>
      </x:c>
      <x:c r="B2566" s="30" t="str">
        <x:v>F200</x:v>
      </x:c>
      <x:c r="C2566" s="30" t="str">
        <x:v>task.revision</x:v>
      </x:c>
      <x:c r="D2566" s="30" t="str">
        <x:v>候选输入schema</x:v>
      </x:c>
      <x:c r="E2566" s="30" t="str">
        <x:v>按执行角色权限读取；策略只能使用可访问快照</x:v>
      </x:c>
    </x:row>
    <x:row r="2567" ht="32" customHeight="1">
      <x:c r="A2567" s="30" t="str">
        <x:v>A029</x:v>
      </x:c>
      <x:c r="B2567" s="30" t="str">
        <x:v>F201</x:v>
      </x:c>
      <x:c r="C2567" s="30" t="str">
        <x:v>task.status</x:v>
      </x:c>
      <x:c r="D2567" s="30" t="str">
        <x:v>候选输入schema</x:v>
      </x:c>
      <x:c r="E2567" s="30" t="str">
        <x:v>按执行角色权限读取；策略只能使用可访问快照</x:v>
      </x:c>
    </x:row>
    <x:row r="2568" ht="32" customHeight="1">
      <x:c r="A2568" s="30" t="str">
        <x:v>A029</x:v>
      </x:c>
      <x:c r="B2568" s="30" t="str">
        <x:v>F202</x:v>
      </x:c>
      <x:c r="C2568" s="30" t="str">
        <x:v>task.priority</x:v>
      </x:c>
      <x:c r="D2568" s="30" t="str">
        <x:v>候选输入schema</x:v>
      </x:c>
      <x:c r="E2568" s="30" t="str">
        <x:v>按执行角色权限读取；策略只能使用可访问快照</x:v>
      </x:c>
    </x:row>
    <x:row r="2569" ht="32" customHeight="1">
      <x:c r="A2569" s="30" t="str">
        <x:v>A029</x:v>
      </x:c>
      <x:c r="B2569" s="30" t="str">
        <x:v>F203</x:v>
      </x:c>
      <x:c r="C2569" s="30" t="str">
        <x:v>task.deadline_s</x:v>
      </x:c>
      <x:c r="D2569" s="30" t="str">
        <x:v>候选输入schema</x:v>
      </x:c>
      <x:c r="E2569" s="30" t="str">
        <x:v>按执行角色权限读取；策略只能使用可访问快照</x:v>
      </x:c>
    </x:row>
    <x:row r="2570" ht="32" customHeight="1">
      <x:c r="A2570" s="30" t="str">
        <x:v>A029</x:v>
      </x:c>
      <x:c r="B2570" s="30" t="str">
        <x:v>F204</x:v>
      </x:c>
      <x:c r="C2570" s="30" t="str">
        <x:v>task.dependency_ids</x:v>
      </x:c>
      <x:c r="D2570" s="30" t="str">
        <x:v>候选输入schema</x:v>
      </x:c>
      <x:c r="E2570" s="30" t="str">
        <x:v>按执行角色权限读取；策略只能使用可访问快照</x:v>
      </x:c>
    </x:row>
    <x:row r="2571" ht="32" customHeight="1">
      <x:c r="A2571" s="30" t="str">
        <x:v>A029</x:v>
      </x:c>
      <x:c r="B2571" s="30" t="str">
        <x:v>F205</x:v>
      </x:c>
      <x:c r="C2571" s="30" t="str">
        <x:v>task.required_capability_ids</x:v>
      </x:c>
      <x:c r="D2571" s="30" t="str">
        <x:v>候选输入schema</x:v>
      </x:c>
      <x:c r="E2571" s="30" t="str">
        <x:v>按执行角色权限读取；策略只能使用可访问快照</x:v>
      </x:c>
    </x:row>
    <x:row r="2572" ht="32" customHeight="1">
      <x:c r="A2572" s="30" t="str">
        <x:v>A029</x:v>
      </x:c>
      <x:c r="B2572" s="30" t="str">
        <x:v>F206</x:v>
      </x:c>
      <x:c r="C2572" s="30" t="str">
        <x:v>task.resource_budget</x:v>
      </x:c>
      <x:c r="D2572" s="30" t="str">
        <x:v>候选输入schema</x:v>
      </x:c>
      <x:c r="E2572" s="30" t="str">
        <x:v>按执行角色权限读取；策略只能使用可访问快照</x:v>
      </x:c>
    </x:row>
    <x:row r="2573" ht="32" customHeight="1">
      <x:c r="A2573" s="30" t="str">
        <x:v>A029</x:v>
      </x:c>
      <x:c r="B2573" s="30" t="str">
        <x:v>F207</x:v>
      </x:c>
      <x:c r="C2573" s="30" t="str">
        <x:v>task.assigned_to</x:v>
      </x:c>
      <x:c r="D2573" s="30" t="str">
        <x:v>候选输入schema</x:v>
      </x:c>
      <x:c r="E2573" s="30" t="str">
        <x:v>按执行角色权限读取；策略只能使用可访问快照</x:v>
      </x:c>
    </x:row>
    <x:row r="2574" ht="32" customHeight="1">
      <x:c r="A2574" s="30" t="str">
        <x:v>A029</x:v>
      </x:c>
      <x:c r="B2574" s="30" t="str">
        <x:v>F208</x:v>
      </x:c>
      <x:c r="C2574" s="30" t="str">
        <x:v>task.accepted_by</x:v>
      </x:c>
      <x:c r="D2574" s="30" t="str">
        <x:v>候选输入schema</x:v>
      </x:c>
      <x:c r="E2574" s="30" t="str">
        <x:v>按执行角色权限读取；策略只能使用可访问快照</x:v>
      </x:c>
    </x:row>
    <x:row r="2575" ht="32" customHeight="1">
      <x:c r="A2575" s="30" t="str">
        <x:v>A029</x:v>
      </x:c>
      <x:c r="B2575" s="30" t="str">
        <x:v>F209</x:v>
      </x:c>
      <x:c r="C2575" s="30" t="str">
        <x:v>task.commitment_window</x:v>
      </x:c>
      <x:c r="D2575" s="30" t="str">
        <x:v>候选输入schema</x:v>
      </x:c>
      <x:c r="E2575" s="30" t="str">
        <x:v>按执行角色权限读取；策略只能使用可访问快照</x:v>
      </x:c>
    </x:row>
    <x:row r="2576" ht="32" customHeight="1">
      <x:c r="A2576" s="30" t="str">
        <x:v>A029</x:v>
      </x:c>
      <x:c r="B2576" s="30" t="str">
        <x:v>F210</x:v>
      </x:c>
      <x:c r="C2576" s="30" t="str">
        <x:v>task.progress</x:v>
      </x:c>
      <x:c r="D2576" s="30" t="str">
        <x:v>候选输入schema</x:v>
      </x:c>
      <x:c r="E2576" s="30" t="str">
        <x:v>按执行角色权限读取；策略只能使用可访问快照</x:v>
      </x:c>
    </x:row>
    <x:row r="2577" ht="32" customHeight="1">
      <x:c r="A2577" s="30" t="str">
        <x:v>A029</x:v>
      </x:c>
      <x:c r="B2577" s="30" t="str">
        <x:v>F211</x:v>
      </x:c>
      <x:c r="C2577" s="30" t="str">
        <x:v>task.active_action_ids</x:v>
      </x:c>
      <x:c r="D2577" s="30" t="str">
        <x:v>候选输入schema</x:v>
      </x:c>
      <x:c r="E2577" s="30" t="str">
        <x:v>按执行角色权限读取；策略只能使用可访问快照</x:v>
      </x:c>
    </x:row>
    <x:row r="2578" ht="32" customHeight="1">
      <x:c r="A2578" s="30" t="str">
        <x:v>A029</x:v>
      </x:c>
      <x:c r="B2578" s="30" t="str">
        <x:v>F212</x:v>
      </x:c>
      <x:c r="C2578" s="30" t="str">
        <x:v>task.interruptibility</x:v>
      </x:c>
      <x:c r="D2578" s="30" t="str">
        <x:v>候选输入schema</x:v>
      </x:c>
      <x:c r="E2578" s="30" t="str">
        <x:v>按执行角色权限读取；策略只能使用可访问快照</x:v>
      </x:c>
    </x:row>
    <x:row r="2579" ht="32" customHeight="1">
      <x:c r="A2579" s="30" t="str">
        <x:v>A029</x:v>
      </x:c>
      <x:c r="B2579" s="30" t="str">
        <x:v>F213</x:v>
      </x:c>
      <x:c r="C2579" s="30" t="str">
        <x:v>task.original_task_id</x:v>
      </x:c>
      <x:c r="D2579" s="30" t="str">
        <x:v>候选输入schema</x:v>
      </x:c>
      <x:c r="E2579" s="30" t="str">
        <x:v>按执行角色权限读取；策略只能使用可访问快照</x:v>
      </x:c>
    </x:row>
    <x:row r="2580" ht="32" customHeight="1">
      <x:c r="A2580" s="30" t="str">
        <x:v>A029</x:v>
      </x:c>
      <x:c r="B2580" s="30" t="str">
        <x:v>F214</x:v>
      </x:c>
      <x:c r="C2580" s="30" t="str">
        <x:v>task.resume_checkpoint</x:v>
      </x:c>
      <x:c r="D2580" s="30" t="str">
        <x:v>候选输入schema</x:v>
      </x:c>
      <x:c r="E2580" s="30" t="str">
        <x:v>按执行角色权限读取；策略只能使用可访问快照</x:v>
      </x:c>
    </x:row>
    <x:row r="2581" ht="32" customHeight="1">
      <x:c r="A2581" s="30" t="str">
        <x:v>A029</x:v>
      </x:c>
      <x:c r="B2581" s="30" t="str">
        <x:v>F215</x:v>
      </x:c>
      <x:c r="C2581" s="30" t="str">
        <x:v>task.handoff_target_id</x:v>
      </x:c>
      <x:c r="D2581" s="30" t="str">
        <x:v>候选输入schema</x:v>
      </x:c>
      <x:c r="E2581" s="30" t="str">
        <x:v>按执行角色权限读取；策略只能使用可访问快照</x:v>
      </x:c>
    </x:row>
    <x:row r="2582" ht="32" customHeight="1">
      <x:c r="A2582" s="30" t="str">
        <x:v>A029</x:v>
      </x:c>
      <x:c r="B2582" s="30" t="str">
        <x:v>F216</x:v>
      </x:c>
      <x:c r="C2582" s="30" t="str">
        <x:v>task.result_evidence_ids</x:v>
      </x:c>
      <x:c r="D2582" s="30" t="str">
        <x:v>候选输入schema</x:v>
      </x:c>
      <x:c r="E2582" s="30" t="str">
        <x:v>按执行角色权限读取；策略只能使用可访问快照</x:v>
      </x:c>
    </x:row>
    <x:row r="2583" ht="32" customHeight="1">
      <x:c r="A2583" s="30" t="str">
        <x:v>A029</x:v>
      </x:c>
      <x:c r="B2583" s="30" t="str">
        <x:v>F217</x:v>
      </x:c>
      <x:c r="C2583" s="30" t="str">
        <x:v>task.failure_reason</x:v>
      </x:c>
      <x:c r="D2583" s="30" t="str">
        <x:v>候选输入schema</x:v>
      </x:c>
      <x:c r="E2583" s="30" t="str">
        <x:v>按执行角色权限读取；策略只能使用可访问快照</x:v>
      </x:c>
    </x:row>
    <x:row r="2584" ht="32" customHeight="1">
      <x:c r="A2584" s="30" t="str">
        <x:v>A029</x:v>
      </x:c>
      <x:c r="B2584" s="30" t="str">
        <x:v>F218</x:v>
      </x:c>
      <x:c r="C2584" s="30" t="str">
        <x:v>task.last_event_s</x:v>
      </x:c>
      <x:c r="D2584" s="30" t="str">
        <x:v>候选输入schema</x:v>
      </x:c>
      <x:c r="E2584" s="30" t="str">
        <x:v>按执行角色权限读取；策略只能使用可访问快照</x:v>
      </x:c>
    </x:row>
    <x:row r="2585" ht="32" customHeight="1">
      <x:c r="A2585" s="30" t="str">
        <x:v>A029</x:v>
      </x:c>
      <x:c r="B2585" s="30" t="str">
        <x:v>F219</x:v>
      </x:c>
      <x:c r="C2585" s="30" t="str">
        <x:v>task.opportunity_cost</x:v>
      </x:c>
      <x:c r="D2585" s="30" t="str">
        <x:v>候选输入schema</x:v>
      </x:c>
      <x:c r="E2585" s="30" t="str">
        <x:v>按执行角色权限读取；策略只能使用可访问快照</x:v>
      </x:c>
    </x:row>
    <x:row r="2586" ht="32" customHeight="1">
      <x:c r="A2586" s="30" t="str">
        <x:v>A029</x:v>
      </x:c>
      <x:c r="B2586" s="30" t="str">
        <x:v>F230</x:v>
      </x:c>
      <x:c r="C2586" s="30" t="str">
        <x:v>action.type</x:v>
      </x:c>
      <x:c r="D2586" s="30" t="str">
        <x:v>候选输入schema</x:v>
      </x:c>
      <x:c r="E2586" s="30" t="str">
        <x:v>按执行角色权限读取；策略只能使用可访问快照</x:v>
      </x:c>
    </x:row>
    <x:row r="2587" ht="32" customHeight="1">
      <x:c r="A2587" s="30" t="str">
        <x:v>A029</x:v>
      </x:c>
      <x:c r="B2587" s="30" t="str">
        <x:v>F231</x:v>
      </x:c>
      <x:c r="C2587" s="30" t="str">
        <x:v>action.executor_id</x:v>
      </x:c>
      <x:c r="D2587" s="30" t="str">
        <x:v>候选输入schema</x:v>
      </x:c>
      <x:c r="E2587" s="30" t="str">
        <x:v>按执行角色权限读取；策略只能使用可访问快照</x:v>
      </x:c>
    </x:row>
    <x:row r="2588" ht="32" customHeight="1">
      <x:c r="A2588" s="30" t="str">
        <x:v>A029</x:v>
      </x:c>
      <x:c r="B2588" s="30" t="str">
        <x:v>F232</x:v>
      </x:c>
      <x:c r="C2588" s="30" t="str">
        <x:v>action.task_ref</x:v>
      </x:c>
      <x:c r="D2588" s="30" t="str">
        <x:v>候选输入schema</x:v>
      </x:c>
      <x:c r="E2588" s="30" t="str">
        <x:v>按执行角色权限读取；策略只能使用可访问快照</x:v>
      </x:c>
    </x:row>
    <x:row r="2589" ht="32" customHeight="1">
      <x:c r="A2589" s="30" t="str">
        <x:v>A029</x:v>
      </x:c>
      <x:c r="B2589" s="30" t="str">
        <x:v>F233</x:v>
      </x:c>
      <x:c r="C2589" s="30" t="str">
        <x:v>action.target_ref</x:v>
      </x:c>
      <x:c r="D2589" s="30" t="str">
        <x:v>候选输入schema</x:v>
      </x:c>
      <x:c r="E2589" s="30" t="str">
        <x:v>按执行角色权限读取；策略只能使用可访问快照</x:v>
      </x:c>
    </x:row>
    <x:row r="2590" ht="32" customHeight="1">
      <x:c r="A2590" s="30" t="str">
        <x:v>A029</x:v>
      </x:c>
      <x:c r="B2590" s="30" t="str">
        <x:v>F234</x:v>
      </x:c>
      <x:c r="C2590" s="30" t="str">
        <x:v>action.parameters</x:v>
      </x:c>
      <x:c r="D2590" s="30" t="str">
        <x:v>候选输入schema</x:v>
      </x:c>
      <x:c r="E2590" s="30" t="str">
        <x:v>按执行角色权限读取；策略只能使用可访问快照</x:v>
      </x:c>
    </x:row>
    <x:row r="2591" ht="32" customHeight="1">
      <x:c r="A2591" s="30" t="str">
        <x:v>A029</x:v>
      </x:c>
      <x:c r="B2591" s="30" t="str">
        <x:v>F235</x:v>
      </x:c>
      <x:c r="C2591" s="30" t="str">
        <x:v>action.status</x:v>
      </x:c>
      <x:c r="D2591" s="30" t="str">
        <x:v>候选输入schema</x:v>
      </x:c>
      <x:c r="E2591" s="30" t="str">
        <x:v>按执行角色权限读取；策略只能使用可访问快照</x:v>
      </x:c>
    </x:row>
    <x:row r="2592" ht="32" customHeight="1">
      <x:c r="A2592" s="30" t="str">
        <x:v>A029</x:v>
      </x:c>
      <x:c r="B2592" s="30" t="str">
        <x:v>F236</x:v>
      </x:c>
      <x:c r="C2592" s="30" t="str">
        <x:v>action.start_s</x:v>
      </x:c>
      <x:c r="D2592" s="30" t="str">
        <x:v>候选输入schema</x:v>
      </x:c>
      <x:c r="E2592" s="30" t="str">
        <x:v>按执行角色权限读取；策略只能使用可访问快照</x:v>
      </x:c>
    </x:row>
    <x:row r="2593" ht="32" customHeight="1">
      <x:c r="A2593" s="30" t="str">
        <x:v>A029</x:v>
      </x:c>
      <x:c r="B2593" s="30" t="str">
        <x:v>F237</x:v>
      </x:c>
      <x:c r="C2593" s="30" t="str">
        <x:v>action.finish_s</x:v>
      </x:c>
      <x:c r="D2593" s="30" t="str">
        <x:v>候选输入schema</x:v>
      </x:c>
      <x:c r="E2593" s="30" t="str">
        <x:v>按执行角色权限读取；策略只能使用可访问快照</x:v>
      </x:c>
    </x:row>
    <x:row r="2594" ht="32" customHeight="1">
      <x:c r="A2594" s="30" t="str">
        <x:v>A029</x:v>
      </x:c>
      <x:c r="B2594" s="30" t="str">
        <x:v>F238</x:v>
      </x:c>
      <x:c r="C2594" s="30" t="str">
        <x:v>action.reserved_resources</x:v>
      </x:c>
      <x:c r="D2594" s="30" t="str">
        <x:v>候选输入schema</x:v>
      </x:c>
      <x:c r="E2594" s="30" t="str">
        <x:v>按执行角色权限读取；策略只能使用可访问快照</x:v>
      </x:c>
    </x:row>
    <x:row r="2595" ht="32" customHeight="1">
      <x:c r="A2595" s="30" t="str">
        <x:v>A029</x:v>
      </x:c>
      <x:c r="B2595" s="30" t="str">
        <x:v>F239</x:v>
      </x:c>
      <x:c r="C2595" s="30" t="str">
        <x:v>action.consumed_resources</x:v>
      </x:c>
      <x:c r="D2595" s="30" t="str">
        <x:v>候选输入schema</x:v>
      </x:c>
      <x:c r="E2595" s="30" t="str">
        <x:v>按执行角色权限读取；策略只能使用可访问快照</x:v>
      </x:c>
    </x:row>
    <x:row r="2596" ht="32" customHeight="1">
      <x:c r="A2596" s="30" t="str">
        <x:v>A029</x:v>
      </x:c>
      <x:c r="B2596" s="30" t="str">
        <x:v>F240</x:v>
      </x:c>
      <x:c r="C2596" s="30" t="str">
        <x:v>action.feedback</x:v>
      </x:c>
      <x:c r="D2596" s="30" t="str">
        <x:v>候选输入schema</x:v>
      </x:c>
      <x:c r="E2596" s="30" t="str">
        <x:v>按执行角色权限读取；策略只能使用可访问快照</x:v>
      </x:c>
    </x:row>
    <x:row r="2597" ht="32" customHeight="1">
      <x:c r="A2597" s="30" t="str">
        <x:v>A029</x:v>
      </x:c>
      <x:c r="B2597" s="30" t="str">
        <x:v>F241</x:v>
      </x:c>
      <x:c r="C2597" s="30" t="str">
        <x:v>action.result</x:v>
      </x:c>
      <x:c r="D2597" s="30" t="str">
        <x:v>候选输入schema</x:v>
      </x:c>
      <x:c r="E2597" s="30" t="str">
        <x:v>按执行角色权限读取；策略只能使用可访问快照</x:v>
      </x:c>
    </x:row>
    <x:row r="2598" ht="32" customHeight="1">
      <x:c r="A2598" s="30" t="str">
        <x:v>A029</x:v>
      </x:c>
      <x:c r="B2598" s="30" t="str">
        <x:v>F242</x:v>
      </x:c>
      <x:c r="C2598" s="30" t="str">
        <x:v>action.rejection_code</x:v>
      </x:c>
      <x:c r="D2598" s="30" t="str">
        <x:v>候选输入schema</x:v>
      </x:c>
      <x:c r="E2598" s="30" t="str">
        <x:v>按执行角色权限读取；策略只能使用可访问快照</x:v>
      </x:c>
    </x:row>
    <x:row r="2599" ht="32" customHeight="1">
      <x:c r="A2599" s="30" t="str">
        <x:v>A029</x:v>
      </x:c>
      <x:c r="B2599" s="30" t="str">
        <x:v>F243</x:v>
      </x:c>
      <x:c r="C2599" s="30" t="str">
        <x:v>action.failure_code</x:v>
      </x:c>
      <x:c r="D2599" s="30" t="str">
        <x:v>候选输入schema</x:v>
      </x:c>
      <x:c r="E2599" s="30" t="str">
        <x:v>按执行角色权限读取；策略只能使用可访问快照</x:v>
      </x:c>
    </x:row>
    <x:row r="2600" ht="32" customHeight="1">
      <x:c r="A2600" s="30" t="str">
        <x:v>A029</x:v>
      </x:c>
      <x:c r="B2600" s="30" t="str">
        <x:v>F244</x:v>
      </x:c>
      <x:c r="C2600" s="30" t="str">
        <x:v>action.cancel_requested</x:v>
      </x:c>
      <x:c r="D2600" s="30" t="str">
        <x:v>候选输入schema</x:v>
      </x:c>
      <x:c r="E2600" s="30" t="str">
        <x:v>按执行角色权限读取；策略只能使用可访问快照</x:v>
      </x:c>
    </x:row>
    <x:row r="2601" ht="32" customHeight="1">
      <x:c r="A2601" s="30" t="str">
        <x:v>A029</x:v>
      </x:c>
      <x:c r="B2601" s="30" t="str">
        <x:v>F245</x:v>
      </x:c>
      <x:c r="C2601" s="30" t="str">
        <x:v>action.backend_mode</x:v>
      </x:c>
      <x:c r="D2601" s="30" t="str">
        <x:v>候选输入schema</x:v>
      </x:c>
      <x:c r="E2601" s="30" t="str">
        <x:v>按执行角色权限读取；策略只能使用可访问快照</x:v>
      </x:c>
    </x:row>
    <x:row r="2602" ht="32" customHeight="1">
      <x:c r="A2602" s="30" t="str">
        <x:v>A029</x:v>
      </x:c>
      <x:c r="B2602" s="30" t="str">
        <x:v>F105</x:v>
      </x:c>
      <x:c r="C2602" s="30" t="str">
        <x:v>platform.battery_remaining_Wh</x:v>
      </x:c>
      <x:c r="D2602" s="30" t="str">
        <x:v>直接效果</x:v>
      </x:c>
      <x:c r="E2602" s="30" t="str">
        <x:v>经实际执行/回执提交；不是规划时提前修改</x:v>
      </x:c>
    </x:row>
    <x:row r="2603" ht="32" customHeight="1">
      <x:c r="A2603" s="30" t="str">
        <x:v>A029</x:v>
      </x:c>
      <x:c r="B2603" s="30" t="str">
        <x:v>F143</x:v>
      </x:c>
      <x:c r="C2603" s="30" t="str">
        <x:v>station.occupied</x:v>
      </x:c>
      <x:c r="D2603" s="30" t="str">
        <x:v>直接效果</x:v>
      </x:c>
      <x:c r="E2603" s="30" t="str">
        <x:v>经实际执行/回执提交；不是规划时提前修改</x:v>
      </x:c>
    </x:row>
    <x:row r="2604" ht="32" customHeight="1">
      <x:c r="A2604" s="30" t="str">
        <x:v>A029</x:v>
      </x:c>
      <x:c r="B2604" s="30" t="str">
        <x:v>F147</x:v>
      </x:c>
      <x:c r="C2604" s="30" t="str">
        <x:v>station.queue_ids</x:v>
      </x:c>
      <x:c r="D2604" s="30" t="str">
        <x:v>直接效果</x:v>
      </x:c>
      <x:c r="E2604" s="30" t="str">
        <x:v>经实际执行/回执提交；不是规划时提前修改</x:v>
      </x:c>
    </x:row>
    <x:row r="2605" ht="32" customHeight="1">
      <x:c r="A2605" s="30" t="str">
        <x:v>A030</x:v>
      </x:c>
      <x:c r="B2605" s="30" t="str">
        <x:v>F095</x:v>
      </x:c>
      <x:c r="C2605" s="30" t="str">
        <x:v>platform.kind</x:v>
      </x:c>
      <x:c r="D2605" s="30" t="str">
        <x:v>候选输入schema</x:v>
      </x:c>
      <x:c r="E2605" s="30" t="str">
        <x:v>按执行角色权限读取；策略只能使用可访问快照</x:v>
      </x:c>
    </x:row>
    <x:row r="2606" ht="32" customHeight="1">
      <x:c r="A2606" s="30" t="str">
        <x:v>A030</x:v>
      </x:c>
      <x:c r="B2606" s="30" t="str">
        <x:v>F096</x:v>
      </x:c>
      <x:c r="C2606" s="30" t="str">
        <x:v>platform.capability_ids</x:v>
      </x:c>
      <x:c r="D2606" s="30" t="str">
        <x:v>候选输入schema</x:v>
      </x:c>
      <x:c r="E2606" s="30" t="str">
        <x:v>按执行角色权限读取；策略只能使用可访问快照</x:v>
      </x:c>
    </x:row>
    <x:row r="2607" ht="32" customHeight="1">
      <x:c r="A2607" s="30" t="str">
        <x:v>A030</x:v>
      </x:c>
      <x:c r="B2607" s="30" t="str">
        <x:v>F097</x:v>
      </x:c>
      <x:c r="C2607" s="30" t="str">
        <x:v>platform.equipment_ids</x:v>
      </x:c>
      <x:c r="D2607" s="30" t="str">
        <x:v>候选输入schema</x:v>
      </x:c>
      <x:c r="E2607" s="30" t="str">
        <x:v>按执行角色权限读取；策略只能使用可访问快照</x:v>
      </x:c>
    </x:row>
    <x:row r="2608" ht="32" customHeight="1">
      <x:c r="A2608" s="30" t="str">
        <x:v>A030</x:v>
      </x:c>
      <x:c r="B2608" s="30" t="str">
        <x:v>F098</x:v>
      </x:c>
      <x:c r="C2608" s="30" t="str">
        <x:v>platform.width_m</x:v>
      </x:c>
      <x:c r="D2608" s="30" t="str">
        <x:v>候选输入schema</x:v>
      </x:c>
      <x:c r="E2608" s="30" t="str">
        <x:v>按执行角色权限读取；策略只能使用可访问快照</x:v>
      </x:c>
    </x:row>
    <x:row r="2609" ht="32" customHeight="1">
      <x:c r="A2609" s="30" t="str">
        <x:v>A030</x:v>
      </x:c>
      <x:c r="B2609" s="30" t="str">
        <x:v>F099</x:v>
      </x:c>
      <x:c r="C2609" s="30" t="str">
        <x:v>platform.height_m</x:v>
      </x:c>
      <x:c r="D2609" s="30" t="str">
        <x:v>候选输入schema</x:v>
      </x:c>
      <x:c r="E2609" s="30" t="str">
        <x:v>按执行角色权限读取；策略只能使用可访问快照</x:v>
      </x:c>
    </x:row>
    <x:row r="2610" ht="32" customHeight="1">
      <x:c r="A2610" s="30" t="str">
        <x:v>A030</x:v>
      </x:c>
      <x:c r="B2610" s="30" t="str">
        <x:v>F100</x:v>
      </x:c>
      <x:c r="C2610" s="30" t="str">
        <x:v>platform.swept_radius_m</x:v>
      </x:c>
      <x:c r="D2610" s="30" t="str">
        <x:v>候选输入schema</x:v>
      </x:c>
      <x:c r="E2610" s="30" t="str">
        <x:v>按执行角色权限读取；策略只能使用可访问快照</x:v>
      </x:c>
    </x:row>
    <x:row r="2611" ht="32" customHeight="1">
      <x:c r="A2611" s="30" t="str">
        <x:v>A030</x:v>
      </x:c>
      <x:c r="B2611" s="30" t="str">
        <x:v>F101</x:v>
      </x:c>
      <x:c r="C2611" s="30" t="str">
        <x:v>platform.payload_capacity_kg</x:v>
      </x:c>
      <x:c r="D2611" s="30" t="str">
        <x:v>候选输入schema</x:v>
      </x:c>
      <x:c r="E2611" s="30" t="str">
        <x:v>按执行角色权限读取；策略只能使用可访问快照</x:v>
      </x:c>
    </x:row>
    <x:row r="2612" ht="32" customHeight="1">
      <x:c r="A2612" s="30" t="str">
        <x:v>A030</x:v>
      </x:c>
      <x:c r="B2612" s="30" t="str">
        <x:v>F102</x:v>
      </x:c>
      <x:c r="C2612" s="30" t="str">
        <x:v>platform.payload_used_kg</x:v>
      </x:c>
      <x:c r="D2612" s="30" t="str">
        <x:v>候选输入schema</x:v>
      </x:c>
      <x:c r="E2612" s="30" t="str">
        <x:v>按执行角色权限读取；策略只能使用可访问快照</x:v>
      </x:c>
    </x:row>
    <x:row r="2613" ht="32" customHeight="1">
      <x:c r="A2613" s="30" t="str">
        <x:v>A030</x:v>
      </x:c>
      <x:c r="B2613" s="30" t="str">
        <x:v>F103</x:v>
      </x:c>
      <x:c r="C2613" s="30" t="str">
        <x:v>platform.payload_item_ids</x:v>
      </x:c>
      <x:c r="D2613" s="30" t="str">
        <x:v>候选输入schema</x:v>
      </x:c>
      <x:c r="E2613" s="30" t="str">
        <x:v>按执行角色权限读取；策略只能使用可访问快照</x:v>
      </x:c>
    </x:row>
    <x:row r="2614" ht="32" customHeight="1">
      <x:c r="A2614" s="30" t="str">
        <x:v>A030</x:v>
      </x:c>
      <x:c r="B2614" s="30" t="str">
        <x:v>F104</x:v>
      </x:c>
      <x:c r="C2614" s="30" t="str">
        <x:v>platform.battery_capacity_Wh</x:v>
      </x:c>
      <x:c r="D2614" s="30" t="str">
        <x:v>候选输入schema</x:v>
      </x:c>
      <x:c r="E2614" s="30" t="str">
        <x:v>按执行角色权限读取；策略只能使用可访问快照</x:v>
      </x:c>
    </x:row>
    <x:row r="2615" ht="32" customHeight="1">
      <x:c r="A2615" s="30" t="str">
        <x:v>A030</x:v>
      </x:c>
      <x:c r="B2615" s="30" t="str">
        <x:v>F105</x:v>
      </x:c>
      <x:c r="C2615" s="30" t="str">
        <x:v>platform.battery_remaining_Wh</x:v>
      </x:c>
      <x:c r="D2615" s="30" t="str">
        <x:v>候选输入schema</x:v>
      </x:c>
      <x:c r="E2615" s="30" t="str">
        <x:v>按执行角色权限读取；策略只能使用可访问快照</x:v>
      </x:c>
    </x:row>
    <x:row r="2616" ht="32" customHeight="1">
      <x:c r="A2616" s="30" t="str">
        <x:v>A030</x:v>
      </x:c>
      <x:c r="B2616" s="30" t="str">
        <x:v>F106</x:v>
      </x:c>
      <x:c r="C2616" s="30" t="str">
        <x:v>platform.reserve_Wh</x:v>
      </x:c>
      <x:c r="D2616" s="30" t="str">
        <x:v>候选输入schema</x:v>
      </x:c>
      <x:c r="E2616" s="30" t="str">
        <x:v>按执行角色权限读取；策略只能使用可访问快照</x:v>
      </x:c>
    </x:row>
    <x:row r="2617" ht="32" customHeight="1">
      <x:c r="A2617" s="30" t="str">
        <x:v>A030</x:v>
      </x:c>
      <x:c r="B2617" s="30" t="str">
        <x:v>F107</x:v>
      </x:c>
      <x:c r="C2617" s="30" t="str">
        <x:v>platform.speed_limit_mps</x:v>
      </x:c>
      <x:c r="D2617" s="30" t="str">
        <x:v>候选输入schema</x:v>
      </x:c>
      <x:c r="E2617" s="30" t="str">
        <x:v>按执行角色权限读取；策略只能使用可访问快照</x:v>
      </x:c>
    </x:row>
    <x:row r="2618" ht="32" customHeight="1">
      <x:c r="A2618" s="30" t="str">
        <x:v>A030</x:v>
      </x:c>
      <x:c r="B2618" s="30" t="str">
        <x:v>F108</x:v>
      </x:c>
      <x:c r="C2618" s="30" t="str">
        <x:v>platform.energy_model</x:v>
      </x:c>
      <x:c r="D2618" s="30" t="str">
        <x:v>候选输入schema</x:v>
      </x:c>
      <x:c r="E2618" s="30" t="str">
        <x:v>按执行角色权限读取；策略只能使用可访问快照</x:v>
      </x:c>
    </x:row>
    <x:row r="2619" ht="32" customHeight="1">
      <x:c r="A2619" s="30" t="str">
        <x:v>A030</x:v>
      </x:c>
      <x:c r="B2619" s="30" t="str">
        <x:v>F109</x:v>
      </x:c>
      <x:c r="C2619" s="30" t="str">
        <x:v>platform.motion_state</x:v>
      </x:c>
      <x:c r="D2619" s="30" t="str">
        <x:v>候选输入schema</x:v>
      </x:c>
      <x:c r="E2619" s="30" t="str">
        <x:v>按执行角色权限读取；策略只能使用可访问快照</x:v>
      </x:c>
    </x:row>
    <x:row r="2620" ht="32" customHeight="1">
      <x:c r="A2620" s="30" t="str">
        <x:v>A030</x:v>
      </x:c>
      <x:c r="B2620" s="30" t="str">
        <x:v>F110</x:v>
      </x:c>
      <x:c r="C2620" s="30" t="str">
        <x:v>platform.health_state</x:v>
      </x:c>
      <x:c r="D2620" s="30" t="str">
        <x:v>候选输入schema</x:v>
      </x:c>
      <x:c r="E2620" s="30" t="str">
        <x:v>按执行角色权限读取；策略只能使用可访问快照</x:v>
      </x:c>
    </x:row>
    <x:row r="2621" ht="32" customHeight="1">
      <x:c r="A2621" s="30" t="str">
        <x:v>A030</x:v>
      </x:c>
      <x:c r="B2621" s="30" t="str">
        <x:v>F111</x:v>
      </x:c>
      <x:c r="C2621" s="30" t="str">
        <x:v>platform.current_action_id</x:v>
      </x:c>
      <x:c r="D2621" s="30" t="str">
        <x:v>候选输入schema</x:v>
      </x:c>
      <x:c r="E2621" s="30" t="str">
        <x:v>按执行角色权限读取；策略只能使用可访问快照</x:v>
      </x:c>
    </x:row>
    <x:row r="2622" ht="32" customHeight="1">
      <x:c r="A2622" s="30" t="str">
        <x:v>A030</x:v>
      </x:c>
      <x:c r="B2622" s="30" t="str">
        <x:v>F112</x:v>
      </x:c>
      <x:c r="C2622" s="30" t="str">
        <x:v>platform.busy_until_est_s</x:v>
      </x:c>
      <x:c r="D2622" s="30" t="str">
        <x:v>候选输入schema</x:v>
      </x:c>
      <x:c r="E2622" s="30" t="str">
        <x:v>按执行角色权限读取；策略只能使用可访问快照</x:v>
      </x:c>
    </x:row>
    <x:row r="2623" ht="32" customHeight="1">
      <x:c r="A2623" s="30" t="str">
        <x:v>A030</x:v>
      </x:c>
      <x:c r="B2623" s="30" t="str">
        <x:v>F113</x:v>
      </x:c>
      <x:c r="C2623" s="30" t="str">
        <x:v>platform.return_site_id</x:v>
      </x:c>
      <x:c r="D2623" s="30" t="str">
        <x:v>候选输入schema</x:v>
      </x:c>
      <x:c r="E2623" s="30" t="str">
        <x:v>按执行角色权限读取；策略只能使用可访问快照</x:v>
      </x:c>
    </x:row>
    <x:row r="2624" ht="32" customHeight="1">
      <x:c r="A2624" s="30" t="str">
        <x:v>A030</x:v>
      </x:c>
      <x:c r="B2624" s="30" t="str">
        <x:v>F114</x:v>
      </x:c>
      <x:c r="C2624" s="30" t="str">
        <x:v>platform.water_tolerance_m</x:v>
      </x:c>
      <x:c r="D2624" s="30" t="str">
        <x:v>候选输入schema</x:v>
      </x:c>
      <x:c r="E2624" s="30" t="str">
        <x:v>按执行角色权限读取；策略只能使用可访问快照</x:v>
      </x:c>
    </x:row>
    <x:row r="2625" ht="32" customHeight="1">
      <x:c r="A2625" s="30" t="str">
        <x:v>A030</x:v>
      </x:c>
      <x:c r="B2625" s="30" t="str">
        <x:v>F115</x:v>
      </x:c>
      <x:c r="C2625" s="30" t="str">
        <x:v>platform.concurrency_policy</x:v>
      </x:c>
      <x:c r="D2625" s="30" t="str">
        <x:v>候选输入schema</x:v>
      </x:c>
      <x:c r="E2625" s="30" t="str">
        <x:v>按执行角色权限读取；策略只能使用可访问快照</x:v>
      </x:c>
    </x:row>
    <x:row r="2626" ht="32" customHeight="1">
      <x:c r="A2626" s="30" t="str">
        <x:v>A030</x:v>
      </x:c>
      <x:c r="B2626" s="30" t="str">
        <x:v>F116</x:v>
      </x:c>
      <x:c r="C2626" s="30" t="str">
        <x:v>equipment.kind</x:v>
      </x:c>
      <x:c r="D2626" s="30" t="str">
        <x:v>候选输入schema</x:v>
      </x:c>
      <x:c r="E2626" s="30" t="str">
        <x:v>按执行角色权限读取；策略只能使用可访问快照</x:v>
      </x:c>
    </x:row>
    <x:row r="2627" ht="32" customHeight="1">
      <x:c r="A2627" s="30" t="str">
        <x:v>A030</x:v>
      </x:c>
      <x:c r="B2627" s="30" t="str">
        <x:v>F117</x:v>
      </x:c>
      <x:c r="C2627" s="30" t="str">
        <x:v>equipment.enabled</x:v>
      </x:c>
      <x:c r="D2627" s="30" t="str">
        <x:v>候选输入schema</x:v>
      </x:c>
      <x:c r="E2627" s="30" t="str">
        <x:v>按执行角色权限读取；策略只能使用可访问快照</x:v>
      </x:c>
    </x:row>
    <x:row r="2628" ht="32" customHeight="1">
      <x:c r="A2628" s="30" t="str">
        <x:v>A030</x:v>
      </x:c>
      <x:c r="B2628" s="30" t="str">
        <x:v>F118</x:v>
      </x:c>
      <x:c r="C2628" s="30" t="str">
        <x:v>equipment.health</x:v>
      </x:c>
      <x:c r="D2628" s="30" t="str">
        <x:v>候选输入schema</x:v>
      </x:c>
      <x:c r="E2628" s="30" t="str">
        <x:v>按执行角色权限读取；策略只能使用可访问快照</x:v>
      </x:c>
    </x:row>
    <x:row r="2629" ht="32" customHeight="1">
      <x:c r="A2629" s="30" t="str">
        <x:v>A030</x:v>
      </x:c>
      <x:c r="B2629" s="30" t="str">
        <x:v>F119</x:v>
      </x:c>
      <x:c r="C2629" s="30" t="str">
        <x:v>equipment.rated_load_kg</x:v>
      </x:c>
      <x:c r="D2629" s="30" t="str">
        <x:v>候选输入schema</x:v>
      </x:c>
      <x:c r="E2629" s="30" t="str">
        <x:v>按执行角色权限读取；策略只能使用可访问快照</x:v>
      </x:c>
    </x:row>
    <x:row r="2630" ht="32" customHeight="1">
      <x:c r="A2630" s="30" t="str">
        <x:v>A030</x:v>
      </x:c>
      <x:c r="B2630" s="30" t="str">
        <x:v>F120</x:v>
      </x:c>
      <x:c r="C2630" s="30" t="str">
        <x:v>equipment.reach_m</x:v>
      </x:c>
      <x:c r="D2630" s="30" t="str">
        <x:v>候选输入schema</x:v>
      </x:c>
      <x:c r="E2630" s="30" t="str">
        <x:v>按执行角色权限读取；策略只能使用可访问快照</x:v>
      </x:c>
    </x:row>
    <x:row r="2631" ht="32" customHeight="1">
      <x:c r="A2631" s="30" t="str">
        <x:v>A030</x:v>
      </x:c>
      <x:c r="B2631" s="30" t="str">
        <x:v>F121</x:v>
      </x:c>
      <x:c r="C2631" s="30" t="str">
        <x:v>equipment.compatible_materials</x:v>
      </x:c>
      <x:c r="D2631" s="30" t="str">
        <x:v>候选输入schema</x:v>
      </x:c>
      <x:c r="E2631" s="30" t="str">
        <x:v>按执行角色权限读取；策略只能使用可访问快照</x:v>
      </x:c>
    </x:row>
    <x:row r="2632" ht="32" customHeight="1">
      <x:c r="A2632" s="30" t="str">
        <x:v>A030</x:v>
      </x:c>
      <x:c r="B2632" s="30" t="str">
        <x:v>F122</x:v>
      </x:c>
      <x:c r="C2632" s="30" t="str">
        <x:v>equipment.tool_size</x:v>
      </x:c>
      <x:c r="D2632" s="30" t="str">
        <x:v>候选输入schema</x:v>
      </x:c>
      <x:c r="E2632" s="30" t="str">
        <x:v>按执行角色权限读取；策略只能使用可访问快照</x:v>
      </x:c>
    </x:row>
    <x:row r="2633" ht="32" customHeight="1">
      <x:c r="A2633" s="30" t="str">
        <x:v>A030</x:v>
      </x:c>
      <x:c r="B2633" s="30" t="str">
        <x:v>F123</x:v>
      </x:c>
      <x:c r="C2633" s="30" t="str">
        <x:v>equipment.consumable_type</x:v>
      </x:c>
      <x:c r="D2633" s="30" t="str">
        <x:v>候选输入schema</x:v>
      </x:c>
      <x:c r="E2633" s="30" t="str">
        <x:v>按执行角色权限读取；策略只能使用可访问快照</x:v>
      </x:c>
    </x:row>
    <x:row r="2634" ht="32" customHeight="1">
      <x:c r="A2634" s="30" t="str">
        <x:v>A030</x:v>
      </x:c>
      <x:c r="B2634" s="30" t="str">
        <x:v>F124</x:v>
      </x:c>
      <x:c r="C2634" s="30" t="str">
        <x:v>equipment.consumable_remaining</x:v>
      </x:c>
      <x:c r="D2634" s="30" t="str">
        <x:v>候选输入schema</x:v>
      </x:c>
      <x:c r="E2634" s="30" t="str">
        <x:v>按执行角色权限读取；策略只能使用可访问快照</x:v>
      </x:c>
    </x:row>
    <x:row r="2635" ht="32" customHeight="1">
      <x:c r="A2635" s="30" t="str">
        <x:v>A030</x:v>
      </x:c>
      <x:c r="B2635" s="30" t="str">
        <x:v>F125</x:v>
      </x:c>
      <x:c r="C2635" s="30" t="str">
        <x:v>equipment.operator_authority</x:v>
      </x:c>
      <x:c r="D2635" s="30" t="str">
        <x:v>候选输入schema</x:v>
      </x:c>
      <x:c r="E2635" s="30" t="str">
        <x:v>按执行角色权限读取；策略只能使用可访问快照</x:v>
      </x:c>
    </x:row>
    <x:row r="2636" ht="32" customHeight="1">
      <x:c r="A2636" s="30" t="str">
        <x:v>A030</x:v>
      </x:c>
      <x:c r="B2636" s="30" t="str">
        <x:v>F126</x:v>
      </x:c>
      <x:c r="C2636" s="30" t="str">
        <x:v>equipment.setup_state</x:v>
      </x:c>
      <x:c r="D2636" s="30" t="str">
        <x:v>候选输入schema</x:v>
      </x:c>
      <x:c r="E2636" s="30" t="str">
        <x:v>按执行角色权限读取；策略只能使用可访问快照</x:v>
      </x:c>
    </x:row>
    <x:row r="2637" ht="32" customHeight="1">
      <x:c r="A2637" s="30" t="str">
        <x:v>A030</x:v>
      </x:c>
      <x:c r="B2637" s="30" t="str">
        <x:v>F127</x:v>
      </x:c>
      <x:c r="C2637" s="30" t="str">
        <x:v>equipment.busy_action_id</x:v>
      </x:c>
      <x:c r="D2637" s="30" t="str">
        <x:v>候选输入schema</x:v>
      </x:c>
      <x:c r="E2637" s="30" t="str">
        <x:v>按执行角色权限读取；策略只能使用可访问快照</x:v>
      </x:c>
    </x:row>
    <x:row r="2638" ht="32" customHeight="1">
      <x:c r="A2638" s="30" t="str">
        <x:v>A030</x:v>
      </x:c>
      <x:c r="B2638" s="30" t="str">
        <x:v>F128</x:v>
      </x:c>
      <x:c r="C2638" s="30" t="str">
        <x:v>item.kind</x:v>
      </x:c>
      <x:c r="D2638" s="30" t="str">
        <x:v>候选输入schema</x:v>
      </x:c>
      <x:c r="E2638" s="30" t="str">
        <x:v>按执行角色权限读取；策略只能使用可访问快照</x:v>
      </x:c>
    </x:row>
    <x:row r="2639" ht="32" customHeight="1">
      <x:c r="A2639" s="30" t="str">
        <x:v>A030</x:v>
      </x:c>
      <x:c r="B2639" s="30" t="str">
        <x:v>F129</x:v>
      </x:c>
      <x:c r="C2639" s="30" t="str">
        <x:v>item.mass_kg</x:v>
      </x:c>
      <x:c r="D2639" s="30" t="str">
        <x:v>候选输入schema</x:v>
      </x:c>
      <x:c r="E2639" s="30" t="str">
        <x:v>按执行角色权限读取；策略只能使用可访问快照</x:v>
      </x:c>
    </x:row>
    <x:row r="2640" ht="32" customHeight="1">
      <x:c r="A2640" s="30" t="str">
        <x:v>A030</x:v>
      </x:c>
      <x:c r="B2640" s="30" t="str">
        <x:v>F130</x:v>
      </x:c>
      <x:c r="C2640" s="30" t="str">
        <x:v>item.dimensions_m</x:v>
      </x:c>
      <x:c r="D2640" s="30" t="str">
        <x:v>候选输入schema</x:v>
      </x:c>
      <x:c r="E2640" s="30" t="str">
        <x:v>按执行角色权限读取；策略只能使用可访问快照</x:v>
      </x:c>
    </x:row>
    <x:row r="2641" ht="32" customHeight="1">
      <x:c r="A2641" s="30" t="str">
        <x:v>A030</x:v>
      </x:c>
      <x:c r="B2641" s="30" t="str">
        <x:v>F131</x:v>
      </x:c>
      <x:c r="C2641" s="30" t="str">
        <x:v>item.quantity</x:v>
      </x:c>
      <x:c r="D2641" s="30" t="str">
        <x:v>候选输入schema</x:v>
      </x:c>
      <x:c r="E2641" s="30" t="str">
        <x:v>按执行角色权限读取；策略只能使用可访问快照</x:v>
      </x:c>
    </x:row>
    <x:row r="2642" ht="32" customHeight="1">
      <x:c r="A2642" s="30" t="str">
        <x:v>A030</x:v>
      </x:c>
      <x:c r="B2642" s="30" t="str">
        <x:v>F132</x:v>
      </x:c>
      <x:c r="C2642" s="30" t="str">
        <x:v>item.holder_id</x:v>
      </x:c>
      <x:c r="D2642" s="30" t="str">
        <x:v>候选输入schema</x:v>
      </x:c>
      <x:c r="E2642" s="30" t="str">
        <x:v>按执行角色权限读取；策略只能使用可访问快照</x:v>
      </x:c>
    </x:row>
    <x:row r="2643" ht="32" customHeight="1">
      <x:c r="A2643" s="30" t="str">
        <x:v>A030</x:v>
      </x:c>
      <x:c r="B2643" s="30" t="str">
        <x:v>F133</x:v>
      </x:c>
      <x:c r="C2643" s="30" t="str">
        <x:v>item.state</x:v>
      </x:c>
      <x:c r="D2643" s="30" t="str">
        <x:v>候选输入schema</x:v>
      </x:c>
      <x:c r="E2643" s="30" t="str">
        <x:v>按执行角色权限读取；策略只能使用可访问快照</x:v>
      </x:c>
    </x:row>
    <x:row r="2644" ht="32" customHeight="1">
      <x:c r="A2644" s="30" t="str">
        <x:v>A030</x:v>
      </x:c>
      <x:c r="B2644" s="30" t="str">
        <x:v>F134</x:v>
      </x:c>
      <x:c r="C2644" s="30" t="str">
        <x:v>item.attachment_id</x:v>
      </x:c>
      <x:c r="D2644" s="30" t="str">
        <x:v>候选输入schema</x:v>
      </x:c>
      <x:c r="E2644" s="30" t="str">
        <x:v>按执行角色权限读取；策略只能使用可访问快照</x:v>
      </x:c>
    </x:row>
    <x:row r="2645" ht="32" customHeight="1">
      <x:c r="A2645" s="30" t="str">
        <x:v>A030</x:v>
      </x:c>
      <x:c r="B2645" s="30" t="str">
        <x:v>F135</x:v>
      </x:c>
      <x:c r="C2645" s="30" t="str">
        <x:v>item.reservation_task_id</x:v>
      </x:c>
      <x:c r="D2645" s="30" t="str">
        <x:v>候选输入schema</x:v>
      </x:c>
      <x:c r="E2645" s="30" t="str">
        <x:v>按执行角色权限读取；策略只能使用可访问快照</x:v>
      </x:c>
    </x:row>
    <x:row r="2646" ht="32" customHeight="1">
      <x:c r="A2646" s="30" t="str">
        <x:v>A030</x:v>
      </x:c>
      <x:c r="B2646" s="30" t="str">
        <x:v>F136</x:v>
      </x:c>
      <x:c r="C2646" s="30" t="str">
        <x:v>item.release_state</x:v>
      </x:c>
      <x:c r="D2646" s="30" t="str">
        <x:v>候选输入schema</x:v>
      </x:c>
      <x:c r="E2646" s="30" t="str">
        <x:v>按执行角色权限读取；策略只能使用可访问快照</x:v>
      </x:c>
    </x:row>
    <x:row r="2647" ht="32" customHeight="1">
      <x:c r="A2647" s="30" t="str">
        <x:v>A030</x:v>
      </x:c>
      <x:c r="B2647" s="30" t="str">
        <x:v>F137</x:v>
      </x:c>
      <x:c r="C2647" s="30" t="str">
        <x:v>item.contact_pose</x:v>
      </x:c>
      <x:c r="D2647" s="30" t="str">
        <x:v>候选输入schema</x:v>
      </x:c>
      <x:c r="E2647" s="30" t="str">
        <x:v>按执行角色权限读取；策略只能使用可访问快照</x:v>
      </x:c>
    </x:row>
    <x:row r="2648" ht="32" customHeight="1">
      <x:c r="A2648" s="30" t="str">
        <x:v>A030</x:v>
      </x:c>
      <x:c r="B2648" s="30" t="str">
        <x:v>F138</x:v>
      </x:c>
      <x:c r="C2648" s="30" t="str">
        <x:v>item.receiver_id</x:v>
      </x:c>
      <x:c r="D2648" s="30" t="str">
        <x:v>候选输入schema</x:v>
      </x:c>
      <x:c r="E2648" s="30" t="str">
        <x:v>按执行角色权限读取；策略只能使用可访问快照</x:v>
      </x:c>
    </x:row>
    <x:row r="2649" ht="32" customHeight="1">
      <x:c r="A2649" s="30" t="str">
        <x:v>A030</x:v>
      </x:c>
      <x:c r="B2649" s="30" t="str">
        <x:v>F139</x:v>
      </x:c>
      <x:c r="C2649" s="30" t="str">
        <x:v>item.receipt_id</x:v>
      </x:c>
      <x:c r="D2649" s="30" t="str">
        <x:v>候选输入schema</x:v>
      </x:c>
      <x:c r="E2649" s="30" t="str">
        <x:v>按执行角色权限读取；策略只能使用可访问快照</x:v>
      </x:c>
    </x:row>
    <x:row r="2650" ht="32" customHeight="1">
      <x:c r="A2650" s="30" t="str">
        <x:v>A030</x:v>
      </x:c>
      <x:c r="B2650" s="30" t="str">
        <x:v>F140</x:v>
      </x:c>
      <x:c r="C2650" s="30" t="str">
        <x:v>item.condition</x:v>
      </x:c>
      <x:c r="D2650" s="30" t="str">
        <x:v>候选输入schema</x:v>
      </x:c>
      <x:c r="E2650" s="30" t="str">
        <x:v>按执行角色权限读取；策略只能使用可访问快照</x:v>
      </x:c>
    </x:row>
    <x:row r="2651" ht="32" customHeight="1">
      <x:c r="A2651" s="30" t="str">
        <x:v>A030</x:v>
      </x:c>
      <x:c r="B2651" s="30" t="str">
        <x:v>F141</x:v>
      </x:c>
      <x:c r="C2651" s="30" t="str">
        <x:v>station.kind</x:v>
      </x:c>
      <x:c r="D2651" s="30" t="str">
        <x:v>候选输入schema</x:v>
      </x:c>
      <x:c r="E2651" s="30" t="str">
        <x:v>按执行角色权限读取；策略只能使用可访问快照</x:v>
      </x:c>
    </x:row>
    <x:row r="2652" ht="32" customHeight="1">
      <x:c r="A2652" s="30" t="str">
        <x:v>A030</x:v>
      </x:c>
      <x:c r="B2652" s="30" t="str">
        <x:v>F142</x:v>
      </x:c>
      <x:c r="C2652" s="30" t="str">
        <x:v>station.capacity</x:v>
      </x:c>
      <x:c r="D2652" s="30" t="str">
        <x:v>候选输入schema</x:v>
      </x:c>
      <x:c r="E2652" s="30" t="str">
        <x:v>按执行角色权限读取；策略只能使用可访问快照</x:v>
      </x:c>
    </x:row>
    <x:row r="2653" ht="32" customHeight="1">
      <x:c r="A2653" s="30" t="str">
        <x:v>A030</x:v>
      </x:c>
      <x:c r="B2653" s="30" t="str">
        <x:v>F143</x:v>
      </x:c>
      <x:c r="C2653" s="30" t="str">
        <x:v>station.occupied</x:v>
      </x:c>
      <x:c r="D2653" s="30" t="str">
        <x:v>候选输入schema</x:v>
      </x:c>
      <x:c r="E2653" s="30" t="str">
        <x:v>按执行角色权限读取；策略只能使用可访问快照</x:v>
      </x:c>
    </x:row>
    <x:row r="2654" ht="32" customHeight="1">
      <x:c r="A2654" s="30" t="str">
        <x:v>A030</x:v>
      </x:c>
      <x:c r="B2654" s="30" t="str">
        <x:v>F144</x:v>
      </x:c>
      <x:c r="C2654" s="30" t="str">
        <x:v>station.inventory</x:v>
      </x:c>
      <x:c r="D2654" s="30" t="str">
        <x:v>候选输入schema</x:v>
      </x:c>
      <x:c r="E2654" s="30" t="str">
        <x:v>按执行角色权限读取；策略只能使用可访问快照</x:v>
      </x:c>
    </x:row>
    <x:row r="2655" ht="32" customHeight="1">
      <x:c r="A2655" s="30" t="str">
        <x:v>A030</x:v>
      </x:c>
      <x:c r="B2655" s="30" t="str">
        <x:v>F145</x:v>
      </x:c>
      <x:c r="C2655" s="30" t="str">
        <x:v>station.power_W</x:v>
      </x:c>
      <x:c r="D2655" s="30" t="str">
        <x:v>候选输入schema</x:v>
      </x:c>
      <x:c r="E2655" s="30" t="str">
        <x:v>按执行角色权限读取；策略只能使用可访问快照</x:v>
      </x:c>
    </x:row>
    <x:row r="2656" ht="32" customHeight="1">
      <x:c r="A2656" s="30" t="str">
        <x:v>A030</x:v>
      </x:c>
      <x:c r="B2656" s="30" t="str">
        <x:v>F146</x:v>
      </x:c>
      <x:c r="C2656" s="30" t="str">
        <x:v>station.connector_types</x:v>
      </x:c>
      <x:c r="D2656" s="30" t="str">
        <x:v>候选输入schema</x:v>
      </x:c>
      <x:c r="E2656" s="30" t="str">
        <x:v>按执行角色权限读取；策略只能使用可访问快照</x:v>
      </x:c>
    </x:row>
    <x:row r="2657" ht="32" customHeight="1">
      <x:c r="A2657" s="30" t="str">
        <x:v>A030</x:v>
      </x:c>
      <x:c r="B2657" s="30" t="str">
        <x:v>F147</x:v>
      </x:c>
      <x:c r="C2657" s="30" t="str">
        <x:v>station.queue_ids</x:v>
      </x:c>
      <x:c r="D2657" s="30" t="str">
        <x:v>候选输入schema</x:v>
      </x:c>
      <x:c r="E2657" s="30" t="str">
        <x:v>按执行角色权限读取；策略只能使用可访问快照</x:v>
      </x:c>
    </x:row>
    <x:row r="2658" ht="32" customHeight="1">
      <x:c r="A2658" s="30" t="str">
        <x:v>A030</x:v>
      </x:c>
      <x:c r="B2658" s="30" t="str">
        <x:v>F148</x:v>
      </x:c>
      <x:c r="C2658" s="30" t="str">
        <x:v>station.open_state</x:v>
      </x:c>
      <x:c r="D2658" s="30" t="str">
        <x:v>候选输入schema</x:v>
      </x:c>
      <x:c r="E2658" s="30" t="str">
        <x:v>按执行角色权限读取；策略只能使用可访问快照</x:v>
      </x:c>
    </x:row>
    <x:row r="2659" ht="32" customHeight="1">
      <x:c r="A2659" s="30" t="str">
        <x:v>A030</x:v>
      </x:c>
      <x:c r="B2659" s="30" t="str">
        <x:v>F149</x:v>
      </x:c>
      <x:c r="C2659" s="30" t="str">
        <x:v>station.accepted_need_types</x:v>
      </x:c>
      <x:c r="D2659" s="30" t="str">
        <x:v>候选输入schema</x:v>
      </x:c>
      <x:c r="E2659" s="30" t="str">
        <x:v>按执行角色权限读取；策略只能使用可访问快照</x:v>
      </x:c>
    </x:row>
    <x:row r="2660" ht="32" customHeight="1">
      <x:c r="A2660" s="30" t="str">
        <x:v>A030</x:v>
      </x:c>
      <x:c r="B2660" s="30" t="str">
        <x:v>F150</x:v>
      </x:c>
      <x:c r="C2660" s="30" t="str">
        <x:v>station.access_region</x:v>
      </x:c>
      <x:c r="D2660" s="30" t="str">
        <x:v>候选输入schema</x:v>
      </x:c>
      <x:c r="E2660" s="30" t="str">
        <x:v>按执行角色权限读取；策略只能使用可访问快照</x:v>
      </x:c>
    </x:row>
    <x:row r="2661" ht="32" customHeight="1">
      <x:c r="A2661" s="30" t="str">
        <x:v>A030</x:v>
      </x:c>
      <x:c r="B2661" s="30" t="str">
        <x:v>F230</x:v>
      </x:c>
      <x:c r="C2661" s="30" t="str">
        <x:v>action.type</x:v>
      </x:c>
      <x:c r="D2661" s="30" t="str">
        <x:v>候选输入schema</x:v>
      </x:c>
      <x:c r="E2661" s="30" t="str">
        <x:v>按执行角色权限读取；策略只能使用可访问快照</x:v>
      </x:c>
    </x:row>
    <x:row r="2662" ht="32" customHeight="1">
      <x:c r="A2662" s="30" t="str">
        <x:v>A030</x:v>
      </x:c>
      <x:c r="B2662" s="30" t="str">
        <x:v>F231</x:v>
      </x:c>
      <x:c r="C2662" s="30" t="str">
        <x:v>action.executor_id</x:v>
      </x:c>
      <x:c r="D2662" s="30" t="str">
        <x:v>候选输入schema</x:v>
      </x:c>
      <x:c r="E2662" s="30" t="str">
        <x:v>按执行角色权限读取；策略只能使用可访问快照</x:v>
      </x:c>
    </x:row>
    <x:row r="2663" ht="32" customHeight="1">
      <x:c r="A2663" s="30" t="str">
        <x:v>A030</x:v>
      </x:c>
      <x:c r="B2663" s="30" t="str">
        <x:v>F232</x:v>
      </x:c>
      <x:c r="C2663" s="30" t="str">
        <x:v>action.task_ref</x:v>
      </x:c>
      <x:c r="D2663" s="30" t="str">
        <x:v>候选输入schema</x:v>
      </x:c>
      <x:c r="E2663" s="30" t="str">
        <x:v>按执行角色权限读取；策略只能使用可访问快照</x:v>
      </x:c>
    </x:row>
    <x:row r="2664" ht="32" customHeight="1">
      <x:c r="A2664" s="30" t="str">
        <x:v>A030</x:v>
      </x:c>
      <x:c r="B2664" s="30" t="str">
        <x:v>F233</x:v>
      </x:c>
      <x:c r="C2664" s="30" t="str">
        <x:v>action.target_ref</x:v>
      </x:c>
      <x:c r="D2664" s="30" t="str">
        <x:v>候选输入schema</x:v>
      </x:c>
      <x:c r="E2664" s="30" t="str">
        <x:v>按执行角色权限读取；策略只能使用可访问快照</x:v>
      </x:c>
    </x:row>
    <x:row r="2665" ht="32" customHeight="1">
      <x:c r="A2665" s="30" t="str">
        <x:v>A030</x:v>
      </x:c>
      <x:c r="B2665" s="30" t="str">
        <x:v>F234</x:v>
      </x:c>
      <x:c r="C2665" s="30" t="str">
        <x:v>action.parameters</x:v>
      </x:c>
      <x:c r="D2665" s="30" t="str">
        <x:v>候选输入schema</x:v>
      </x:c>
      <x:c r="E2665" s="30" t="str">
        <x:v>按执行角色权限读取；策略只能使用可访问快照</x:v>
      </x:c>
    </x:row>
    <x:row r="2666" ht="32" customHeight="1">
      <x:c r="A2666" s="30" t="str">
        <x:v>A030</x:v>
      </x:c>
      <x:c r="B2666" s="30" t="str">
        <x:v>F235</x:v>
      </x:c>
      <x:c r="C2666" s="30" t="str">
        <x:v>action.status</x:v>
      </x:c>
      <x:c r="D2666" s="30" t="str">
        <x:v>候选输入schema</x:v>
      </x:c>
      <x:c r="E2666" s="30" t="str">
        <x:v>按执行角色权限读取；策略只能使用可访问快照</x:v>
      </x:c>
    </x:row>
    <x:row r="2667" ht="32" customHeight="1">
      <x:c r="A2667" s="30" t="str">
        <x:v>A030</x:v>
      </x:c>
      <x:c r="B2667" s="30" t="str">
        <x:v>F236</x:v>
      </x:c>
      <x:c r="C2667" s="30" t="str">
        <x:v>action.start_s</x:v>
      </x:c>
      <x:c r="D2667" s="30" t="str">
        <x:v>候选输入schema</x:v>
      </x:c>
      <x:c r="E2667" s="30" t="str">
        <x:v>按执行角色权限读取；策略只能使用可访问快照</x:v>
      </x:c>
    </x:row>
    <x:row r="2668" ht="32" customHeight="1">
      <x:c r="A2668" s="30" t="str">
        <x:v>A030</x:v>
      </x:c>
      <x:c r="B2668" s="30" t="str">
        <x:v>F237</x:v>
      </x:c>
      <x:c r="C2668" s="30" t="str">
        <x:v>action.finish_s</x:v>
      </x:c>
      <x:c r="D2668" s="30" t="str">
        <x:v>候选输入schema</x:v>
      </x:c>
      <x:c r="E2668" s="30" t="str">
        <x:v>按执行角色权限读取；策略只能使用可访问快照</x:v>
      </x:c>
    </x:row>
    <x:row r="2669" ht="32" customHeight="1">
      <x:c r="A2669" s="30" t="str">
        <x:v>A030</x:v>
      </x:c>
      <x:c r="B2669" s="30" t="str">
        <x:v>F238</x:v>
      </x:c>
      <x:c r="C2669" s="30" t="str">
        <x:v>action.reserved_resources</x:v>
      </x:c>
      <x:c r="D2669" s="30" t="str">
        <x:v>候选输入schema</x:v>
      </x:c>
      <x:c r="E2669" s="30" t="str">
        <x:v>按执行角色权限读取；策略只能使用可访问快照</x:v>
      </x:c>
    </x:row>
    <x:row r="2670" ht="32" customHeight="1">
      <x:c r="A2670" s="30" t="str">
        <x:v>A030</x:v>
      </x:c>
      <x:c r="B2670" s="30" t="str">
        <x:v>F239</x:v>
      </x:c>
      <x:c r="C2670" s="30" t="str">
        <x:v>action.consumed_resources</x:v>
      </x:c>
      <x:c r="D2670" s="30" t="str">
        <x:v>候选输入schema</x:v>
      </x:c>
      <x:c r="E2670" s="30" t="str">
        <x:v>按执行角色权限读取；策略只能使用可访问快照</x:v>
      </x:c>
    </x:row>
    <x:row r="2671" ht="32" customHeight="1">
      <x:c r="A2671" s="30" t="str">
        <x:v>A030</x:v>
      </x:c>
      <x:c r="B2671" s="30" t="str">
        <x:v>F240</x:v>
      </x:c>
      <x:c r="C2671" s="30" t="str">
        <x:v>action.feedback</x:v>
      </x:c>
      <x:c r="D2671" s="30" t="str">
        <x:v>候选输入schema</x:v>
      </x:c>
      <x:c r="E2671" s="30" t="str">
        <x:v>按执行角色权限读取；策略只能使用可访问快照</x:v>
      </x:c>
    </x:row>
    <x:row r="2672" ht="32" customHeight="1">
      <x:c r="A2672" s="30" t="str">
        <x:v>A030</x:v>
      </x:c>
      <x:c r="B2672" s="30" t="str">
        <x:v>F241</x:v>
      </x:c>
      <x:c r="C2672" s="30" t="str">
        <x:v>action.result</x:v>
      </x:c>
      <x:c r="D2672" s="30" t="str">
        <x:v>候选输入schema</x:v>
      </x:c>
      <x:c r="E2672" s="30" t="str">
        <x:v>按执行角色权限读取；策略只能使用可访问快照</x:v>
      </x:c>
    </x:row>
    <x:row r="2673" ht="32" customHeight="1">
      <x:c r="A2673" s="30" t="str">
        <x:v>A030</x:v>
      </x:c>
      <x:c r="B2673" s="30" t="str">
        <x:v>F242</x:v>
      </x:c>
      <x:c r="C2673" s="30" t="str">
        <x:v>action.rejection_code</x:v>
      </x:c>
      <x:c r="D2673" s="30" t="str">
        <x:v>候选输入schema</x:v>
      </x:c>
      <x:c r="E2673" s="30" t="str">
        <x:v>按执行角色权限读取；策略只能使用可访问快照</x:v>
      </x:c>
    </x:row>
    <x:row r="2674" ht="32" customHeight="1">
      <x:c r="A2674" s="30" t="str">
        <x:v>A030</x:v>
      </x:c>
      <x:c r="B2674" s="30" t="str">
        <x:v>F243</x:v>
      </x:c>
      <x:c r="C2674" s="30" t="str">
        <x:v>action.failure_code</x:v>
      </x:c>
      <x:c r="D2674" s="30" t="str">
        <x:v>候选输入schema</x:v>
      </x:c>
      <x:c r="E2674" s="30" t="str">
        <x:v>按执行角色权限读取；策略只能使用可访问快照</x:v>
      </x:c>
    </x:row>
    <x:row r="2675" ht="32" customHeight="1">
      <x:c r="A2675" s="30" t="str">
        <x:v>A030</x:v>
      </x:c>
      <x:c r="B2675" s="30" t="str">
        <x:v>F244</x:v>
      </x:c>
      <x:c r="C2675" s="30" t="str">
        <x:v>action.cancel_requested</x:v>
      </x:c>
      <x:c r="D2675" s="30" t="str">
        <x:v>候选输入schema</x:v>
      </x:c>
      <x:c r="E2675" s="30" t="str">
        <x:v>按执行角色权限读取；策略只能使用可访问快照</x:v>
      </x:c>
    </x:row>
    <x:row r="2676" ht="32" customHeight="1">
      <x:c r="A2676" s="30" t="str">
        <x:v>A030</x:v>
      </x:c>
      <x:c r="B2676" s="30" t="str">
        <x:v>F245</x:v>
      </x:c>
      <x:c r="C2676" s="30" t="str">
        <x:v>action.backend_mode</x:v>
      </x:c>
      <x:c r="D2676" s="30" t="str">
        <x:v>候选输入schema</x:v>
      </x:c>
      <x:c r="E2676" s="30" t="str">
        <x:v>按执行角色权限读取；策略只能使用可访问快照</x:v>
      </x:c>
    </x:row>
    <x:row r="2677" ht="32" customHeight="1">
      <x:c r="A2677" s="30" t="str">
        <x:v>A030</x:v>
      </x:c>
      <x:c r="B2677" s="30" t="str">
        <x:v>F105</x:v>
      </x:c>
      <x:c r="C2677" s="30" t="str">
        <x:v>platform.battery_remaining_Wh</x:v>
      </x:c>
      <x:c r="D2677" s="30" t="str">
        <x:v>直接效果</x:v>
      </x:c>
      <x:c r="E2677" s="30" t="str">
        <x:v>经实际执行/回执提交；不是规划时提前修改</x:v>
      </x:c>
    </x:row>
    <x:row r="2678" ht="32" customHeight="1">
      <x:c r="A2678" s="30" t="str">
        <x:v>A030</x:v>
      </x:c>
      <x:c r="B2678" s="30" t="str">
        <x:v>F133</x:v>
      </x:c>
      <x:c r="C2678" s="30" t="str">
        <x:v>item.state</x:v>
      </x:c>
      <x:c r="D2678" s="30" t="str">
        <x:v>直接效果</x:v>
      </x:c>
      <x:c r="E2678" s="30" t="str">
        <x:v>经实际执行/回执提交；不是规划时提前修改</x:v>
      </x:c>
    </x:row>
    <x:row r="2679" ht="32" customHeight="1">
      <x:c r="A2679" s="30" t="str">
        <x:v>A030</x:v>
      </x:c>
      <x:c r="B2679" s="30" t="str">
        <x:v>F132</x:v>
      </x:c>
      <x:c r="C2679" s="30" t="str">
        <x:v>item.holder_id</x:v>
      </x:c>
      <x:c r="D2679" s="30" t="str">
        <x:v>直接效果</x:v>
      </x:c>
      <x:c r="E2679" s="30" t="str">
        <x:v>经实际执行/回执提交；不是规划时提前修改</x:v>
      </x:c>
    </x:row>
    <x:row r="2680" ht="32" customHeight="1">
      <x:c r="A2680" s="30" t="str">
        <x:v>A031</x:v>
      </x:c>
      <x:c r="B2680" s="30" t="str">
        <x:v>F044</x:v>
      </x:c>
      <x:c r="C2680" s="30" t="str">
        <x:v>road.centerline</x:v>
      </x:c>
      <x:c r="D2680" s="30" t="str">
        <x:v>候选输入schema</x:v>
      </x:c>
      <x:c r="E2680" s="30" t="str">
        <x:v>按执行角色权限读取；策略只能使用可访问快照</x:v>
      </x:c>
    </x:row>
    <x:row r="2681" ht="32" customHeight="1">
      <x:c r="A2681" s="30" t="str">
        <x:v>A031</x:v>
      </x:c>
      <x:c r="B2681" s="30" t="str">
        <x:v>F045</x:v>
      </x:c>
      <x:c r="C2681" s="30" t="str">
        <x:v>road.width_m</x:v>
      </x:c>
      <x:c r="D2681" s="30" t="str">
        <x:v>候选输入schema</x:v>
      </x:c>
      <x:c r="E2681" s="30" t="str">
        <x:v>按执行角色权限读取；策略只能使用可访问快照</x:v>
      </x:c>
    </x:row>
    <x:row r="2682" ht="32" customHeight="1">
      <x:c r="A2682" s="30" t="str">
        <x:v>A031</x:v>
      </x:c>
      <x:c r="B2682" s="30" t="str">
        <x:v>F046</x:v>
      </x:c>
      <x:c r="C2682" s="30" t="str">
        <x:v>road.surface</x:v>
      </x:c>
      <x:c r="D2682" s="30" t="str">
        <x:v>候选输入schema</x:v>
      </x:c>
      <x:c r="E2682" s="30" t="str">
        <x:v>按执行角色权限读取；策略只能使用可访问快照</x:v>
      </x:c>
    </x:row>
    <x:row r="2683" ht="32" customHeight="1">
      <x:c r="A2683" s="30" t="str">
        <x:v>A031</x:v>
      </x:c>
      <x:c r="B2683" s="30" t="str">
        <x:v>F047</x:v>
      </x:c>
      <x:c r="C2683" s="30" t="str">
        <x:v>road.from_node</x:v>
      </x:c>
      <x:c r="D2683" s="30" t="str">
        <x:v>候选输入schema</x:v>
      </x:c>
      <x:c r="E2683" s="30" t="str">
        <x:v>按执行角色权限读取；策略只能使用可访问快照</x:v>
      </x:c>
    </x:row>
    <x:row r="2684" ht="32" customHeight="1">
      <x:c r="A2684" s="30" t="str">
        <x:v>A031</x:v>
      </x:c>
      <x:c r="B2684" s="30" t="str">
        <x:v>F048</x:v>
      </x:c>
      <x:c r="C2684" s="30" t="str">
        <x:v>road.to_node</x:v>
      </x:c>
      <x:c r="D2684" s="30" t="str">
        <x:v>候选输入schema</x:v>
      </x:c>
      <x:c r="E2684" s="30" t="str">
        <x:v>按执行角色权限读取；策略只能使用可访问快照</x:v>
      </x:c>
    </x:row>
    <x:row r="2685" ht="32" customHeight="1">
      <x:c r="A2685" s="30" t="str">
        <x:v>A031</x:v>
      </x:c>
      <x:c r="B2685" s="30" t="str">
        <x:v>F049</x:v>
      </x:c>
      <x:c r="C2685" s="30" t="str">
        <x:v>road.obstacle_ids</x:v>
      </x:c>
      <x:c r="D2685" s="30" t="str">
        <x:v>候选输入schema</x:v>
      </x:c>
      <x:c r="E2685" s="30" t="str">
        <x:v>按执行角色权限读取；策略只能使用可访问快照</x:v>
      </x:c>
    </x:row>
    <x:row r="2686" ht="32" customHeight="1">
      <x:c r="A2686" s="30" t="str">
        <x:v>A031</x:v>
      </x:c>
      <x:c r="B2686" s="30" t="str">
        <x:v>F050</x:v>
      </x:c>
      <x:c r="C2686" s="30" t="str">
        <x:v>road.clear_width_m</x:v>
      </x:c>
      <x:c r="D2686" s="30" t="str">
        <x:v>候选输入schema</x:v>
      </x:c>
      <x:c r="E2686" s="30" t="str">
        <x:v>按执行角色权限读取；策略只能使用可访问快照</x:v>
      </x:c>
    </x:row>
    <x:row r="2687" ht="32" customHeight="1">
      <x:c r="A2687" s="30" t="str">
        <x:v>A031</x:v>
      </x:c>
      <x:c r="B2687" s="30" t="str">
        <x:v>F051</x:v>
      </x:c>
      <x:c r="C2687" s="30" t="str">
        <x:v>road.clear_height_m</x:v>
      </x:c>
      <x:c r="D2687" s="30" t="str">
        <x:v>候选输入schema</x:v>
      </x:c>
      <x:c r="E2687" s="30" t="str">
        <x:v>按执行角色权限读取；策略只能使用可访问快照</x:v>
      </x:c>
    </x:row>
    <x:row r="2688" ht="32" customHeight="1">
      <x:c r="A2688" s="30" t="str">
        <x:v>A031</x:v>
      </x:c>
      <x:c r="B2688" s="30" t="str">
        <x:v>F052</x:v>
      </x:c>
      <x:c r="C2688" s="30" t="str">
        <x:v>road.turn_radius_m</x:v>
      </x:c>
      <x:c r="D2688" s="30" t="str">
        <x:v>候选输入schema</x:v>
      </x:c>
      <x:c r="E2688" s="30" t="str">
        <x:v>按执行角色权限读取；策略只能使用可访问快照</x:v>
      </x:c>
    </x:row>
    <x:row r="2689" ht="32" customHeight="1">
      <x:c r="A2689" s="30" t="str">
        <x:v>A031</x:v>
      </x:c>
      <x:c r="B2689" s="30" t="str">
        <x:v>F053</x:v>
      </x:c>
      <x:c r="C2689" s="30" t="str">
        <x:v>road.step_height_m</x:v>
      </x:c>
      <x:c r="D2689" s="30" t="str">
        <x:v>候选输入schema</x:v>
      </x:c>
      <x:c r="E2689" s="30" t="str">
        <x:v>按执行角色权限读取；策略只能使用可访问快照</x:v>
      </x:c>
    </x:row>
    <x:row r="2690" ht="32" customHeight="1">
      <x:c r="A2690" s="30" t="str">
        <x:v>A031</x:v>
      </x:c>
      <x:c r="B2690" s="30" t="str">
        <x:v>F054</x:v>
      </x:c>
      <x:c r="C2690" s="30" t="str">
        <x:v>road.entry_state</x:v>
      </x:c>
      <x:c r="D2690" s="30" t="str">
        <x:v>候选输入schema</x:v>
      </x:c>
      <x:c r="E2690" s="30" t="str">
        <x:v>按执行角色权限读取；策略只能使用可访问快照</x:v>
      </x:c>
    </x:row>
    <x:row r="2691" ht="32" customHeight="1">
      <x:c r="A2691" s="30" t="str">
        <x:v>A031</x:v>
      </x:c>
      <x:c r="B2691" s="30" t="str">
        <x:v>F055</x:v>
      </x:c>
      <x:c r="C2691" s="30" t="str">
        <x:v>road.water_depth_m</x:v>
      </x:c>
      <x:c r="D2691" s="30" t="str">
        <x:v>候选输入schema</x:v>
      </x:c>
      <x:c r="E2691" s="30" t="str">
        <x:v>按执行角色权限读取；策略只能使用可访问快照</x:v>
      </x:c>
    </x:row>
    <x:row r="2692" ht="32" customHeight="1">
      <x:c r="A2692" s="30" t="str">
        <x:v>A031</x:v>
      </x:c>
      <x:c r="B2692" s="30" t="str">
        <x:v>F056</x:v>
      </x:c>
      <x:c r="C2692" s="30" t="str">
        <x:v>road.passability</x:v>
      </x:c>
      <x:c r="D2692" s="30" t="str">
        <x:v>候选输入schema</x:v>
      </x:c>
      <x:c r="E2692" s="30" t="str">
        <x:v>按执行角色权限读取；策略只能使用可访问快照</x:v>
      </x:c>
    </x:row>
    <x:row r="2693" ht="32" customHeight="1">
      <x:c r="A2693" s="30" t="str">
        <x:v>A031</x:v>
      </x:c>
      <x:c r="B2693" s="30" t="str">
        <x:v>F057</x:v>
      </x:c>
      <x:c r="C2693" s="30" t="str">
        <x:v>road.travel_cost</x:v>
      </x:c>
      <x:c r="D2693" s="30" t="str">
        <x:v>候选输入schema</x:v>
      </x:c>
      <x:c r="E2693" s="30" t="str">
        <x:v>按执行角色权限读取；策略只能使用可访问快照</x:v>
      </x:c>
    </x:row>
    <x:row r="2694" ht="32" customHeight="1">
      <x:c r="A2694" s="30" t="str">
        <x:v>A031</x:v>
      </x:c>
      <x:c r="B2694" s="30" t="str">
        <x:v>F058</x:v>
      </x:c>
      <x:c r="C2694" s="30" t="str">
        <x:v>road.topology_revision</x:v>
      </x:c>
      <x:c r="D2694" s="30" t="str">
        <x:v>候选输入schema</x:v>
      </x:c>
      <x:c r="E2694" s="30" t="str">
        <x:v>按执行角色权限读取；策略只能使用可访问快照</x:v>
      </x:c>
    </x:row>
    <x:row r="2695" ht="32" customHeight="1">
      <x:c r="A2695" s="30" t="str">
        <x:v>A031</x:v>
      </x:c>
      <x:c r="B2695" s="30" t="str">
        <x:v>F095</x:v>
      </x:c>
      <x:c r="C2695" s="30" t="str">
        <x:v>platform.kind</x:v>
      </x:c>
      <x:c r="D2695" s="30" t="str">
        <x:v>候选输入schema</x:v>
      </x:c>
      <x:c r="E2695" s="30" t="str">
        <x:v>按执行角色权限读取；策略只能使用可访问快照</x:v>
      </x:c>
    </x:row>
    <x:row r="2696" ht="32" customHeight="1">
      <x:c r="A2696" s="30" t="str">
        <x:v>A031</x:v>
      </x:c>
      <x:c r="B2696" s="30" t="str">
        <x:v>F096</x:v>
      </x:c>
      <x:c r="C2696" s="30" t="str">
        <x:v>platform.capability_ids</x:v>
      </x:c>
      <x:c r="D2696" s="30" t="str">
        <x:v>候选输入schema</x:v>
      </x:c>
      <x:c r="E2696" s="30" t="str">
        <x:v>按执行角色权限读取；策略只能使用可访问快照</x:v>
      </x:c>
    </x:row>
    <x:row r="2697" ht="32" customHeight="1">
      <x:c r="A2697" s="30" t="str">
        <x:v>A031</x:v>
      </x:c>
      <x:c r="B2697" s="30" t="str">
        <x:v>F097</x:v>
      </x:c>
      <x:c r="C2697" s="30" t="str">
        <x:v>platform.equipment_ids</x:v>
      </x:c>
      <x:c r="D2697" s="30" t="str">
        <x:v>候选输入schema</x:v>
      </x:c>
      <x:c r="E2697" s="30" t="str">
        <x:v>按执行角色权限读取；策略只能使用可访问快照</x:v>
      </x:c>
    </x:row>
    <x:row r="2698" ht="32" customHeight="1">
      <x:c r="A2698" s="30" t="str">
        <x:v>A031</x:v>
      </x:c>
      <x:c r="B2698" s="30" t="str">
        <x:v>F098</x:v>
      </x:c>
      <x:c r="C2698" s="30" t="str">
        <x:v>platform.width_m</x:v>
      </x:c>
      <x:c r="D2698" s="30" t="str">
        <x:v>候选输入schema</x:v>
      </x:c>
      <x:c r="E2698" s="30" t="str">
        <x:v>按执行角色权限读取；策略只能使用可访问快照</x:v>
      </x:c>
    </x:row>
    <x:row r="2699" ht="32" customHeight="1">
      <x:c r="A2699" s="30" t="str">
        <x:v>A031</x:v>
      </x:c>
      <x:c r="B2699" s="30" t="str">
        <x:v>F099</x:v>
      </x:c>
      <x:c r="C2699" s="30" t="str">
        <x:v>platform.height_m</x:v>
      </x:c>
      <x:c r="D2699" s="30" t="str">
        <x:v>候选输入schema</x:v>
      </x:c>
      <x:c r="E2699" s="30" t="str">
        <x:v>按执行角色权限读取；策略只能使用可访问快照</x:v>
      </x:c>
    </x:row>
    <x:row r="2700" ht="32" customHeight="1">
      <x:c r="A2700" s="30" t="str">
        <x:v>A031</x:v>
      </x:c>
      <x:c r="B2700" s="30" t="str">
        <x:v>F100</x:v>
      </x:c>
      <x:c r="C2700" s="30" t="str">
        <x:v>platform.swept_radius_m</x:v>
      </x:c>
      <x:c r="D2700" s="30" t="str">
        <x:v>候选输入schema</x:v>
      </x:c>
      <x:c r="E2700" s="30" t="str">
        <x:v>按执行角色权限读取；策略只能使用可访问快照</x:v>
      </x:c>
    </x:row>
    <x:row r="2701" ht="32" customHeight="1">
      <x:c r="A2701" s="30" t="str">
        <x:v>A031</x:v>
      </x:c>
      <x:c r="B2701" s="30" t="str">
        <x:v>F101</x:v>
      </x:c>
      <x:c r="C2701" s="30" t="str">
        <x:v>platform.payload_capacity_kg</x:v>
      </x:c>
      <x:c r="D2701" s="30" t="str">
        <x:v>候选输入schema</x:v>
      </x:c>
      <x:c r="E2701" s="30" t="str">
        <x:v>按执行角色权限读取；策略只能使用可访问快照</x:v>
      </x:c>
    </x:row>
    <x:row r="2702" ht="32" customHeight="1">
      <x:c r="A2702" s="30" t="str">
        <x:v>A031</x:v>
      </x:c>
      <x:c r="B2702" s="30" t="str">
        <x:v>F102</x:v>
      </x:c>
      <x:c r="C2702" s="30" t="str">
        <x:v>platform.payload_used_kg</x:v>
      </x:c>
      <x:c r="D2702" s="30" t="str">
        <x:v>候选输入schema</x:v>
      </x:c>
      <x:c r="E2702" s="30" t="str">
        <x:v>按执行角色权限读取；策略只能使用可访问快照</x:v>
      </x:c>
    </x:row>
    <x:row r="2703" ht="32" customHeight="1">
      <x:c r="A2703" s="30" t="str">
        <x:v>A031</x:v>
      </x:c>
      <x:c r="B2703" s="30" t="str">
        <x:v>F103</x:v>
      </x:c>
      <x:c r="C2703" s="30" t="str">
        <x:v>platform.payload_item_ids</x:v>
      </x:c>
      <x:c r="D2703" s="30" t="str">
        <x:v>候选输入schema</x:v>
      </x:c>
      <x:c r="E2703" s="30" t="str">
        <x:v>按执行角色权限读取；策略只能使用可访问快照</x:v>
      </x:c>
    </x:row>
    <x:row r="2704" ht="32" customHeight="1">
      <x:c r="A2704" s="30" t="str">
        <x:v>A031</x:v>
      </x:c>
      <x:c r="B2704" s="30" t="str">
        <x:v>F104</x:v>
      </x:c>
      <x:c r="C2704" s="30" t="str">
        <x:v>platform.battery_capacity_Wh</x:v>
      </x:c>
      <x:c r="D2704" s="30" t="str">
        <x:v>候选输入schema</x:v>
      </x:c>
      <x:c r="E2704" s="30" t="str">
        <x:v>按执行角色权限读取；策略只能使用可访问快照</x:v>
      </x:c>
    </x:row>
    <x:row r="2705" ht="32" customHeight="1">
      <x:c r="A2705" s="30" t="str">
        <x:v>A031</x:v>
      </x:c>
      <x:c r="B2705" s="30" t="str">
        <x:v>F105</x:v>
      </x:c>
      <x:c r="C2705" s="30" t="str">
        <x:v>platform.battery_remaining_Wh</x:v>
      </x:c>
      <x:c r="D2705" s="30" t="str">
        <x:v>候选输入schema</x:v>
      </x:c>
      <x:c r="E2705" s="30" t="str">
        <x:v>按执行角色权限读取；策略只能使用可访问快照</x:v>
      </x:c>
    </x:row>
    <x:row r="2706" ht="32" customHeight="1">
      <x:c r="A2706" s="30" t="str">
        <x:v>A031</x:v>
      </x:c>
      <x:c r="B2706" s="30" t="str">
        <x:v>F106</x:v>
      </x:c>
      <x:c r="C2706" s="30" t="str">
        <x:v>platform.reserve_Wh</x:v>
      </x:c>
      <x:c r="D2706" s="30" t="str">
        <x:v>候选输入schema</x:v>
      </x:c>
      <x:c r="E2706" s="30" t="str">
        <x:v>按执行角色权限读取；策略只能使用可访问快照</x:v>
      </x:c>
    </x:row>
    <x:row r="2707" ht="32" customHeight="1">
      <x:c r="A2707" s="30" t="str">
        <x:v>A031</x:v>
      </x:c>
      <x:c r="B2707" s="30" t="str">
        <x:v>F107</x:v>
      </x:c>
      <x:c r="C2707" s="30" t="str">
        <x:v>platform.speed_limit_mps</x:v>
      </x:c>
      <x:c r="D2707" s="30" t="str">
        <x:v>候选输入schema</x:v>
      </x:c>
      <x:c r="E2707" s="30" t="str">
        <x:v>按执行角色权限读取；策略只能使用可访问快照</x:v>
      </x:c>
    </x:row>
    <x:row r="2708" ht="32" customHeight="1">
      <x:c r="A2708" s="30" t="str">
        <x:v>A031</x:v>
      </x:c>
      <x:c r="B2708" s="30" t="str">
        <x:v>F108</x:v>
      </x:c>
      <x:c r="C2708" s="30" t="str">
        <x:v>platform.energy_model</x:v>
      </x:c>
      <x:c r="D2708" s="30" t="str">
        <x:v>候选输入schema</x:v>
      </x:c>
      <x:c r="E2708" s="30" t="str">
        <x:v>按执行角色权限读取；策略只能使用可访问快照</x:v>
      </x:c>
    </x:row>
    <x:row r="2709" ht="32" customHeight="1">
      <x:c r="A2709" s="30" t="str">
        <x:v>A031</x:v>
      </x:c>
      <x:c r="B2709" s="30" t="str">
        <x:v>F109</x:v>
      </x:c>
      <x:c r="C2709" s="30" t="str">
        <x:v>platform.motion_state</x:v>
      </x:c>
      <x:c r="D2709" s="30" t="str">
        <x:v>候选输入schema</x:v>
      </x:c>
      <x:c r="E2709" s="30" t="str">
        <x:v>按执行角色权限读取；策略只能使用可访问快照</x:v>
      </x:c>
    </x:row>
    <x:row r="2710" ht="32" customHeight="1">
      <x:c r="A2710" s="30" t="str">
        <x:v>A031</x:v>
      </x:c>
      <x:c r="B2710" s="30" t="str">
        <x:v>F110</x:v>
      </x:c>
      <x:c r="C2710" s="30" t="str">
        <x:v>platform.health_state</x:v>
      </x:c>
      <x:c r="D2710" s="30" t="str">
        <x:v>候选输入schema</x:v>
      </x:c>
      <x:c r="E2710" s="30" t="str">
        <x:v>按执行角色权限读取；策略只能使用可访问快照</x:v>
      </x:c>
    </x:row>
    <x:row r="2711" ht="32" customHeight="1">
      <x:c r="A2711" s="30" t="str">
        <x:v>A031</x:v>
      </x:c>
      <x:c r="B2711" s="30" t="str">
        <x:v>F111</x:v>
      </x:c>
      <x:c r="C2711" s="30" t="str">
        <x:v>platform.current_action_id</x:v>
      </x:c>
      <x:c r="D2711" s="30" t="str">
        <x:v>候选输入schema</x:v>
      </x:c>
      <x:c r="E2711" s="30" t="str">
        <x:v>按执行角色权限读取；策略只能使用可访问快照</x:v>
      </x:c>
    </x:row>
    <x:row r="2712" ht="32" customHeight="1">
      <x:c r="A2712" s="30" t="str">
        <x:v>A031</x:v>
      </x:c>
      <x:c r="B2712" s="30" t="str">
        <x:v>F112</x:v>
      </x:c>
      <x:c r="C2712" s="30" t="str">
        <x:v>platform.busy_until_est_s</x:v>
      </x:c>
      <x:c r="D2712" s="30" t="str">
        <x:v>候选输入schema</x:v>
      </x:c>
      <x:c r="E2712" s="30" t="str">
        <x:v>按执行角色权限读取；策略只能使用可访问快照</x:v>
      </x:c>
    </x:row>
    <x:row r="2713" ht="32" customHeight="1">
      <x:c r="A2713" s="30" t="str">
        <x:v>A031</x:v>
      </x:c>
      <x:c r="B2713" s="30" t="str">
        <x:v>F113</x:v>
      </x:c>
      <x:c r="C2713" s="30" t="str">
        <x:v>platform.return_site_id</x:v>
      </x:c>
      <x:c r="D2713" s="30" t="str">
        <x:v>候选输入schema</x:v>
      </x:c>
      <x:c r="E2713" s="30" t="str">
        <x:v>按执行角色权限读取；策略只能使用可访问快照</x:v>
      </x:c>
    </x:row>
    <x:row r="2714" ht="32" customHeight="1">
      <x:c r="A2714" s="30" t="str">
        <x:v>A031</x:v>
      </x:c>
      <x:c r="B2714" s="30" t="str">
        <x:v>F114</x:v>
      </x:c>
      <x:c r="C2714" s="30" t="str">
        <x:v>platform.water_tolerance_m</x:v>
      </x:c>
      <x:c r="D2714" s="30" t="str">
        <x:v>候选输入schema</x:v>
      </x:c>
      <x:c r="E2714" s="30" t="str">
        <x:v>按执行角色权限读取；策略只能使用可访问快照</x:v>
      </x:c>
    </x:row>
    <x:row r="2715" ht="32" customHeight="1">
      <x:c r="A2715" s="30" t="str">
        <x:v>A031</x:v>
      </x:c>
      <x:c r="B2715" s="30" t="str">
        <x:v>F115</x:v>
      </x:c>
      <x:c r="C2715" s="30" t="str">
        <x:v>platform.concurrency_policy</x:v>
      </x:c>
      <x:c r="D2715" s="30" t="str">
        <x:v>候选输入schema</x:v>
      </x:c>
      <x:c r="E2715" s="30" t="str">
        <x:v>按执行角色权限读取；策略只能使用可访问快照</x:v>
      </x:c>
    </x:row>
    <x:row r="2716" ht="32" customHeight="1">
      <x:c r="A2716" s="30" t="str">
        <x:v>A031</x:v>
      </x:c>
      <x:c r="B2716" s="30" t="str">
        <x:v>F116</x:v>
      </x:c>
      <x:c r="C2716" s="30" t="str">
        <x:v>equipment.kind</x:v>
      </x:c>
      <x:c r="D2716" s="30" t="str">
        <x:v>候选输入schema</x:v>
      </x:c>
      <x:c r="E2716" s="30" t="str">
        <x:v>按执行角色权限读取；策略只能使用可访问快照</x:v>
      </x:c>
    </x:row>
    <x:row r="2717" ht="32" customHeight="1">
      <x:c r="A2717" s="30" t="str">
        <x:v>A031</x:v>
      </x:c>
      <x:c r="B2717" s="30" t="str">
        <x:v>F117</x:v>
      </x:c>
      <x:c r="C2717" s="30" t="str">
        <x:v>equipment.enabled</x:v>
      </x:c>
      <x:c r="D2717" s="30" t="str">
        <x:v>候选输入schema</x:v>
      </x:c>
      <x:c r="E2717" s="30" t="str">
        <x:v>按执行角色权限读取；策略只能使用可访问快照</x:v>
      </x:c>
    </x:row>
    <x:row r="2718" ht="32" customHeight="1">
      <x:c r="A2718" s="30" t="str">
        <x:v>A031</x:v>
      </x:c>
      <x:c r="B2718" s="30" t="str">
        <x:v>F118</x:v>
      </x:c>
      <x:c r="C2718" s="30" t="str">
        <x:v>equipment.health</x:v>
      </x:c>
      <x:c r="D2718" s="30" t="str">
        <x:v>候选输入schema</x:v>
      </x:c>
      <x:c r="E2718" s="30" t="str">
        <x:v>按执行角色权限读取；策略只能使用可访问快照</x:v>
      </x:c>
    </x:row>
    <x:row r="2719" ht="32" customHeight="1">
      <x:c r="A2719" s="30" t="str">
        <x:v>A031</x:v>
      </x:c>
      <x:c r="B2719" s="30" t="str">
        <x:v>F119</x:v>
      </x:c>
      <x:c r="C2719" s="30" t="str">
        <x:v>equipment.rated_load_kg</x:v>
      </x:c>
      <x:c r="D2719" s="30" t="str">
        <x:v>候选输入schema</x:v>
      </x:c>
      <x:c r="E2719" s="30" t="str">
        <x:v>按执行角色权限读取；策略只能使用可访问快照</x:v>
      </x:c>
    </x:row>
    <x:row r="2720" ht="32" customHeight="1">
      <x:c r="A2720" s="30" t="str">
        <x:v>A031</x:v>
      </x:c>
      <x:c r="B2720" s="30" t="str">
        <x:v>F120</x:v>
      </x:c>
      <x:c r="C2720" s="30" t="str">
        <x:v>equipment.reach_m</x:v>
      </x:c>
      <x:c r="D2720" s="30" t="str">
        <x:v>候选输入schema</x:v>
      </x:c>
      <x:c r="E2720" s="30" t="str">
        <x:v>按执行角色权限读取；策略只能使用可访问快照</x:v>
      </x:c>
    </x:row>
    <x:row r="2721" ht="32" customHeight="1">
      <x:c r="A2721" s="30" t="str">
        <x:v>A031</x:v>
      </x:c>
      <x:c r="B2721" s="30" t="str">
        <x:v>F121</x:v>
      </x:c>
      <x:c r="C2721" s="30" t="str">
        <x:v>equipment.compatible_materials</x:v>
      </x:c>
      <x:c r="D2721" s="30" t="str">
        <x:v>候选输入schema</x:v>
      </x:c>
      <x:c r="E2721" s="30" t="str">
        <x:v>按执行角色权限读取；策略只能使用可访问快照</x:v>
      </x:c>
    </x:row>
    <x:row r="2722" ht="32" customHeight="1">
      <x:c r="A2722" s="30" t="str">
        <x:v>A031</x:v>
      </x:c>
      <x:c r="B2722" s="30" t="str">
        <x:v>F122</x:v>
      </x:c>
      <x:c r="C2722" s="30" t="str">
        <x:v>equipment.tool_size</x:v>
      </x:c>
      <x:c r="D2722" s="30" t="str">
        <x:v>候选输入schema</x:v>
      </x:c>
      <x:c r="E2722" s="30" t="str">
        <x:v>按执行角色权限读取；策略只能使用可访问快照</x:v>
      </x:c>
    </x:row>
    <x:row r="2723" ht="32" customHeight="1">
      <x:c r="A2723" s="30" t="str">
        <x:v>A031</x:v>
      </x:c>
      <x:c r="B2723" s="30" t="str">
        <x:v>F123</x:v>
      </x:c>
      <x:c r="C2723" s="30" t="str">
        <x:v>equipment.consumable_type</x:v>
      </x:c>
      <x:c r="D2723" s="30" t="str">
        <x:v>候选输入schema</x:v>
      </x:c>
      <x:c r="E2723" s="30" t="str">
        <x:v>按执行角色权限读取；策略只能使用可访问快照</x:v>
      </x:c>
    </x:row>
    <x:row r="2724" ht="32" customHeight="1">
      <x:c r="A2724" s="30" t="str">
        <x:v>A031</x:v>
      </x:c>
      <x:c r="B2724" s="30" t="str">
        <x:v>F124</x:v>
      </x:c>
      <x:c r="C2724" s="30" t="str">
        <x:v>equipment.consumable_remaining</x:v>
      </x:c>
      <x:c r="D2724" s="30" t="str">
        <x:v>候选输入schema</x:v>
      </x:c>
      <x:c r="E2724" s="30" t="str">
        <x:v>按执行角色权限读取；策略只能使用可访问快照</x:v>
      </x:c>
    </x:row>
    <x:row r="2725" ht="32" customHeight="1">
      <x:c r="A2725" s="30" t="str">
        <x:v>A031</x:v>
      </x:c>
      <x:c r="B2725" s="30" t="str">
        <x:v>F125</x:v>
      </x:c>
      <x:c r="C2725" s="30" t="str">
        <x:v>equipment.operator_authority</x:v>
      </x:c>
      <x:c r="D2725" s="30" t="str">
        <x:v>候选输入schema</x:v>
      </x:c>
      <x:c r="E2725" s="30" t="str">
        <x:v>按执行角色权限读取；策略只能使用可访问快照</x:v>
      </x:c>
    </x:row>
    <x:row r="2726" ht="32" customHeight="1">
      <x:c r="A2726" s="30" t="str">
        <x:v>A031</x:v>
      </x:c>
      <x:c r="B2726" s="30" t="str">
        <x:v>F126</x:v>
      </x:c>
      <x:c r="C2726" s="30" t="str">
        <x:v>equipment.setup_state</x:v>
      </x:c>
      <x:c r="D2726" s="30" t="str">
        <x:v>候选输入schema</x:v>
      </x:c>
      <x:c r="E2726" s="30" t="str">
        <x:v>按执行角色权限读取；策略只能使用可访问快照</x:v>
      </x:c>
    </x:row>
    <x:row r="2727" ht="32" customHeight="1">
      <x:c r="A2727" s="30" t="str">
        <x:v>A031</x:v>
      </x:c>
      <x:c r="B2727" s="30" t="str">
        <x:v>F127</x:v>
      </x:c>
      <x:c r="C2727" s="30" t="str">
        <x:v>equipment.busy_action_id</x:v>
      </x:c>
      <x:c r="D2727" s="30" t="str">
        <x:v>候选输入schema</x:v>
      </x:c>
      <x:c r="E2727" s="30" t="str">
        <x:v>按执行角色权限读取；策略只能使用可访问快照</x:v>
      </x:c>
    </x:row>
    <x:row r="2728" ht="32" customHeight="1">
      <x:c r="A2728" s="30" t="str">
        <x:v>A031</x:v>
      </x:c>
      <x:c r="B2728" s="30" t="str">
        <x:v>F230</x:v>
      </x:c>
      <x:c r="C2728" s="30" t="str">
        <x:v>action.type</x:v>
      </x:c>
      <x:c r="D2728" s="30" t="str">
        <x:v>候选输入schema</x:v>
      </x:c>
      <x:c r="E2728" s="30" t="str">
        <x:v>按执行角色权限读取；策略只能使用可访问快照</x:v>
      </x:c>
    </x:row>
    <x:row r="2729" ht="32" customHeight="1">
      <x:c r="A2729" s="30" t="str">
        <x:v>A031</x:v>
      </x:c>
      <x:c r="B2729" s="30" t="str">
        <x:v>F231</x:v>
      </x:c>
      <x:c r="C2729" s="30" t="str">
        <x:v>action.executor_id</x:v>
      </x:c>
      <x:c r="D2729" s="30" t="str">
        <x:v>候选输入schema</x:v>
      </x:c>
      <x:c r="E2729" s="30" t="str">
        <x:v>按执行角色权限读取；策略只能使用可访问快照</x:v>
      </x:c>
    </x:row>
    <x:row r="2730" ht="32" customHeight="1">
      <x:c r="A2730" s="30" t="str">
        <x:v>A031</x:v>
      </x:c>
      <x:c r="B2730" s="30" t="str">
        <x:v>F232</x:v>
      </x:c>
      <x:c r="C2730" s="30" t="str">
        <x:v>action.task_ref</x:v>
      </x:c>
      <x:c r="D2730" s="30" t="str">
        <x:v>候选输入schema</x:v>
      </x:c>
      <x:c r="E2730" s="30" t="str">
        <x:v>按执行角色权限读取；策略只能使用可访问快照</x:v>
      </x:c>
    </x:row>
    <x:row r="2731" ht="32" customHeight="1">
      <x:c r="A2731" s="30" t="str">
        <x:v>A031</x:v>
      </x:c>
      <x:c r="B2731" s="30" t="str">
        <x:v>F233</x:v>
      </x:c>
      <x:c r="C2731" s="30" t="str">
        <x:v>action.target_ref</x:v>
      </x:c>
      <x:c r="D2731" s="30" t="str">
        <x:v>候选输入schema</x:v>
      </x:c>
      <x:c r="E2731" s="30" t="str">
        <x:v>按执行角色权限读取；策略只能使用可访问快照</x:v>
      </x:c>
    </x:row>
    <x:row r="2732" ht="32" customHeight="1">
      <x:c r="A2732" s="30" t="str">
        <x:v>A031</x:v>
      </x:c>
      <x:c r="B2732" s="30" t="str">
        <x:v>F234</x:v>
      </x:c>
      <x:c r="C2732" s="30" t="str">
        <x:v>action.parameters</x:v>
      </x:c>
      <x:c r="D2732" s="30" t="str">
        <x:v>候选输入schema</x:v>
      </x:c>
      <x:c r="E2732" s="30" t="str">
        <x:v>按执行角色权限读取；策略只能使用可访问快照</x:v>
      </x:c>
    </x:row>
    <x:row r="2733" ht="32" customHeight="1">
      <x:c r="A2733" s="30" t="str">
        <x:v>A031</x:v>
      </x:c>
      <x:c r="B2733" s="30" t="str">
        <x:v>F235</x:v>
      </x:c>
      <x:c r="C2733" s="30" t="str">
        <x:v>action.status</x:v>
      </x:c>
      <x:c r="D2733" s="30" t="str">
        <x:v>候选输入schema</x:v>
      </x:c>
      <x:c r="E2733" s="30" t="str">
        <x:v>按执行角色权限读取；策略只能使用可访问快照</x:v>
      </x:c>
    </x:row>
    <x:row r="2734" ht="32" customHeight="1">
      <x:c r="A2734" s="30" t="str">
        <x:v>A031</x:v>
      </x:c>
      <x:c r="B2734" s="30" t="str">
        <x:v>F236</x:v>
      </x:c>
      <x:c r="C2734" s="30" t="str">
        <x:v>action.start_s</x:v>
      </x:c>
      <x:c r="D2734" s="30" t="str">
        <x:v>候选输入schema</x:v>
      </x:c>
      <x:c r="E2734" s="30" t="str">
        <x:v>按执行角色权限读取；策略只能使用可访问快照</x:v>
      </x:c>
    </x:row>
    <x:row r="2735" ht="32" customHeight="1">
      <x:c r="A2735" s="30" t="str">
        <x:v>A031</x:v>
      </x:c>
      <x:c r="B2735" s="30" t="str">
        <x:v>F237</x:v>
      </x:c>
      <x:c r="C2735" s="30" t="str">
        <x:v>action.finish_s</x:v>
      </x:c>
      <x:c r="D2735" s="30" t="str">
        <x:v>候选输入schema</x:v>
      </x:c>
      <x:c r="E2735" s="30" t="str">
        <x:v>按执行角色权限读取；策略只能使用可访问快照</x:v>
      </x:c>
    </x:row>
    <x:row r="2736" ht="32" customHeight="1">
      <x:c r="A2736" s="30" t="str">
        <x:v>A031</x:v>
      </x:c>
      <x:c r="B2736" s="30" t="str">
        <x:v>F238</x:v>
      </x:c>
      <x:c r="C2736" s="30" t="str">
        <x:v>action.reserved_resources</x:v>
      </x:c>
      <x:c r="D2736" s="30" t="str">
        <x:v>候选输入schema</x:v>
      </x:c>
      <x:c r="E2736" s="30" t="str">
        <x:v>按执行角色权限读取；策略只能使用可访问快照</x:v>
      </x:c>
    </x:row>
    <x:row r="2737" ht="32" customHeight="1">
      <x:c r="A2737" s="30" t="str">
        <x:v>A031</x:v>
      </x:c>
      <x:c r="B2737" s="30" t="str">
        <x:v>F239</x:v>
      </x:c>
      <x:c r="C2737" s="30" t="str">
        <x:v>action.consumed_resources</x:v>
      </x:c>
      <x:c r="D2737" s="30" t="str">
        <x:v>候选输入schema</x:v>
      </x:c>
      <x:c r="E2737" s="30" t="str">
        <x:v>按执行角色权限读取；策略只能使用可访问快照</x:v>
      </x:c>
    </x:row>
    <x:row r="2738" ht="32" customHeight="1">
      <x:c r="A2738" s="30" t="str">
        <x:v>A031</x:v>
      </x:c>
      <x:c r="B2738" s="30" t="str">
        <x:v>F240</x:v>
      </x:c>
      <x:c r="C2738" s="30" t="str">
        <x:v>action.feedback</x:v>
      </x:c>
      <x:c r="D2738" s="30" t="str">
        <x:v>候选输入schema</x:v>
      </x:c>
      <x:c r="E2738" s="30" t="str">
        <x:v>按执行角色权限读取；策略只能使用可访问快照</x:v>
      </x:c>
    </x:row>
    <x:row r="2739" ht="32" customHeight="1">
      <x:c r="A2739" s="30" t="str">
        <x:v>A031</x:v>
      </x:c>
      <x:c r="B2739" s="30" t="str">
        <x:v>F241</x:v>
      </x:c>
      <x:c r="C2739" s="30" t="str">
        <x:v>action.result</x:v>
      </x:c>
      <x:c r="D2739" s="30" t="str">
        <x:v>候选输入schema</x:v>
      </x:c>
      <x:c r="E2739" s="30" t="str">
        <x:v>按执行角色权限读取；策略只能使用可访问快照</x:v>
      </x:c>
    </x:row>
    <x:row r="2740" ht="32" customHeight="1">
      <x:c r="A2740" s="30" t="str">
        <x:v>A031</x:v>
      </x:c>
      <x:c r="B2740" s="30" t="str">
        <x:v>F242</x:v>
      </x:c>
      <x:c r="C2740" s="30" t="str">
        <x:v>action.rejection_code</x:v>
      </x:c>
      <x:c r="D2740" s="30" t="str">
        <x:v>候选输入schema</x:v>
      </x:c>
      <x:c r="E2740" s="30" t="str">
        <x:v>按执行角色权限读取；策略只能使用可访问快照</x:v>
      </x:c>
    </x:row>
    <x:row r="2741" ht="32" customHeight="1">
      <x:c r="A2741" s="30" t="str">
        <x:v>A031</x:v>
      </x:c>
      <x:c r="B2741" s="30" t="str">
        <x:v>F243</x:v>
      </x:c>
      <x:c r="C2741" s="30" t="str">
        <x:v>action.failure_code</x:v>
      </x:c>
      <x:c r="D2741" s="30" t="str">
        <x:v>候选输入schema</x:v>
      </x:c>
      <x:c r="E2741" s="30" t="str">
        <x:v>按执行角色权限读取；策略只能使用可访问快照</x:v>
      </x:c>
    </x:row>
    <x:row r="2742" ht="32" customHeight="1">
      <x:c r="A2742" s="30" t="str">
        <x:v>A031</x:v>
      </x:c>
      <x:c r="B2742" s="30" t="str">
        <x:v>F244</x:v>
      </x:c>
      <x:c r="C2742" s="30" t="str">
        <x:v>action.cancel_requested</x:v>
      </x:c>
      <x:c r="D2742" s="30" t="str">
        <x:v>候选输入schema</x:v>
      </x:c>
      <x:c r="E2742" s="30" t="str">
        <x:v>按执行角色权限读取；策略只能使用可访问快照</x:v>
      </x:c>
    </x:row>
    <x:row r="2743" ht="32" customHeight="1">
      <x:c r="A2743" s="30" t="str">
        <x:v>A031</x:v>
      </x:c>
      <x:c r="B2743" s="30" t="str">
        <x:v>F245</x:v>
      </x:c>
      <x:c r="C2743" s="30" t="str">
        <x:v>action.backend_mode</x:v>
      </x:c>
      <x:c r="D2743" s="30" t="str">
        <x:v>候选输入schema</x:v>
      </x:c>
      <x:c r="E2743" s="30" t="str">
        <x:v>按执行角色权限读取；策略只能使用可访问快照</x:v>
      </x:c>
    </x:row>
    <x:row r="2744" ht="32" customHeight="1">
      <x:c r="A2744" s="30" t="str">
        <x:v>A031</x:v>
      </x:c>
      <x:c r="B2744" s="30" t="str">
        <x:v>F004</x:v>
      </x:c>
      <x:c r="C2744" s="30" t="str">
        <x:v>entity.pose</x:v>
      </x:c>
      <x:c r="D2744" s="30" t="str">
        <x:v>直接效果</x:v>
      </x:c>
      <x:c r="E2744" s="30" t="str">
        <x:v>经实际执行/回执提交；不是规划时提前修改</x:v>
      </x:c>
    </x:row>
    <x:row r="2745" ht="32" customHeight="1">
      <x:c r="A2745" s="30" t="str">
        <x:v>A031</x:v>
      </x:c>
      <x:c r="B2745" s="30" t="str">
        <x:v>F109</x:v>
      </x:c>
      <x:c r="C2745" s="30" t="str">
        <x:v>platform.motion_state</x:v>
      </x:c>
      <x:c r="D2745" s="30" t="str">
        <x:v>直接效果</x:v>
      </x:c>
      <x:c r="E2745" s="30" t="str">
        <x:v>经实际执行/回执提交；不是规划时提前修改</x:v>
      </x:c>
    </x:row>
    <x:row r="2746" ht="32" customHeight="1">
      <x:c r="A2746" s="30" t="str">
        <x:v>A032</x:v>
      </x:c>
      <x:c r="B2746" s="30" t="str">
        <x:v>F095</x:v>
      </x:c>
      <x:c r="C2746" s="30" t="str">
        <x:v>platform.kind</x:v>
      </x:c>
      <x:c r="D2746" s="30" t="str">
        <x:v>候选输入schema</x:v>
      </x:c>
      <x:c r="E2746" s="30" t="str">
        <x:v>按执行角色权限读取；策略只能使用可访问快照</x:v>
      </x:c>
    </x:row>
    <x:row r="2747" ht="32" customHeight="1">
      <x:c r="A2747" s="30" t="str">
        <x:v>A032</x:v>
      </x:c>
      <x:c r="B2747" s="30" t="str">
        <x:v>F096</x:v>
      </x:c>
      <x:c r="C2747" s="30" t="str">
        <x:v>platform.capability_ids</x:v>
      </x:c>
      <x:c r="D2747" s="30" t="str">
        <x:v>候选输入schema</x:v>
      </x:c>
      <x:c r="E2747" s="30" t="str">
        <x:v>按执行角色权限读取；策略只能使用可访问快照</x:v>
      </x:c>
    </x:row>
    <x:row r="2748" ht="32" customHeight="1">
      <x:c r="A2748" s="30" t="str">
        <x:v>A032</x:v>
      </x:c>
      <x:c r="B2748" s="30" t="str">
        <x:v>F097</x:v>
      </x:c>
      <x:c r="C2748" s="30" t="str">
        <x:v>platform.equipment_ids</x:v>
      </x:c>
      <x:c r="D2748" s="30" t="str">
        <x:v>候选输入schema</x:v>
      </x:c>
      <x:c r="E2748" s="30" t="str">
        <x:v>按执行角色权限读取；策略只能使用可访问快照</x:v>
      </x:c>
    </x:row>
    <x:row r="2749" ht="32" customHeight="1">
      <x:c r="A2749" s="30" t="str">
        <x:v>A032</x:v>
      </x:c>
      <x:c r="B2749" s="30" t="str">
        <x:v>F098</x:v>
      </x:c>
      <x:c r="C2749" s="30" t="str">
        <x:v>platform.width_m</x:v>
      </x:c>
      <x:c r="D2749" s="30" t="str">
        <x:v>候选输入schema</x:v>
      </x:c>
      <x:c r="E2749" s="30" t="str">
        <x:v>按执行角色权限读取；策略只能使用可访问快照</x:v>
      </x:c>
    </x:row>
    <x:row r="2750" ht="32" customHeight="1">
      <x:c r="A2750" s="30" t="str">
        <x:v>A032</x:v>
      </x:c>
      <x:c r="B2750" s="30" t="str">
        <x:v>F099</x:v>
      </x:c>
      <x:c r="C2750" s="30" t="str">
        <x:v>platform.height_m</x:v>
      </x:c>
      <x:c r="D2750" s="30" t="str">
        <x:v>候选输入schema</x:v>
      </x:c>
      <x:c r="E2750" s="30" t="str">
        <x:v>按执行角色权限读取；策略只能使用可访问快照</x:v>
      </x:c>
    </x:row>
    <x:row r="2751" ht="32" customHeight="1">
      <x:c r="A2751" s="30" t="str">
        <x:v>A032</x:v>
      </x:c>
      <x:c r="B2751" s="30" t="str">
        <x:v>F100</x:v>
      </x:c>
      <x:c r="C2751" s="30" t="str">
        <x:v>platform.swept_radius_m</x:v>
      </x:c>
      <x:c r="D2751" s="30" t="str">
        <x:v>候选输入schema</x:v>
      </x:c>
      <x:c r="E2751" s="30" t="str">
        <x:v>按执行角色权限读取；策略只能使用可访问快照</x:v>
      </x:c>
    </x:row>
    <x:row r="2752" ht="32" customHeight="1">
      <x:c r="A2752" s="30" t="str">
        <x:v>A032</x:v>
      </x:c>
      <x:c r="B2752" s="30" t="str">
        <x:v>F101</x:v>
      </x:c>
      <x:c r="C2752" s="30" t="str">
        <x:v>platform.payload_capacity_kg</x:v>
      </x:c>
      <x:c r="D2752" s="30" t="str">
        <x:v>候选输入schema</x:v>
      </x:c>
      <x:c r="E2752" s="30" t="str">
        <x:v>按执行角色权限读取；策略只能使用可访问快照</x:v>
      </x:c>
    </x:row>
    <x:row r="2753" ht="32" customHeight="1">
      <x:c r="A2753" s="30" t="str">
        <x:v>A032</x:v>
      </x:c>
      <x:c r="B2753" s="30" t="str">
        <x:v>F102</x:v>
      </x:c>
      <x:c r="C2753" s="30" t="str">
        <x:v>platform.payload_used_kg</x:v>
      </x:c>
      <x:c r="D2753" s="30" t="str">
        <x:v>候选输入schema</x:v>
      </x:c>
      <x:c r="E2753" s="30" t="str">
        <x:v>按执行角色权限读取；策略只能使用可访问快照</x:v>
      </x:c>
    </x:row>
    <x:row r="2754" ht="32" customHeight="1">
      <x:c r="A2754" s="30" t="str">
        <x:v>A032</x:v>
      </x:c>
      <x:c r="B2754" s="30" t="str">
        <x:v>F103</x:v>
      </x:c>
      <x:c r="C2754" s="30" t="str">
        <x:v>platform.payload_item_ids</x:v>
      </x:c>
      <x:c r="D2754" s="30" t="str">
        <x:v>候选输入schema</x:v>
      </x:c>
      <x:c r="E2754" s="30" t="str">
        <x:v>按执行角色权限读取；策略只能使用可访问快照</x:v>
      </x:c>
    </x:row>
    <x:row r="2755" ht="32" customHeight="1">
      <x:c r="A2755" s="30" t="str">
        <x:v>A032</x:v>
      </x:c>
      <x:c r="B2755" s="30" t="str">
        <x:v>F104</x:v>
      </x:c>
      <x:c r="C2755" s="30" t="str">
        <x:v>platform.battery_capacity_Wh</x:v>
      </x:c>
      <x:c r="D2755" s="30" t="str">
        <x:v>候选输入schema</x:v>
      </x:c>
      <x:c r="E2755" s="30" t="str">
        <x:v>按执行角色权限读取；策略只能使用可访问快照</x:v>
      </x:c>
    </x:row>
    <x:row r="2756" ht="32" customHeight="1">
      <x:c r="A2756" s="30" t="str">
        <x:v>A032</x:v>
      </x:c>
      <x:c r="B2756" s="30" t="str">
        <x:v>F105</x:v>
      </x:c>
      <x:c r="C2756" s="30" t="str">
        <x:v>platform.battery_remaining_Wh</x:v>
      </x:c>
      <x:c r="D2756" s="30" t="str">
        <x:v>候选输入schema</x:v>
      </x:c>
      <x:c r="E2756" s="30" t="str">
        <x:v>按执行角色权限读取；策略只能使用可访问快照</x:v>
      </x:c>
    </x:row>
    <x:row r="2757" ht="32" customHeight="1">
      <x:c r="A2757" s="30" t="str">
        <x:v>A032</x:v>
      </x:c>
      <x:c r="B2757" s="30" t="str">
        <x:v>F106</x:v>
      </x:c>
      <x:c r="C2757" s="30" t="str">
        <x:v>platform.reserve_Wh</x:v>
      </x:c>
      <x:c r="D2757" s="30" t="str">
        <x:v>候选输入schema</x:v>
      </x:c>
      <x:c r="E2757" s="30" t="str">
        <x:v>按执行角色权限读取；策略只能使用可访问快照</x:v>
      </x:c>
    </x:row>
    <x:row r="2758" ht="32" customHeight="1">
      <x:c r="A2758" s="30" t="str">
        <x:v>A032</x:v>
      </x:c>
      <x:c r="B2758" s="30" t="str">
        <x:v>F107</x:v>
      </x:c>
      <x:c r="C2758" s="30" t="str">
        <x:v>platform.speed_limit_mps</x:v>
      </x:c>
      <x:c r="D2758" s="30" t="str">
        <x:v>候选输入schema</x:v>
      </x:c>
      <x:c r="E2758" s="30" t="str">
        <x:v>按执行角色权限读取；策略只能使用可访问快照</x:v>
      </x:c>
    </x:row>
    <x:row r="2759" ht="32" customHeight="1">
      <x:c r="A2759" s="30" t="str">
        <x:v>A032</x:v>
      </x:c>
      <x:c r="B2759" s="30" t="str">
        <x:v>F108</x:v>
      </x:c>
      <x:c r="C2759" s="30" t="str">
        <x:v>platform.energy_model</x:v>
      </x:c>
      <x:c r="D2759" s="30" t="str">
        <x:v>候选输入schema</x:v>
      </x:c>
      <x:c r="E2759" s="30" t="str">
        <x:v>按执行角色权限读取；策略只能使用可访问快照</x:v>
      </x:c>
    </x:row>
    <x:row r="2760" ht="32" customHeight="1">
      <x:c r="A2760" s="30" t="str">
        <x:v>A032</x:v>
      </x:c>
      <x:c r="B2760" s="30" t="str">
        <x:v>F109</x:v>
      </x:c>
      <x:c r="C2760" s="30" t="str">
        <x:v>platform.motion_state</x:v>
      </x:c>
      <x:c r="D2760" s="30" t="str">
        <x:v>候选输入schema</x:v>
      </x:c>
      <x:c r="E2760" s="30" t="str">
        <x:v>按执行角色权限读取；策略只能使用可访问快照</x:v>
      </x:c>
    </x:row>
    <x:row r="2761" ht="32" customHeight="1">
      <x:c r="A2761" s="30" t="str">
        <x:v>A032</x:v>
      </x:c>
      <x:c r="B2761" s="30" t="str">
        <x:v>F110</x:v>
      </x:c>
      <x:c r="C2761" s="30" t="str">
        <x:v>platform.health_state</x:v>
      </x:c>
      <x:c r="D2761" s="30" t="str">
        <x:v>候选输入schema</x:v>
      </x:c>
      <x:c r="E2761" s="30" t="str">
        <x:v>按执行角色权限读取；策略只能使用可访问快照</x:v>
      </x:c>
    </x:row>
    <x:row r="2762" ht="32" customHeight="1">
      <x:c r="A2762" s="30" t="str">
        <x:v>A032</x:v>
      </x:c>
      <x:c r="B2762" s="30" t="str">
        <x:v>F111</x:v>
      </x:c>
      <x:c r="C2762" s="30" t="str">
        <x:v>platform.current_action_id</x:v>
      </x:c>
      <x:c r="D2762" s="30" t="str">
        <x:v>候选输入schema</x:v>
      </x:c>
      <x:c r="E2762" s="30" t="str">
        <x:v>按执行角色权限读取；策略只能使用可访问快照</x:v>
      </x:c>
    </x:row>
    <x:row r="2763" ht="32" customHeight="1">
      <x:c r="A2763" s="30" t="str">
        <x:v>A032</x:v>
      </x:c>
      <x:c r="B2763" s="30" t="str">
        <x:v>F112</x:v>
      </x:c>
      <x:c r="C2763" s="30" t="str">
        <x:v>platform.busy_until_est_s</x:v>
      </x:c>
      <x:c r="D2763" s="30" t="str">
        <x:v>候选输入schema</x:v>
      </x:c>
      <x:c r="E2763" s="30" t="str">
        <x:v>按执行角色权限读取；策略只能使用可访问快照</x:v>
      </x:c>
    </x:row>
    <x:row r="2764" ht="32" customHeight="1">
      <x:c r="A2764" s="30" t="str">
        <x:v>A032</x:v>
      </x:c>
      <x:c r="B2764" s="30" t="str">
        <x:v>F113</x:v>
      </x:c>
      <x:c r="C2764" s="30" t="str">
        <x:v>platform.return_site_id</x:v>
      </x:c>
      <x:c r="D2764" s="30" t="str">
        <x:v>候选输入schema</x:v>
      </x:c>
      <x:c r="E2764" s="30" t="str">
        <x:v>按执行角色权限读取；策略只能使用可访问快照</x:v>
      </x:c>
    </x:row>
    <x:row r="2765" ht="32" customHeight="1">
      <x:c r="A2765" s="30" t="str">
        <x:v>A032</x:v>
      </x:c>
      <x:c r="B2765" s="30" t="str">
        <x:v>F114</x:v>
      </x:c>
      <x:c r="C2765" s="30" t="str">
        <x:v>platform.water_tolerance_m</x:v>
      </x:c>
      <x:c r="D2765" s="30" t="str">
        <x:v>候选输入schema</x:v>
      </x:c>
      <x:c r="E2765" s="30" t="str">
        <x:v>按执行角色权限读取；策略只能使用可访问快照</x:v>
      </x:c>
    </x:row>
    <x:row r="2766" ht="32" customHeight="1">
      <x:c r="A2766" s="30" t="str">
        <x:v>A032</x:v>
      </x:c>
      <x:c r="B2766" s="30" t="str">
        <x:v>F115</x:v>
      </x:c>
      <x:c r="C2766" s="30" t="str">
        <x:v>platform.concurrency_policy</x:v>
      </x:c>
      <x:c r="D2766" s="30" t="str">
        <x:v>候选输入schema</x:v>
      </x:c>
      <x:c r="E2766" s="30" t="str">
        <x:v>按执行角色权限读取；策略只能使用可访问快照</x:v>
      </x:c>
    </x:row>
    <x:row r="2767" ht="32" customHeight="1">
      <x:c r="A2767" s="30" t="str">
        <x:v>A032</x:v>
      </x:c>
      <x:c r="B2767" s="30" t="str">
        <x:v>F246</x:v>
      </x:c>
      <x:c r="C2767" s="30" t="str">
        <x:v>radio.interface_id</x:v>
      </x:c>
      <x:c r="D2767" s="30" t="str">
        <x:v>候选输入schema</x:v>
      </x:c>
      <x:c r="E2767" s="30" t="str">
        <x:v>按执行角色权限读取；策略只能使用可访问快照</x:v>
      </x:c>
    </x:row>
    <x:row r="2768" ht="32" customHeight="1">
      <x:c r="A2768" s="30" t="str">
        <x:v>A032</x:v>
      </x:c>
      <x:c r="B2768" s="30" t="str">
        <x:v>F247</x:v>
      </x:c>
      <x:c r="C2768" s="30" t="str">
        <x:v>radio.protocol</x:v>
      </x:c>
      <x:c r="D2768" s="30" t="str">
        <x:v>候选输入schema</x:v>
      </x:c>
      <x:c r="E2768" s="30" t="str">
        <x:v>按执行角色权限读取；策略只能使用可访问快照</x:v>
      </x:c>
    </x:row>
    <x:row r="2769" ht="32" customHeight="1">
      <x:c r="A2769" s="30" t="str">
        <x:v>A032</x:v>
      </x:c>
      <x:c r="B2769" s="30" t="str">
        <x:v>F248</x:v>
      </x:c>
      <x:c r="C2769" s="30" t="str">
        <x:v>radio.channel</x:v>
      </x:c>
      <x:c r="D2769" s="30" t="str">
        <x:v>候选输入schema</x:v>
      </x:c>
      <x:c r="E2769" s="30" t="str">
        <x:v>按执行角色权限读取；策略只能使用可访问快照</x:v>
      </x:c>
    </x:row>
    <x:row r="2770" ht="32" customHeight="1">
      <x:c r="A2770" s="30" t="str">
        <x:v>A032</x:v>
      </x:c>
      <x:c r="B2770" s="30" t="str">
        <x:v>F249</x:v>
      </x:c>
      <x:c r="C2770" s="30" t="str">
        <x:v>radio.tx_power_dbm</x:v>
      </x:c>
      <x:c r="D2770" s="30" t="str">
        <x:v>候选输入schema</x:v>
      </x:c>
      <x:c r="E2770" s="30" t="str">
        <x:v>按执行角色权限读取；策略只能使用可访问快照</x:v>
      </x:c>
    </x:row>
    <x:row r="2771" ht="32" customHeight="1">
      <x:c r="A2771" s="30" t="str">
        <x:v>A032</x:v>
      </x:c>
      <x:c r="B2771" s="30" t="str">
        <x:v>F250</x:v>
      </x:c>
      <x:c r="C2771" s="30" t="str">
        <x:v>radio.antenna</x:v>
      </x:c>
      <x:c r="D2771" s="30" t="str">
        <x:v>候选输入schema</x:v>
      </x:c>
      <x:c r="E2771" s="30" t="str">
        <x:v>按执行角色权限读取；策略只能使用可访问快照</x:v>
      </x:c>
    </x:row>
    <x:row r="2772" ht="32" customHeight="1">
      <x:c r="A2772" s="30" t="str">
        <x:v>A032</x:v>
      </x:c>
      <x:c r="B2772" s="30" t="str">
        <x:v>F251</x:v>
      </x:c>
      <x:c r="C2772" s="30" t="str">
        <x:v>radio.enabled</x:v>
      </x:c>
      <x:c r="D2772" s="30" t="str">
        <x:v>候选输入schema</x:v>
      </x:c>
      <x:c r="E2772" s="30" t="str">
        <x:v>按执行角色权限读取；策略只能使用可访问快照</x:v>
      </x:c>
    </x:row>
    <x:row r="2773" ht="32" customHeight="1">
      <x:c r="A2773" s="30" t="str">
        <x:v>A032</x:v>
      </x:c>
      <x:c r="B2773" s="30" t="str">
        <x:v>F252</x:v>
      </x:c>
      <x:c r="C2773" s="30" t="str">
        <x:v>radio.phy_state</x:v>
      </x:c>
      <x:c r="D2773" s="30" t="str">
        <x:v>候选输入schema</x:v>
      </x:c>
      <x:c r="E2773" s="30" t="str">
        <x:v>按执行角色权限读取；策略只能使用可访问快照</x:v>
      </x:c>
    </x:row>
    <x:row r="2774" ht="32" customHeight="1">
      <x:c r="A2774" s="30" t="str">
        <x:v>A032</x:v>
      </x:c>
      <x:c r="B2774" s="30" t="str">
        <x:v>F253</x:v>
      </x:c>
      <x:c r="C2774" s="30" t="str">
        <x:v>radio.queue_bytes</x:v>
      </x:c>
      <x:c r="D2774" s="30" t="str">
        <x:v>候选输入schema</x:v>
      </x:c>
      <x:c r="E2774" s="30" t="str">
        <x:v>按执行角色权限读取；策略只能使用可访问快照</x:v>
      </x:c>
    </x:row>
    <x:row r="2775" ht="32" customHeight="1">
      <x:c r="A2775" s="30" t="str">
        <x:v>A032</x:v>
      </x:c>
      <x:c r="B2775" s="30" t="str">
        <x:v>F254</x:v>
      </x:c>
      <x:c r="C2775" s="30" t="str">
        <x:v>radio.queue_limit_bytes</x:v>
      </x:c>
      <x:c r="D2775" s="30" t="str">
        <x:v>候选输入schema</x:v>
      </x:c>
      <x:c r="E2775" s="30" t="str">
        <x:v>按执行角色权限读取；策略只能使用可访问快照</x:v>
      </x:c>
    </x:row>
    <x:row r="2776" ht="32" customHeight="1">
      <x:c r="A2776" s="30" t="str">
        <x:v>A032</x:v>
      </x:c>
      <x:c r="B2776" s="30" t="str">
        <x:v>F255</x:v>
      </x:c>
      <x:c r="C2776" s="30" t="str">
        <x:v>radio.mtu_bytes</x:v>
      </x:c>
      <x:c r="D2776" s="30" t="str">
        <x:v>候选输入schema</x:v>
      </x:c>
      <x:c r="E2776" s="30" t="str">
        <x:v>按执行角色权限读取；策略只能使用可访问快照</x:v>
      </x:c>
    </x:row>
    <x:row r="2777" ht="32" customHeight="1">
      <x:c r="A2777" s="30" t="str">
        <x:v>A032</x:v>
      </x:c>
      <x:c r="B2777" s="30" t="str">
        <x:v>F256</x:v>
      </x:c>
      <x:c r="C2777" s="30" t="str">
        <x:v>radio.retry_limit</x:v>
      </x:c>
      <x:c r="D2777" s="30" t="str">
        <x:v>候选输入schema</x:v>
      </x:c>
      <x:c r="E2777" s="30" t="str">
        <x:v>按执行角色权限读取；策略只能使用可访问快照</x:v>
      </x:c>
    </x:row>
    <x:row r="2778" ht="32" customHeight="1">
      <x:c r="A2778" s="30" t="str">
        <x:v>A032</x:v>
      </x:c>
      <x:c r="B2778" s="30" t="str">
        <x:v>F257</x:v>
      </x:c>
      <x:c r="C2778" s="30" t="str">
        <x:v>radio.routing_mode</x:v>
      </x:c>
      <x:c r="D2778" s="30" t="str">
        <x:v>候选输入schema</x:v>
      </x:c>
      <x:c r="E2778" s="30" t="str">
        <x:v>按执行角色权限读取；策略只能使用可访问快照</x:v>
      </x:c>
    </x:row>
    <x:row r="2779" ht="32" customHeight="1">
      <x:c r="A2779" s="30" t="str">
        <x:v>A032</x:v>
      </x:c>
      <x:c r="B2779" s="30" t="str">
        <x:v>F258</x:v>
      </x:c>
      <x:c r="C2779" s="30" t="str">
        <x:v>radio.energy_Wh</x:v>
      </x:c>
      <x:c r="D2779" s="30" t="str">
        <x:v>候选输入schema</x:v>
      </x:c>
      <x:c r="E2779" s="30" t="str">
        <x:v>按执行角色权限读取；策略只能使用可访问快照</x:v>
      </x:c>
    </x:row>
    <x:row r="2780" ht="32" customHeight="1">
      <x:c r="A2780" s="30" t="str">
        <x:v>A032</x:v>
      </x:c>
      <x:c r="B2780" s="30" t="str">
        <x:v>F259</x:v>
      </x:c>
      <x:c r="C2780" s="30" t="str">
        <x:v>radio.position_source</x:v>
      </x:c>
      <x:c r="D2780" s="30" t="str">
        <x:v>候选输入schema</x:v>
      </x:c>
      <x:c r="E2780" s="30" t="str">
        <x:v>按执行角色权限读取；策略只能使用可访问快照</x:v>
      </x:c>
    </x:row>
    <x:row r="2781" ht="32" customHeight="1">
      <x:c r="A2781" s="30" t="str">
        <x:v>A032</x:v>
      </x:c>
      <x:c r="B2781" s="30" t="str">
        <x:v>F260</x:v>
      </x:c>
      <x:c r="C2781" s="30" t="str">
        <x:v>radio.last_contact_s</x:v>
      </x:c>
      <x:c r="D2781" s="30" t="str">
        <x:v>候选输入schema</x:v>
      </x:c>
      <x:c r="E2781" s="30" t="str">
        <x:v>按执行角色权限读取；策略只能使用可访问快照</x:v>
      </x:c>
    </x:row>
    <x:row r="2782" ht="32" customHeight="1">
      <x:c r="A2782" s="30" t="str">
        <x:v>A032</x:v>
      </x:c>
      <x:c r="B2782" s="30" t="str">
        <x:v>F261</x:v>
      </x:c>
      <x:c r="C2782" s="30" t="str">
        <x:v>radio.relay_enabled</x:v>
      </x:c>
      <x:c r="D2782" s="30" t="str">
        <x:v>候选输入schema</x:v>
      </x:c>
      <x:c r="E2782" s="30" t="str">
        <x:v>按执行角色权限读取；策略只能使用可访问快照</x:v>
      </x:c>
    </x:row>
    <x:row r="2783" ht="32" customHeight="1">
      <x:c r="A2783" s="30" t="str">
        <x:v>A032</x:v>
      </x:c>
      <x:c r="B2783" s="30" t="str">
        <x:v>F262</x:v>
      </x:c>
      <x:c r="C2783" s="30" t="str">
        <x:v>link.sender_id</x:v>
      </x:c>
      <x:c r="D2783" s="30" t="str">
        <x:v>候选输入schema</x:v>
      </x:c>
      <x:c r="E2783" s="30" t="str">
        <x:v>按执行角色权限读取；策略只能使用可访问快照</x:v>
      </x:c>
    </x:row>
    <x:row r="2784" ht="32" customHeight="1">
      <x:c r="A2784" s="30" t="str">
        <x:v>A032</x:v>
      </x:c>
      <x:c r="B2784" s="30" t="str">
        <x:v>F263</x:v>
      </x:c>
      <x:c r="C2784" s="30" t="str">
        <x:v>link.receiver_id</x:v>
      </x:c>
      <x:c r="D2784" s="30" t="str">
        <x:v>候选输入schema</x:v>
      </x:c>
      <x:c r="E2784" s="30" t="str">
        <x:v>按执行角色权限读取；策略只能使用可访问快照</x:v>
      </x:c>
    </x:row>
    <x:row r="2785" ht="32" customHeight="1">
      <x:c r="A2785" s="30" t="str">
        <x:v>A032</x:v>
      </x:c>
      <x:c r="B2785" s="30" t="str">
        <x:v>F264</x:v>
      </x:c>
      <x:c r="C2785" s="30" t="str">
        <x:v>link.state</x:v>
      </x:c>
      <x:c r="D2785" s="30" t="str">
        <x:v>候选输入schema</x:v>
      </x:c>
      <x:c r="E2785" s="30" t="str">
        <x:v>按执行角色权限读取；策略只能使用可访问快照</x:v>
      </x:c>
    </x:row>
    <x:row r="2786" ht="32" customHeight="1">
      <x:c r="A2786" s="30" t="str">
        <x:v>A032</x:v>
      </x:c>
      <x:c r="B2786" s="30" t="str">
        <x:v>F265</x:v>
      </x:c>
      <x:c r="C2786" s="30" t="str">
        <x:v>link.rssi_dbm</x:v>
      </x:c>
      <x:c r="D2786" s="30" t="str">
        <x:v>候选输入schema</x:v>
      </x:c>
      <x:c r="E2786" s="30" t="str">
        <x:v>按执行角色权限读取；策略只能使用可访问快照</x:v>
      </x:c>
    </x:row>
    <x:row r="2787" ht="32" customHeight="1">
      <x:c r="A2787" s="30" t="str">
        <x:v>A032</x:v>
      </x:c>
      <x:c r="B2787" s="30" t="str">
        <x:v>F266</x:v>
      </x:c>
      <x:c r="C2787" s="30" t="str">
        <x:v>link.sinr_db</x:v>
      </x:c>
      <x:c r="D2787" s="30" t="str">
        <x:v>候选输入schema</x:v>
      </x:c>
      <x:c r="E2787" s="30" t="str">
        <x:v>按执行角色权限读取；策略只能使用可访问快照</x:v>
      </x:c>
    </x:row>
    <x:row r="2788" ht="32" customHeight="1">
      <x:c r="A2788" s="30" t="str">
        <x:v>A032</x:v>
      </x:c>
      <x:c r="B2788" s="30" t="str">
        <x:v>F267</x:v>
      </x:c>
      <x:c r="C2788" s="30" t="str">
        <x:v>link.goodput_bps</x:v>
      </x:c>
      <x:c r="D2788" s="30" t="str">
        <x:v>候选输入schema</x:v>
      </x:c>
      <x:c r="E2788" s="30" t="str">
        <x:v>按执行角色权限读取；策略只能使用可访问快照</x:v>
      </x:c>
    </x:row>
    <x:row r="2789" ht="32" customHeight="1">
      <x:c r="A2789" s="30" t="str">
        <x:v>A032</x:v>
      </x:c>
      <x:c r="B2789" s="30" t="str">
        <x:v>F268</x:v>
      </x:c>
      <x:c r="C2789" s="30" t="str">
        <x:v>link.latency_s</x:v>
      </x:c>
      <x:c r="D2789" s="30" t="str">
        <x:v>候选输入schema</x:v>
      </x:c>
      <x:c r="E2789" s="30" t="str">
        <x:v>按执行角色权限读取；策略只能使用可访问快照</x:v>
      </x:c>
    </x:row>
    <x:row r="2790" ht="32" customHeight="1">
      <x:c r="A2790" s="30" t="str">
        <x:v>A032</x:v>
      </x:c>
      <x:c r="B2790" s="30" t="str">
        <x:v>F269</x:v>
      </x:c>
      <x:c r="C2790" s="30" t="str">
        <x:v>link.loss_rate</x:v>
      </x:c>
      <x:c r="D2790" s="30" t="str">
        <x:v>候选输入schema</x:v>
      </x:c>
      <x:c r="E2790" s="30" t="str">
        <x:v>按执行角色权限读取；策略只能使用可访问快照</x:v>
      </x:c>
    </x:row>
    <x:row r="2791" ht="32" customHeight="1">
      <x:c r="A2791" s="30" t="str">
        <x:v>A032</x:v>
      </x:c>
      <x:c r="B2791" s="30" t="str">
        <x:v>F270</x:v>
      </x:c>
      <x:c r="C2791" s="30" t="str">
        <x:v>link.sample_count</x:v>
      </x:c>
      <x:c r="D2791" s="30" t="str">
        <x:v>候选输入schema</x:v>
      </x:c>
      <x:c r="E2791" s="30" t="str">
        <x:v>按执行角色权限读取；策略只能使用可访问快照</x:v>
      </x:c>
    </x:row>
    <x:row r="2792" ht="32" customHeight="1">
      <x:c r="A2792" s="30" t="str">
        <x:v>A032</x:v>
      </x:c>
      <x:c r="B2792" s="30" t="str">
        <x:v>F271</x:v>
      </x:c>
      <x:c r="C2792" s="30" t="str">
        <x:v>link.sampled_at_s</x:v>
      </x:c>
      <x:c r="D2792" s="30" t="str">
        <x:v>候选输入schema</x:v>
      </x:c>
      <x:c r="E2792" s="30" t="str">
        <x:v>按执行角色权限读取；策略只能使用可访问快照</x:v>
      </x:c>
    </x:row>
    <x:row r="2793" ht="32" customHeight="1">
      <x:c r="A2793" s="30" t="str">
        <x:v>A032</x:v>
      </x:c>
      <x:c r="B2793" s="30" t="str">
        <x:v>F272</x:v>
      </x:c>
      <x:c r="C2793" s="30" t="str">
        <x:v>link.route</x:v>
      </x:c>
      <x:c r="D2793" s="30" t="str">
        <x:v>候选输入schema</x:v>
      </x:c>
      <x:c r="E2793" s="30" t="str">
        <x:v>按执行角色权限读取；策略只能使用可访问快照</x:v>
      </x:c>
    </x:row>
    <x:row r="2794" ht="32" customHeight="1">
      <x:c r="A2794" s="30" t="str">
        <x:v>A032</x:v>
      </x:c>
      <x:c r="B2794" s="30" t="str">
        <x:v>F273</x:v>
      </x:c>
      <x:c r="C2794" s="30" t="str">
        <x:v>link.outage_duration_s</x:v>
      </x:c>
      <x:c r="D2794" s="30" t="str">
        <x:v>候选输入schema</x:v>
      </x:c>
      <x:c r="E2794" s="30" t="str">
        <x:v>按执行角色权限读取；策略只能使用可访问快照</x:v>
      </x:c>
    </x:row>
    <x:row r="2795" ht="32" customHeight="1">
      <x:c r="A2795" s="30" t="str">
        <x:v>A032</x:v>
      </x:c>
      <x:c r="B2795" s="30" t="str">
        <x:v>F274</x:v>
      </x:c>
      <x:c r="C2795" s="30" t="str">
        <x:v>link.quality_source</x:v>
      </x:c>
      <x:c r="D2795" s="30" t="str">
        <x:v>候选输入schema</x:v>
      </x:c>
      <x:c r="E2795" s="30" t="str">
        <x:v>按执行角色权限读取；策略只能使用可访问快照</x:v>
      </x:c>
    </x:row>
    <x:row r="2796" ht="32" customHeight="1">
      <x:c r="A2796" s="30" t="str">
        <x:v>A032</x:v>
      </x:c>
      <x:c r="B2796" s="30" t="str">
        <x:v>F275</x:v>
      </x:c>
      <x:c r="C2796" s="30" t="str">
        <x:v>message.kind</x:v>
      </x:c>
      <x:c r="D2796" s="30" t="str">
        <x:v>候选输入schema</x:v>
      </x:c>
      <x:c r="E2796" s="30" t="str">
        <x:v>按执行角色权限读取；策略只能使用可访问快照</x:v>
      </x:c>
    </x:row>
    <x:row r="2797" ht="32" customHeight="1">
      <x:c r="A2797" s="30" t="str">
        <x:v>A032</x:v>
      </x:c>
      <x:c r="B2797" s="30" t="str">
        <x:v>F276</x:v>
      </x:c>
      <x:c r="C2797" s="30" t="str">
        <x:v>message.sender_id</x:v>
      </x:c>
      <x:c r="D2797" s="30" t="str">
        <x:v>候选输入schema</x:v>
      </x:c>
      <x:c r="E2797" s="30" t="str">
        <x:v>按执行角色权限读取；策略只能使用可访问快照</x:v>
      </x:c>
    </x:row>
    <x:row r="2798" ht="32" customHeight="1">
      <x:c r="A2798" s="30" t="str">
        <x:v>A032</x:v>
      </x:c>
      <x:c r="B2798" s="30" t="str">
        <x:v>F277</x:v>
      </x:c>
      <x:c r="C2798" s="30" t="str">
        <x:v>message.receiver_ids</x:v>
      </x:c>
      <x:c r="D2798" s="30" t="str">
        <x:v>候选输入schema</x:v>
      </x:c>
      <x:c r="E2798" s="30" t="str">
        <x:v>按执行角色权限读取；策略只能使用可访问快照</x:v>
      </x:c>
    </x:row>
    <x:row r="2799" ht="32" customHeight="1">
      <x:c r="A2799" s="30" t="str">
        <x:v>A032</x:v>
      </x:c>
      <x:c r="B2799" s="30" t="str">
        <x:v>F278</x:v>
      </x:c>
      <x:c r="C2799" s="30" t="str">
        <x:v>message.payload_ref</x:v>
      </x:c>
      <x:c r="D2799" s="30" t="str">
        <x:v>候选输入schema</x:v>
      </x:c>
      <x:c r="E2799" s="30" t="str">
        <x:v>按执行角色权限读取；策略只能使用可访问快照</x:v>
      </x:c>
    </x:row>
    <x:row r="2800" ht="32" customHeight="1">
      <x:c r="A2800" s="30" t="str">
        <x:v>A032</x:v>
      </x:c>
      <x:c r="B2800" s="30" t="str">
        <x:v>F279</x:v>
      </x:c>
      <x:c r="C2800" s="30" t="str">
        <x:v>message.size_bytes</x:v>
      </x:c>
      <x:c r="D2800" s="30" t="str">
        <x:v>候选输入schema</x:v>
      </x:c>
      <x:c r="E2800" s="30" t="str">
        <x:v>按执行角色权限读取；策略只能使用可访问快照</x:v>
      </x:c>
    </x:row>
    <x:row r="2801" ht="32" customHeight="1">
      <x:c r="A2801" s="30" t="str">
        <x:v>A032</x:v>
      </x:c>
      <x:c r="B2801" s="30" t="str">
        <x:v>F280</x:v>
      </x:c>
      <x:c r="C2801" s="30" t="str">
        <x:v>message.fragment_count</x:v>
      </x:c>
      <x:c r="D2801" s="30" t="str">
        <x:v>候选输入schema</x:v>
      </x:c>
      <x:c r="E2801" s="30" t="str">
        <x:v>按执行角色权限读取；策略只能使用可访问快照</x:v>
      </x:c>
    </x:row>
    <x:row r="2802" ht="32" customHeight="1">
      <x:c r="A2802" s="30" t="str">
        <x:v>A032</x:v>
      </x:c>
      <x:c r="B2802" s="30" t="str">
        <x:v>F281</x:v>
      </x:c>
      <x:c r="C2802" s="30" t="str">
        <x:v>message.received_fragments</x:v>
      </x:c>
      <x:c r="D2802" s="30" t="str">
        <x:v>候选输入schema</x:v>
      </x:c>
      <x:c r="E2802" s="30" t="str">
        <x:v>按执行角色权限读取；策略只能使用可访问快照</x:v>
      </x:c>
    </x:row>
    <x:row r="2803" ht="32" customHeight="1">
      <x:c r="A2803" s="30" t="str">
        <x:v>A032</x:v>
      </x:c>
      <x:c r="B2803" s="30" t="str">
        <x:v>F282</x:v>
      </x:c>
      <x:c r="C2803" s="30" t="str">
        <x:v>message.content_hash</x:v>
      </x:c>
      <x:c r="D2803" s="30" t="str">
        <x:v>候选输入schema</x:v>
      </x:c>
      <x:c r="E2803" s="30" t="str">
        <x:v>按执行角色权限读取；策略只能使用可访问快照</x:v>
      </x:c>
    </x:row>
    <x:row r="2804" ht="32" customHeight="1">
      <x:c r="A2804" s="30" t="str">
        <x:v>A032</x:v>
      </x:c>
      <x:c r="B2804" s="30" t="str">
        <x:v>F283</x:v>
      </x:c>
      <x:c r="C2804" s="30" t="str">
        <x:v>message.priority</x:v>
      </x:c>
      <x:c r="D2804" s="30" t="str">
        <x:v>候选输入schema</x:v>
      </x:c>
      <x:c r="E2804" s="30" t="str">
        <x:v>按执行角色权限读取；策略只能使用可访问快照</x:v>
      </x:c>
    </x:row>
    <x:row r="2805" ht="32" customHeight="1">
      <x:c r="A2805" s="30" t="str">
        <x:v>A032</x:v>
      </x:c>
      <x:c r="B2805" s="30" t="str">
        <x:v>F284</x:v>
      </x:c>
      <x:c r="C2805" s="30" t="str">
        <x:v>message.ttl_s</x:v>
      </x:c>
      <x:c r="D2805" s="30" t="str">
        <x:v>候选输入schema</x:v>
      </x:c>
      <x:c r="E2805" s="30" t="str">
        <x:v>按执行角色权限读取；策略只能使用可访问快照</x:v>
      </x:c>
    </x:row>
    <x:row r="2806" ht="32" customHeight="1">
      <x:c r="A2806" s="30" t="str">
        <x:v>A032</x:v>
      </x:c>
      <x:c r="B2806" s="30" t="str">
        <x:v>F285</x:v>
      </x:c>
      <x:c r="C2806" s="30" t="str">
        <x:v>message.status</x:v>
      </x:c>
      <x:c r="D2806" s="30" t="str">
        <x:v>候选输入schema</x:v>
      </x:c>
      <x:c r="E2806" s="30" t="str">
        <x:v>按执行角色权限读取；策略只能使用可访问快照</x:v>
      </x:c>
    </x:row>
    <x:row r="2807" ht="32" customHeight="1">
      <x:c r="A2807" s="30" t="str">
        <x:v>A032</x:v>
      </x:c>
      <x:c r="B2807" s="30" t="str">
        <x:v>F286</x:v>
      </x:c>
      <x:c r="C2807" s="30" t="str">
        <x:v>message.sent_s</x:v>
      </x:c>
      <x:c r="D2807" s="30" t="str">
        <x:v>候选输入schema</x:v>
      </x:c>
      <x:c r="E2807" s="30" t="str">
        <x:v>按执行角色权限读取；策略只能使用可访问快照</x:v>
      </x:c>
    </x:row>
    <x:row r="2808" ht="32" customHeight="1">
      <x:c r="A2808" s="30" t="str">
        <x:v>A032</x:v>
      </x:c>
      <x:c r="B2808" s="30" t="str">
        <x:v>F287</x:v>
      </x:c>
      <x:c r="C2808" s="30" t="str">
        <x:v>message.delivered_s</x:v>
      </x:c>
      <x:c r="D2808" s="30" t="str">
        <x:v>候选输入schema</x:v>
      </x:c>
      <x:c r="E2808" s="30" t="str">
        <x:v>按执行角色权限读取；策略只能使用可访问快照</x:v>
      </x:c>
    </x:row>
    <x:row r="2809" ht="32" customHeight="1">
      <x:c r="A2809" s="30" t="str">
        <x:v>A032</x:v>
      </x:c>
      <x:c r="B2809" s="30" t="str">
        <x:v>F288</x:v>
      </x:c>
      <x:c r="C2809" s="30" t="str">
        <x:v>message.ack_state</x:v>
      </x:c>
      <x:c r="D2809" s="30" t="str">
        <x:v>候选输入schema</x:v>
      </x:c>
      <x:c r="E2809" s="30" t="str">
        <x:v>按执行角色权限读取；策略只能使用可访问快照</x:v>
      </x:c>
    </x:row>
    <x:row r="2810" ht="32" customHeight="1">
      <x:c r="A2810" s="30" t="str">
        <x:v>A032</x:v>
      </x:c>
      <x:c r="B2810" s="30" t="str">
        <x:v>F289</x:v>
      </x:c>
      <x:c r="C2810" s="30" t="str">
        <x:v>message.retry_count</x:v>
      </x:c>
      <x:c r="D2810" s="30" t="str">
        <x:v>候选输入schema</x:v>
      </x:c>
      <x:c r="E2810" s="30" t="str">
        <x:v>按执行角色权限读取；策略只能使用可访问快照</x:v>
      </x:c>
    </x:row>
    <x:row r="2811" ht="32" customHeight="1">
      <x:c r="A2811" s="30" t="str">
        <x:v>A032</x:v>
      </x:c>
      <x:c r="B2811" s="30" t="str">
        <x:v>F290</x:v>
      </x:c>
      <x:c r="C2811" s="30" t="str">
        <x:v>message.hop_trace</x:v>
      </x:c>
      <x:c r="D2811" s="30" t="str">
        <x:v>候选输入schema</x:v>
      </x:c>
      <x:c r="E2811" s="30" t="str">
        <x:v>按执行角色权限读取；策略只能使用可访问快照</x:v>
      </x:c>
    </x:row>
    <x:row r="2812" ht="32" customHeight="1">
      <x:c r="A2812" s="30" t="str">
        <x:v>A032</x:v>
      </x:c>
      <x:c r="B2812" s="30" t="str">
        <x:v>F291</x:v>
      </x:c>
      <x:c r="C2812" s="30" t="str">
        <x:v>message.correlation_id</x:v>
      </x:c>
      <x:c r="D2812" s="30" t="str">
        <x:v>候选输入schema</x:v>
      </x:c>
      <x:c r="E2812" s="30" t="str">
        <x:v>按执行角色权限读取；策略只能使用可访问快照</x:v>
      </x:c>
    </x:row>
    <x:row r="2813" ht="32" customHeight="1">
      <x:c r="A2813" s="30" t="str">
        <x:v>A032</x:v>
      </x:c>
      <x:c r="B2813" s="30" t="str">
        <x:v>F292</x:v>
      </x:c>
      <x:c r="C2813" s="30" t="str">
        <x:v>message.local_availability</x:v>
      </x:c>
      <x:c r="D2813" s="30" t="str">
        <x:v>候选输入schema</x:v>
      </x:c>
      <x:c r="E2813" s="30" t="str">
        <x:v>按执行角色权限读取；策略只能使用可访问快照</x:v>
      </x:c>
    </x:row>
    <x:row r="2814" ht="32" customHeight="1">
      <x:c r="A2814" s="30" t="str">
        <x:v>A032</x:v>
      </x:c>
      <x:c r="B2814" s="30" t="str">
        <x:v>F264</x:v>
      </x:c>
      <x:c r="C2814" s="30" t="str">
        <x:v>link.state</x:v>
      </x:c>
      <x:c r="D2814" s="30" t="str">
        <x:v>直接效果</x:v>
      </x:c>
      <x:c r="E2814" s="30" t="str">
        <x:v>经实际执行/回执提交；不是规划时提前修改</x:v>
      </x:c>
    </x:row>
    <x:row r="2815" ht="32" customHeight="1">
      <x:c r="A2815" s="30" t="str">
        <x:v>A032</x:v>
      </x:c>
      <x:c r="B2815" s="30" t="str">
        <x:v>F265</x:v>
      </x:c>
      <x:c r="C2815" s="30" t="str">
        <x:v>link.rssi_dbm</x:v>
      </x:c>
      <x:c r="D2815" s="30" t="str">
        <x:v>直接效果</x:v>
      </x:c>
      <x:c r="E2815" s="30" t="str">
        <x:v>经实际执行/回执提交；不是规划时提前修改</x:v>
      </x:c>
    </x:row>
    <x:row r="2816" ht="32" customHeight="1">
      <x:c r="A2816" s="30" t="str">
        <x:v>A032</x:v>
      </x:c>
      <x:c r="B2816" s="30" t="str">
        <x:v>F266</x:v>
      </x:c>
      <x:c r="C2816" s="30" t="str">
        <x:v>link.sinr_db</x:v>
      </x:c>
      <x:c r="D2816" s="30" t="str">
        <x:v>直接效果</x:v>
      </x:c>
      <x:c r="E2816" s="30" t="str">
        <x:v>经实际执行/回执提交；不是规划时提前修改</x:v>
      </x:c>
    </x:row>
    <x:row r="2817" ht="32" customHeight="1">
      <x:c r="A2817" s="30" t="str">
        <x:v>A032</x:v>
      </x:c>
      <x:c r="B2817" s="30" t="str">
        <x:v>F271</x:v>
      </x:c>
      <x:c r="C2817" s="30" t="str">
        <x:v>link.sampled_at_s</x:v>
      </x:c>
      <x:c r="D2817" s="30" t="str">
        <x:v>直接效果</x:v>
      </x:c>
      <x:c r="E2817" s="30" t="str">
        <x:v>经实际执行/回执提交；不是规划时提前修改</x:v>
      </x:c>
    </x:row>
    <x:row r="2818" ht="32" customHeight="1">
      <x:c r="A2818" s="30" t="str">
        <x:v>A032</x:v>
      </x:c>
      <x:c r="B2818" s="30" t="str">
        <x:v>F270</x:v>
      </x:c>
      <x:c r="C2818" s="30" t="str">
        <x:v>link.sample_count</x:v>
      </x:c>
      <x:c r="D2818" s="30" t="str">
        <x:v>直接效果</x:v>
      </x:c>
      <x:c r="E2818" s="30" t="str">
        <x:v>经实际执行/回执提交；不是规划时提前修改</x:v>
      </x:c>
    </x:row>
    <x:row r="2819" ht="32" customHeight="1">
      <x:c r="A2819" s="30" t="str">
        <x:v>A033</x:v>
      </x:c>
      <x:c r="B2819" s="30" t="str">
        <x:v>F095</x:v>
      </x:c>
      <x:c r="C2819" s="30" t="str">
        <x:v>platform.kind</x:v>
      </x:c>
      <x:c r="D2819" s="30" t="str">
        <x:v>候选输入schema</x:v>
      </x:c>
      <x:c r="E2819" s="30" t="str">
        <x:v>按执行角色权限读取；策略只能使用可访问快照</x:v>
      </x:c>
    </x:row>
    <x:row r="2820" ht="32" customHeight="1">
      <x:c r="A2820" s="30" t="str">
        <x:v>A033</x:v>
      </x:c>
      <x:c r="B2820" s="30" t="str">
        <x:v>F096</x:v>
      </x:c>
      <x:c r="C2820" s="30" t="str">
        <x:v>platform.capability_ids</x:v>
      </x:c>
      <x:c r="D2820" s="30" t="str">
        <x:v>候选输入schema</x:v>
      </x:c>
      <x:c r="E2820" s="30" t="str">
        <x:v>按执行角色权限读取；策略只能使用可访问快照</x:v>
      </x:c>
    </x:row>
    <x:row r="2821" ht="32" customHeight="1">
      <x:c r="A2821" s="30" t="str">
        <x:v>A033</x:v>
      </x:c>
      <x:c r="B2821" s="30" t="str">
        <x:v>F097</x:v>
      </x:c>
      <x:c r="C2821" s="30" t="str">
        <x:v>platform.equipment_ids</x:v>
      </x:c>
      <x:c r="D2821" s="30" t="str">
        <x:v>候选输入schema</x:v>
      </x:c>
      <x:c r="E2821" s="30" t="str">
        <x:v>按执行角色权限读取；策略只能使用可访问快照</x:v>
      </x:c>
    </x:row>
    <x:row r="2822" ht="32" customHeight="1">
      <x:c r="A2822" s="30" t="str">
        <x:v>A033</x:v>
      </x:c>
      <x:c r="B2822" s="30" t="str">
        <x:v>F098</x:v>
      </x:c>
      <x:c r="C2822" s="30" t="str">
        <x:v>platform.width_m</x:v>
      </x:c>
      <x:c r="D2822" s="30" t="str">
        <x:v>候选输入schema</x:v>
      </x:c>
      <x:c r="E2822" s="30" t="str">
        <x:v>按执行角色权限读取；策略只能使用可访问快照</x:v>
      </x:c>
    </x:row>
    <x:row r="2823" ht="32" customHeight="1">
      <x:c r="A2823" s="30" t="str">
        <x:v>A033</x:v>
      </x:c>
      <x:c r="B2823" s="30" t="str">
        <x:v>F099</x:v>
      </x:c>
      <x:c r="C2823" s="30" t="str">
        <x:v>platform.height_m</x:v>
      </x:c>
      <x:c r="D2823" s="30" t="str">
        <x:v>候选输入schema</x:v>
      </x:c>
      <x:c r="E2823" s="30" t="str">
        <x:v>按执行角色权限读取；策略只能使用可访问快照</x:v>
      </x:c>
    </x:row>
    <x:row r="2824" ht="32" customHeight="1">
      <x:c r="A2824" s="30" t="str">
        <x:v>A033</x:v>
      </x:c>
      <x:c r="B2824" s="30" t="str">
        <x:v>F100</x:v>
      </x:c>
      <x:c r="C2824" s="30" t="str">
        <x:v>platform.swept_radius_m</x:v>
      </x:c>
      <x:c r="D2824" s="30" t="str">
        <x:v>候选输入schema</x:v>
      </x:c>
      <x:c r="E2824" s="30" t="str">
        <x:v>按执行角色权限读取；策略只能使用可访问快照</x:v>
      </x:c>
    </x:row>
    <x:row r="2825" ht="32" customHeight="1">
      <x:c r="A2825" s="30" t="str">
        <x:v>A033</x:v>
      </x:c>
      <x:c r="B2825" s="30" t="str">
        <x:v>F101</x:v>
      </x:c>
      <x:c r="C2825" s="30" t="str">
        <x:v>platform.payload_capacity_kg</x:v>
      </x:c>
      <x:c r="D2825" s="30" t="str">
        <x:v>候选输入schema</x:v>
      </x:c>
      <x:c r="E2825" s="30" t="str">
        <x:v>按执行角色权限读取；策略只能使用可访问快照</x:v>
      </x:c>
    </x:row>
    <x:row r="2826" ht="32" customHeight="1">
      <x:c r="A2826" s="30" t="str">
        <x:v>A033</x:v>
      </x:c>
      <x:c r="B2826" s="30" t="str">
        <x:v>F102</x:v>
      </x:c>
      <x:c r="C2826" s="30" t="str">
        <x:v>platform.payload_used_kg</x:v>
      </x:c>
      <x:c r="D2826" s="30" t="str">
        <x:v>候选输入schema</x:v>
      </x:c>
      <x:c r="E2826" s="30" t="str">
        <x:v>按执行角色权限读取；策略只能使用可访问快照</x:v>
      </x:c>
    </x:row>
    <x:row r="2827" ht="32" customHeight="1">
      <x:c r="A2827" s="30" t="str">
        <x:v>A033</x:v>
      </x:c>
      <x:c r="B2827" s="30" t="str">
        <x:v>F103</x:v>
      </x:c>
      <x:c r="C2827" s="30" t="str">
        <x:v>platform.payload_item_ids</x:v>
      </x:c>
      <x:c r="D2827" s="30" t="str">
        <x:v>候选输入schema</x:v>
      </x:c>
      <x:c r="E2827" s="30" t="str">
        <x:v>按执行角色权限读取；策略只能使用可访问快照</x:v>
      </x:c>
    </x:row>
    <x:row r="2828" ht="32" customHeight="1">
      <x:c r="A2828" s="30" t="str">
        <x:v>A033</x:v>
      </x:c>
      <x:c r="B2828" s="30" t="str">
        <x:v>F104</x:v>
      </x:c>
      <x:c r="C2828" s="30" t="str">
        <x:v>platform.battery_capacity_Wh</x:v>
      </x:c>
      <x:c r="D2828" s="30" t="str">
        <x:v>候选输入schema</x:v>
      </x:c>
      <x:c r="E2828" s="30" t="str">
        <x:v>按执行角色权限读取；策略只能使用可访问快照</x:v>
      </x:c>
    </x:row>
    <x:row r="2829" ht="32" customHeight="1">
      <x:c r="A2829" s="30" t="str">
        <x:v>A033</x:v>
      </x:c>
      <x:c r="B2829" s="30" t="str">
        <x:v>F105</x:v>
      </x:c>
      <x:c r="C2829" s="30" t="str">
        <x:v>platform.battery_remaining_Wh</x:v>
      </x:c>
      <x:c r="D2829" s="30" t="str">
        <x:v>候选输入schema</x:v>
      </x:c>
      <x:c r="E2829" s="30" t="str">
        <x:v>按执行角色权限读取；策略只能使用可访问快照</x:v>
      </x:c>
    </x:row>
    <x:row r="2830" ht="32" customHeight="1">
      <x:c r="A2830" s="30" t="str">
        <x:v>A033</x:v>
      </x:c>
      <x:c r="B2830" s="30" t="str">
        <x:v>F106</x:v>
      </x:c>
      <x:c r="C2830" s="30" t="str">
        <x:v>platform.reserve_Wh</x:v>
      </x:c>
      <x:c r="D2830" s="30" t="str">
        <x:v>候选输入schema</x:v>
      </x:c>
      <x:c r="E2830" s="30" t="str">
        <x:v>按执行角色权限读取；策略只能使用可访问快照</x:v>
      </x:c>
    </x:row>
    <x:row r="2831" ht="32" customHeight="1">
      <x:c r="A2831" s="30" t="str">
        <x:v>A033</x:v>
      </x:c>
      <x:c r="B2831" s="30" t="str">
        <x:v>F107</x:v>
      </x:c>
      <x:c r="C2831" s="30" t="str">
        <x:v>platform.speed_limit_mps</x:v>
      </x:c>
      <x:c r="D2831" s="30" t="str">
        <x:v>候选输入schema</x:v>
      </x:c>
      <x:c r="E2831" s="30" t="str">
        <x:v>按执行角色权限读取；策略只能使用可访问快照</x:v>
      </x:c>
    </x:row>
    <x:row r="2832" ht="32" customHeight="1">
      <x:c r="A2832" s="30" t="str">
        <x:v>A033</x:v>
      </x:c>
      <x:c r="B2832" s="30" t="str">
        <x:v>F108</x:v>
      </x:c>
      <x:c r="C2832" s="30" t="str">
        <x:v>platform.energy_model</x:v>
      </x:c>
      <x:c r="D2832" s="30" t="str">
        <x:v>候选输入schema</x:v>
      </x:c>
      <x:c r="E2832" s="30" t="str">
        <x:v>按执行角色权限读取；策略只能使用可访问快照</x:v>
      </x:c>
    </x:row>
    <x:row r="2833" ht="32" customHeight="1">
      <x:c r="A2833" s="30" t="str">
        <x:v>A033</x:v>
      </x:c>
      <x:c r="B2833" s="30" t="str">
        <x:v>F109</x:v>
      </x:c>
      <x:c r="C2833" s="30" t="str">
        <x:v>platform.motion_state</x:v>
      </x:c>
      <x:c r="D2833" s="30" t="str">
        <x:v>候选输入schema</x:v>
      </x:c>
      <x:c r="E2833" s="30" t="str">
        <x:v>按执行角色权限读取；策略只能使用可访问快照</x:v>
      </x:c>
    </x:row>
    <x:row r="2834" ht="32" customHeight="1">
      <x:c r="A2834" s="30" t="str">
        <x:v>A033</x:v>
      </x:c>
      <x:c r="B2834" s="30" t="str">
        <x:v>F110</x:v>
      </x:c>
      <x:c r="C2834" s="30" t="str">
        <x:v>platform.health_state</x:v>
      </x:c>
      <x:c r="D2834" s="30" t="str">
        <x:v>候选输入schema</x:v>
      </x:c>
      <x:c r="E2834" s="30" t="str">
        <x:v>按执行角色权限读取；策略只能使用可访问快照</x:v>
      </x:c>
    </x:row>
    <x:row r="2835" ht="32" customHeight="1">
      <x:c r="A2835" s="30" t="str">
        <x:v>A033</x:v>
      </x:c>
      <x:c r="B2835" s="30" t="str">
        <x:v>F111</x:v>
      </x:c>
      <x:c r="C2835" s="30" t="str">
        <x:v>platform.current_action_id</x:v>
      </x:c>
      <x:c r="D2835" s="30" t="str">
        <x:v>候选输入schema</x:v>
      </x:c>
      <x:c r="E2835" s="30" t="str">
        <x:v>按执行角色权限读取；策略只能使用可访问快照</x:v>
      </x:c>
    </x:row>
    <x:row r="2836" ht="32" customHeight="1">
      <x:c r="A2836" s="30" t="str">
        <x:v>A033</x:v>
      </x:c>
      <x:c r="B2836" s="30" t="str">
        <x:v>F112</x:v>
      </x:c>
      <x:c r="C2836" s="30" t="str">
        <x:v>platform.busy_until_est_s</x:v>
      </x:c>
      <x:c r="D2836" s="30" t="str">
        <x:v>候选输入schema</x:v>
      </x:c>
      <x:c r="E2836" s="30" t="str">
        <x:v>按执行角色权限读取；策略只能使用可访问快照</x:v>
      </x:c>
    </x:row>
    <x:row r="2837" ht="32" customHeight="1">
      <x:c r="A2837" s="30" t="str">
        <x:v>A033</x:v>
      </x:c>
      <x:c r="B2837" s="30" t="str">
        <x:v>F113</x:v>
      </x:c>
      <x:c r="C2837" s="30" t="str">
        <x:v>platform.return_site_id</x:v>
      </x:c>
      <x:c r="D2837" s="30" t="str">
        <x:v>候选输入schema</x:v>
      </x:c>
      <x:c r="E2837" s="30" t="str">
        <x:v>按执行角色权限读取；策略只能使用可访问快照</x:v>
      </x:c>
    </x:row>
    <x:row r="2838" ht="32" customHeight="1">
      <x:c r="A2838" s="30" t="str">
        <x:v>A033</x:v>
      </x:c>
      <x:c r="B2838" s="30" t="str">
        <x:v>F114</x:v>
      </x:c>
      <x:c r="C2838" s="30" t="str">
        <x:v>platform.water_tolerance_m</x:v>
      </x:c>
      <x:c r="D2838" s="30" t="str">
        <x:v>候选输入schema</x:v>
      </x:c>
      <x:c r="E2838" s="30" t="str">
        <x:v>按执行角色权限读取；策略只能使用可访问快照</x:v>
      </x:c>
    </x:row>
    <x:row r="2839" ht="32" customHeight="1">
      <x:c r="A2839" s="30" t="str">
        <x:v>A033</x:v>
      </x:c>
      <x:c r="B2839" s="30" t="str">
        <x:v>F115</x:v>
      </x:c>
      <x:c r="C2839" s="30" t="str">
        <x:v>platform.concurrency_policy</x:v>
      </x:c>
      <x:c r="D2839" s="30" t="str">
        <x:v>候选输入schema</x:v>
      </x:c>
      <x:c r="E2839" s="30" t="str">
        <x:v>按执行角色权限读取；策略只能使用可访问快照</x:v>
      </x:c>
    </x:row>
    <x:row r="2840" ht="32" customHeight="1">
      <x:c r="A2840" s="30" t="str">
        <x:v>A033</x:v>
      </x:c>
      <x:c r="B2840" s="30" t="str">
        <x:v>F246</x:v>
      </x:c>
      <x:c r="C2840" s="30" t="str">
        <x:v>radio.interface_id</x:v>
      </x:c>
      <x:c r="D2840" s="30" t="str">
        <x:v>候选输入schema</x:v>
      </x:c>
      <x:c r="E2840" s="30" t="str">
        <x:v>按执行角色权限读取；策略只能使用可访问快照</x:v>
      </x:c>
    </x:row>
    <x:row r="2841" ht="32" customHeight="1">
      <x:c r="A2841" s="30" t="str">
        <x:v>A033</x:v>
      </x:c>
      <x:c r="B2841" s="30" t="str">
        <x:v>F247</x:v>
      </x:c>
      <x:c r="C2841" s="30" t="str">
        <x:v>radio.protocol</x:v>
      </x:c>
      <x:c r="D2841" s="30" t="str">
        <x:v>候选输入schema</x:v>
      </x:c>
      <x:c r="E2841" s="30" t="str">
        <x:v>按执行角色权限读取；策略只能使用可访问快照</x:v>
      </x:c>
    </x:row>
    <x:row r="2842" ht="32" customHeight="1">
      <x:c r="A2842" s="30" t="str">
        <x:v>A033</x:v>
      </x:c>
      <x:c r="B2842" s="30" t="str">
        <x:v>F248</x:v>
      </x:c>
      <x:c r="C2842" s="30" t="str">
        <x:v>radio.channel</x:v>
      </x:c>
      <x:c r="D2842" s="30" t="str">
        <x:v>候选输入schema</x:v>
      </x:c>
      <x:c r="E2842" s="30" t="str">
        <x:v>按执行角色权限读取；策略只能使用可访问快照</x:v>
      </x:c>
    </x:row>
    <x:row r="2843" ht="32" customHeight="1">
      <x:c r="A2843" s="30" t="str">
        <x:v>A033</x:v>
      </x:c>
      <x:c r="B2843" s="30" t="str">
        <x:v>F249</x:v>
      </x:c>
      <x:c r="C2843" s="30" t="str">
        <x:v>radio.tx_power_dbm</x:v>
      </x:c>
      <x:c r="D2843" s="30" t="str">
        <x:v>候选输入schema</x:v>
      </x:c>
      <x:c r="E2843" s="30" t="str">
        <x:v>按执行角色权限读取；策略只能使用可访问快照</x:v>
      </x:c>
    </x:row>
    <x:row r="2844" ht="32" customHeight="1">
      <x:c r="A2844" s="30" t="str">
        <x:v>A033</x:v>
      </x:c>
      <x:c r="B2844" s="30" t="str">
        <x:v>F250</x:v>
      </x:c>
      <x:c r="C2844" s="30" t="str">
        <x:v>radio.antenna</x:v>
      </x:c>
      <x:c r="D2844" s="30" t="str">
        <x:v>候选输入schema</x:v>
      </x:c>
      <x:c r="E2844" s="30" t="str">
        <x:v>按执行角色权限读取；策略只能使用可访问快照</x:v>
      </x:c>
    </x:row>
    <x:row r="2845" ht="32" customHeight="1">
      <x:c r="A2845" s="30" t="str">
        <x:v>A033</x:v>
      </x:c>
      <x:c r="B2845" s="30" t="str">
        <x:v>F251</x:v>
      </x:c>
      <x:c r="C2845" s="30" t="str">
        <x:v>radio.enabled</x:v>
      </x:c>
      <x:c r="D2845" s="30" t="str">
        <x:v>候选输入schema</x:v>
      </x:c>
      <x:c r="E2845" s="30" t="str">
        <x:v>按执行角色权限读取；策略只能使用可访问快照</x:v>
      </x:c>
    </x:row>
    <x:row r="2846" ht="32" customHeight="1">
      <x:c r="A2846" s="30" t="str">
        <x:v>A033</x:v>
      </x:c>
      <x:c r="B2846" s="30" t="str">
        <x:v>F252</x:v>
      </x:c>
      <x:c r="C2846" s="30" t="str">
        <x:v>radio.phy_state</x:v>
      </x:c>
      <x:c r="D2846" s="30" t="str">
        <x:v>候选输入schema</x:v>
      </x:c>
      <x:c r="E2846" s="30" t="str">
        <x:v>按执行角色权限读取；策略只能使用可访问快照</x:v>
      </x:c>
    </x:row>
    <x:row r="2847" ht="32" customHeight="1">
      <x:c r="A2847" s="30" t="str">
        <x:v>A033</x:v>
      </x:c>
      <x:c r="B2847" s="30" t="str">
        <x:v>F253</x:v>
      </x:c>
      <x:c r="C2847" s="30" t="str">
        <x:v>radio.queue_bytes</x:v>
      </x:c>
      <x:c r="D2847" s="30" t="str">
        <x:v>候选输入schema</x:v>
      </x:c>
      <x:c r="E2847" s="30" t="str">
        <x:v>按执行角色权限读取；策略只能使用可访问快照</x:v>
      </x:c>
    </x:row>
    <x:row r="2848" ht="32" customHeight="1">
      <x:c r="A2848" s="30" t="str">
        <x:v>A033</x:v>
      </x:c>
      <x:c r="B2848" s="30" t="str">
        <x:v>F254</x:v>
      </x:c>
      <x:c r="C2848" s="30" t="str">
        <x:v>radio.queue_limit_bytes</x:v>
      </x:c>
      <x:c r="D2848" s="30" t="str">
        <x:v>候选输入schema</x:v>
      </x:c>
      <x:c r="E2848" s="30" t="str">
        <x:v>按执行角色权限读取；策略只能使用可访问快照</x:v>
      </x:c>
    </x:row>
    <x:row r="2849" ht="32" customHeight="1">
      <x:c r="A2849" s="30" t="str">
        <x:v>A033</x:v>
      </x:c>
      <x:c r="B2849" s="30" t="str">
        <x:v>F255</x:v>
      </x:c>
      <x:c r="C2849" s="30" t="str">
        <x:v>radio.mtu_bytes</x:v>
      </x:c>
      <x:c r="D2849" s="30" t="str">
        <x:v>候选输入schema</x:v>
      </x:c>
      <x:c r="E2849" s="30" t="str">
        <x:v>按执行角色权限读取；策略只能使用可访问快照</x:v>
      </x:c>
    </x:row>
    <x:row r="2850" ht="32" customHeight="1">
      <x:c r="A2850" s="30" t="str">
        <x:v>A033</x:v>
      </x:c>
      <x:c r="B2850" s="30" t="str">
        <x:v>F256</x:v>
      </x:c>
      <x:c r="C2850" s="30" t="str">
        <x:v>radio.retry_limit</x:v>
      </x:c>
      <x:c r="D2850" s="30" t="str">
        <x:v>候选输入schema</x:v>
      </x:c>
      <x:c r="E2850" s="30" t="str">
        <x:v>按执行角色权限读取；策略只能使用可访问快照</x:v>
      </x:c>
    </x:row>
    <x:row r="2851" ht="32" customHeight="1">
      <x:c r="A2851" s="30" t="str">
        <x:v>A033</x:v>
      </x:c>
      <x:c r="B2851" s="30" t="str">
        <x:v>F257</x:v>
      </x:c>
      <x:c r="C2851" s="30" t="str">
        <x:v>radio.routing_mode</x:v>
      </x:c>
      <x:c r="D2851" s="30" t="str">
        <x:v>候选输入schema</x:v>
      </x:c>
      <x:c r="E2851" s="30" t="str">
        <x:v>按执行角色权限读取；策略只能使用可访问快照</x:v>
      </x:c>
    </x:row>
    <x:row r="2852" ht="32" customHeight="1">
      <x:c r="A2852" s="30" t="str">
        <x:v>A033</x:v>
      </x:c>
      <x:c r="B2852" s="30" t="str">
        <x:v>F258</x:v>
      </x:c>
      <x:c r="C2852" s="30" t="str">
        <x:v>radio.energy_Wh</x:v>
      </x:c>
      <x:c r="D2852" s="30" t="str">
        <x:v>候选输入schema</x:v>
      </x:c>
      <x:c r="E2852" s="30" t="str">
        <x:v>按执行角色权限读取；策略只能使用可访问快照</x:v>
      </x:c>
    </x:row>
    <x:row r="2853" ht="32" customHeight="1">
      <x:c r="A2853" s="30" t="str">
        <x:v>A033</x:v>
      </x:c>
      <x:c r="B2853" s="30" t="str">
        <x:v>F259</x:v>
      </x:c>
      <x:c r="C2853" s="30" t="str">
        <x:v>radio.position_source</x:v>
      </x:c>
      <x:c r="D2853" s="30" t="str">
        <x:v>候选输入schema</x:v>
      </x:c>
      <x:c r="E2853" s="30" t="str">
        <x:v>按执行角色权限读取；策略只能使用可访问快照</x:v>
      </x:c>
    </x:row>
    <x:row r="2854" ht="32" customHeight="1">
      <x:c r="A2854" s="30" t="str">
        <x:v>A033</x:v>
      </x:c>
      <x:c r="B2854" s="30" t="str">
        <x:v>F260</x:v>
      </x:c>
      <x:c r="C2854" s="30" t="str">
        <x:v>radio.last_contact_s</x:v>
      </x:c>
      <x:c r="D2854" s="30" t="str">
        <x:v>候选输入schema</x:v>
      </x:c>
      <x:c r="E2854" s="30" t="str">
        <x:v>按执行角色权限读取；策略只能使用可访问快照</x:v>
      </x:c>
    </x:row>
    <x:row r="2855" ht="32" customHeight="1">
      <x:c r="A2855" s="30" t="str">
        <x:v>A033</x:v>
      </x:c>
      <x:c r="B2855" s="30" t="str">
        <x:v>F261</x:v>
      </x:c>
      <x:c r="C2855" s="30" t="str">
        <x:v>radio.relay_enabled</x:v>
      </x:c>
      <x:c r="D2855" s="30" t="str">
        <x:v>候选输入schema</x:v>
      </x:c>
      <x:c r="E2855" s="30" t="str">
        <x:v>按执行角色权限读取；策略只能使用可访问快照</x:v>
      </x:c>
    </x:row>
    <x:row r="2856" ht="32" customHeight="1">
      <x:c r="A2856" s="30" t="str">
        <x:v>A033</x:v>
      </x:c>
      <x:c r="B2856" s="30" t="str">
        <x:v>F262</x:v>
      </x:c>
      <x:c r="C2856" s="30" t="str">
        <x:v>link.sender_id</x:v>
      </x:c>
      <x:c r="D2856" s="30" t="str">
        <x:v>候选输入schema</x:v>
      </x:c>
      <x:c r="E2856" s="30" t="str">
        <x:v>按执行角色权限读取；策略只能使用可访问快照</x:v>
      </x:c>
    </x:row>
    <x:row r="2857" ht="32" customHeight="1">
      <x:c r="A2857" s="30" t="str">
        <x:v>A033</x:v>
      </x:c>
      <x:c r="B2857" s="30" t="str">
        <x:v>F263</x:v>
      </x:c>
      <x:c r="C2857" s="30" t="str">
        <x:v>link.receiver_id</x:v>
      </x:c>
      <x:c r="D2857" s="30" t="str">
        <x:v>候选输入schema</x:v>
      </x:c>
      <x:c r="E2857" s="30" t="str">
        <x:v>按执行角色权限读取；策略只能使用可访问快照</x:v>
      </x:c>
    </x:row>
    <x:row r="2858" ht="32" customHeight="1">
      <x:c r="A2858" s="30" t="str">
        <x:v>A033</x:v>
      </x:c>
      <x:c r="B2858" s="30" t="str">
        <x:v>F264</x:v>
      </x:c>
      <x:c r="C2858" s="30" t="str">
        <x:v>link.state</x:v>
      </x:c>
      <x:c r="D2858" s="30" t="str">
        <x:v>候选输入schema</x:v>
      </x:c>
      <x:c r="E2858" s="30" t="str">
        <x:v>按执行角色权限读取；策略只能使用可访问快照</x:v>
      </x:c>
    </x:row>
    <x:row r="2859" ht="32" customHeight="1">
      <x:c r="A2859" s="30" t="str">
        <x:v>A033</x:v>
      </x:c>
      <x:c r="B2859" s="30" t="str">
        <x:v>F265</x:v>
      </x:c>
      <x:c r="C2859" s="30" t="str">
        <x:v>link.rssi_dbm</x:v>
      </x:c>
      <x:c r="D2859" s="30" t="str">
        <x:v>候选输入schema</x:v>
      </x:c>
      <x:c r="E2859" s="30" t="str">
        <x:v>按执行角色权限读取；策略只能使用可访问快照</x:v>
      </x:c>
    </x:row>
    <x:row r="2860" ht="32" customHeight="1">
      <x:c r="A2860" s="30" t="str">
        <x:v>A033</x:v>
      </x:c>
      <x:c r="B2860" s="30" t="str">
        <x:v>F266</x:v>
      </x:c>
      <x:c r="C2860" s="30" t="str">
        <x:v>link.sinr_db</x:v>
      </x:c>
      <x:c r="D2860" s="30" t="str">
        <x:v>候选输入schema</x:v>
      </x:c>
      <x:c r="E2860" s="30" t="str">
        <x:v>按执行角色权限读取；策略只能使用可访问快照</x:v>
      </x:c>
    </x:row>
    <x:row r="2861" ht="32" customHeight="1">
      <x:c r="A2861" s="30" t="str">
        <x:v>A033</x:v>
      </x:c>
      <x:c r="B2861" s="30" t="str">
        <x:v>F267</x:v>
      </x:c>
      <x:c r="C2861" s="30" t="str">
        <x:v>link.goodput_bps</x:v>
      </x:c>
      <x:c r="D2861" s="30" t="str">
        <x:v>候选输入schema</x:v>
      </x:c>
      <x:c r="E2861" s="30" t="str">
        <x:v>按执行角色权限读取；策略只能使用可访问快照</x:v>
      </x:c>
    </x:row>
    <x:row r="2862" ht="32" customHeight="1">
      <x:c r="A2862" s="30" t="str">
        <x:v>A033</x:v>
      </x:c>
      <x:c r="B2862" s="30" t="str">
        <x:v>F268</x:v>
      </x:c>
      <x:c r="C2862" s="30" t="str">
        <x:v>link.latency_s</x:v>
      </x:c>
      <x:c r="D2862" s="30" t="str">
        <x:v>候选输入schema</x:v>
      </x:c>
      <x:c r="E2862" s="30" t="str">
        <x:v>按执行角色权限读取；策略只能使用可访问快照</x:v>
      </x:c>
    </x:row>
    <x:row r="2863" ht="32" customHeight="1">
      <x:c r="A2863" s="30" t="str">
        <x:v>A033</x:v>
      </x:c>
      <x:c r="B2863" s="30" t="str">
        <x:v>F269</x:v>
      </x:c>
      <x:c r="C2863" s="30" t="str">
        <x:v>link.loss_rate</x:v>
      </x:c>
      <x:c r="D2863" s="30" t="str">
        <x:v>候选输入schema</x:v>
      </x:c>
      <x:c r="E2863" s="30" t="str">
        <x:v>按执行角色权限读取；策略只能使用可访问快照</x:v>
      </x:c>
    </x:row>
    <x:row r="2864" ht="32" customHeight="1">
      <x:c r="A2864" s="30" t="str">
        <x:v>A033</x:v>
      </x:c>
      <x:c r="B2864" s="30" t="str">
        <x:v>F270</x:v>
      </x:c>
      <x:c r="C2864" s="30" t="str">
        <x:v>link.sample_count</x:v>
      </x:c>
      <x:c r="D2864" s="30" t="str">
        <x:v>候选输入schema</x:v>
      </x:c>
      <x:c r="E2864" s="30" t="str">
        <x:v>按执行角色权限读取；策略只能使用可访问快照</x:v>
      </x:c>
    </x:row>
    <x:row r="2865" ht="32" customHeight="1">
      <x:c r="A2865" s="30" t="str">
        <x:v>A033</x:v>
      </x:c>
      <x:c r="B2865" s="30" t="str">
        <x:v>F271</x:v>
      </x:c>
      <x:c r="C2865" s="30" t="str">
        <x:v>link.sampled_at_s</x:v>
      </x:c>
      <x:c r="D2865" s="30" t="str">
        <x:v>候选输入schema</x:v>
      </x:c>
      <x:c r="E2865" s="30" t="str">
        <x:v>按执行角色权限读取；策略只能使用可访问快照</x:v>
      </x:c>
    </x:row>
    <x:row r="2866" ht="32" customHeight="1">
      <x:c r="A2866" s="30" t="str">
        <x:v>A033</x:v>
      </x:c>
      <x:c r="B2866" s="30" t="str">
        <x:v>F272</x:v>
      </x:c>
      <x:c r="C2866" s="30" t="str">
        <x:v>link.route</x:v>
      </x:c>
      <x:c r="D2866" s="30" t="str">
        <x:v>候选输入schema</x:v>
      </x:c>
      <x:c r="E2866" s="30" t="str">
        <x:v>按执行角色权限读取；策略只能使用可访问快照</x:v>
      </x:c>
    </x:row>
    <x:row r="2867" ht="32" customHeight="1">
      <x:c r="A2867" s="30" t="str">
        <x:v>A033</x:v>
      </x:c>
      <x:c r="B2867" s="30" t="str">
        <x:v>F273</x:v>
      </x:c>
      <x:c r="C2867" s="30" t="str">
        <x:v>link.outage_duration_s</x:v>
      </x:c>
      <x:c r="D2867" s="30" t="str">
        <x:v>候选输入schema</x:v>
      </x:c>
      <x:c r="E2867" s="30" t="str">
        <x:v>按执行角色权限读取；策略只能使用可访问快照</x:v>
      </x:c>
    </x:row>
    <x:row r="2868" ht="32" customHeight="1">
      <x:c r="A2868" s="30" t="str">
        <x:v>A033</x:v>
      </x:c>
      <x:c r="B2868" s="30" t="str">
        <x:v>F274</x:v>
      </x:c>
      <x:c r="C2868" s="30" t="str">
        <x:v>link.quality_source</x:v>
      </x:c>
      <x:c r="D2868" s="30" t="str">
        <x:v>候选输入schema</x:v>
      </x:c>
      <x:c r="E2868" s="30" t="str">
        <x:v>按执行角色权限读取；策略只能使用可访问快照</x:v>
      </x:c>
    </x:row>
    <x:row r="2869" ht="32" customHeight="1">
      <x:c r="A2869" s="30" t="str">
        <x:v>A033</x:v>
      </x:c>
      <x:c r="B2869" s="30" t="str">
        <x:v>F248</x:v>
      </x:c>
      <x:c r="C2869" s="30" t="str">
        <x:v>radio.channel</x:v>
      </x:c>
      <x:c r="D2869" s="30" t="str">
        <x:v>直接效果</x:v>
      </x:c>
      <x:c r="E2869" s="30" t="str">
        <x:v>经实际执行/回执提交；不是规划时提前修改</x:v>
      </x:c>
    </x:row>
    <x:row r="2870" ht="32" customHeight="1">
      <x:c r="A2870" s="30" t="str">
        <x:v>A033</x:v>
      </x:c>
      <x:c r="B2870" s="30" t="str">
        <x:v>F249</x:v>
      </x:c>
      <x:c r="C2870" s="30" t="str">
        <x:v>radio.tx_power_dbm</x:v>
      </x:c>
      <x:c r="D2870" s="30" t="str">
        <x:v>直接效果</x:v>
      </x:c>
      <x:c r="E2870" s="30" t="str">
        <x:v>经实际执行/回执提交；不是规划时提前修改</x:v>
      </x:c>
    </x:row>
    <x:row r="2871" ht="32" customHeight="1">
      <x:c r="A2871" s="30" t="str">
        <x:v>A033</x:v>
      </x:c>
      <x:c r="B2871" s="30" t="str">
        <x:v>F257</x:v>
      </x:c>
      <x:c r="C2871" s="30" t="str">
        <x:v>radio.routing_mode</x:v>
      </x:c>
      <x:c r="D2871" s="30" t="str">
        <x:v>直接效果</x:v>
      </x:c>
      <x:c r="E2871" s="30" t="str">
        <x:v>经实际执行/回执提交；不是规划时提前修改</x:v>
      </x:c>
    </x:row>
    <x:row r="2872" ht="32" customHeight="1">
      <x:c r="A2872" s="30" t="str">
        <x:v>A033</x:v>
      </x:c>
      <x:c r="B2872" s="30" t="str">
        <x:v>F261</x:v>
      </x:c>
      <x:c r="C2872" s="30" t="str">
        <x:v>radio.relay_enabled</x:v>
      </x:c>
      <x:c r="D2872" s="30" t="str">
        <x:v>直接效果</x:v>
      </x:c>
      <x:c r="E2872" s="30" t="str">
        <x:v>经实际执行/回执提交；不是规划时提前修改</x:v>
      </x:c>
    </x:row>
    <x:row r="2873" ht="32" customHeight="1">
      <x:c r="A2873" s="30" t="str">
        <x:v>A034</x:v>
      </x:c>
      <x:c r="B2873" s="30" t="str">
        <x:v>F001</x:v>
      </x:c>
      <x:c r="C2873" s="30" t="str">
        <x:v>entity.id</x:v>
      </x:c>
      <x:c r="D2873" s="30" t="str">
        <x:v>候选输入schema</x:v>
      </x:c>
      <x:c r="E2873" s="30" t="str">
        <x:v>按执行角色权限读取；策略只能使用可访问快照</x:v>
      </x:c>
    </x:row>
    <x:row r="2874" ht="32" customHeight="1">
      <x:c r="A2874" s="30" t="str">
        <x:v>A034</x:v>
      </x:c>
      <x:c r="B2874" s="30" t="str">
        <x:v>F002</x:v>
      </x:c>
      <x:c r="C2874" s="30" t="str">
        <x:v>entity.kind</x:v>
      </x:c>
      <x:c r="D2874" s="30" t="str">
        <x:v>候选输入schema</x:v>
      </x:c>
      <x:c r="E2874" s="30" t="str">
        <x:v>按执行角色权限读取；策略只能使用可访问快照</x:v>
      </x:c>
    </x:row>
    <x:row r="2875" ht="32" customHeight="1">
      <x:c r="A2875" s="30" t="str">
        <x:v>A034</x:v>
      </x:c>
      <x:c r="B2875" s="30" t="str">
        <x:v>F003</x:v>
      </x:c>
      <x:c r="C2875" s="30" t="str">
        <x:v>entity.parent_id</x:v>
      </x:c>
      <x:c r="D2875" s="30" t="str">
        <x:v>候选输入schema</x:v>
      </x:c>
      <x:c r="E2875" s="30" t="str">
        <x:v>按执行角色权限读取；策略只能使用可访问快照</x:v>
      </x:c>
    </x:row>
    <x:row r="2876" ht="32" customHeight="1">
      <x:c r="A2876" s="30" t="str">
        <x:v>A034</x:v>
      </x:c>
      <x:c r="B2876" s="30" t="str">
        <x:v>F004</x:v>
      </x:c>
      <x:c r="C2876" s="30" t="str">
        <x:v>entity.pose</x:v>
      </x:c>
      <x:c r="D2876" s="30" t="str">
        <x:v>候选输入schema</x:v>
      </x:c>
      <x:c r="E2876" s="30" t="str">
        <x:v>按执行角色权限读取；策略只能使用可访问快照</x:v>
      </x:c>
    </x:row>
    <x:row r="2877" ht="32" customHeight="1">
      <x:c r="A2877" s="30" t="str">
        <x:v>A034</x:v>
      </x:c>
      <x:c r="B2877" s="30" t="str">
        <x:v>F005</x:v>
      </x:c>
      <x:c r="C2877" s="30" t="str">
        <x:v>entity.footprint</x:v>
      </x:c>
      <x:c r="D2877" s="30" t="str">
        <x:v>候选输入schema</x:v>
      </x:c>
      <x:c r="E2877" s="30" t="str">
        <x:v>按执行角色权限读取；策略只能使用可访问快照</x:v>
      </x:c>
    </x:row>
    <x:row r="2878" ht="32" customHeight="1">
      <x:c r="A2878" s="30" t="str">
        <x:v>A034</x:v>
      </x:c>
      <x:c r="B2878" s="30" t="str">
        <x:v>F006</x:v>
      </x:c>
      <x:c r="C2878" s="30" t="str">
        <x:v>entity.height_m</x:v>
      </x:c>
      <x:c r="D2878" s="30" t="str">
        <x:v>候选输入schema</x:v>
      </x:c>
      <x:c r="E2878" s="30" t="str">
        <x:v>按执行角色权限读取；策略只能使用可访问快照</x:v>
      </x:c>
    </x:row>
    <x:row r="2879" ht="32" customHeight="1">
      <x:c r="A2879" s="30" t="str">
        <x:v>A034</x:v>
      </x:c>
      <x:c r="B2879" s="30" t="str">
        <x:v>F007</x:v>
      </x:c>
      <x:c r="C2879" s="30" t="str">
        <x:v>entity.region_id</x:v>
      </x:c>
      <x:c r="D2879" s="30" t="str">
        <x:v>候选输入schema</x:v>
      </x:c>
      <x:c r="E2879" s="30" t="str">
        <x:v>按执行角色权限读取；策略只能使用可访问快照</x:v>
      </x:c>
    </x:row>
    <x:row r="2880" ht="32" customHeight="1">
      <x:c r="A2880" s="30" t="str">
        <x:v>A034</x:v>
      </x:c>
      <x:c r="B2880" s="30" t="str">
        <x:v>F008</x:v>
      </x:c>
      <x:c r="C2880" s="30" t="str">
        <x:v>entity.revision</x:v>
      </x:c>
      <x:c r="D2880" s="30" t="str">
        <x:v>候选输入schema</x:v>
      </x:c>
      <x:c r="E2880" s="30" t="str">
        <x:v>按执行角色权限读取；策略只能使用可访问快照</x:v>
      </x:c>
    </x:row>
    <x:row r="2881" ht="32" customHeight="1">
      <x:c r="A2881" s="30" t="str">
        <x:v>A034</x:v>
      </x:c>
      <x:c r="B2881" s="30" t="str">
        <x:v>F009</x:v>
      </x:c>
      <x:c r="C2881" s="30" t="str">
        <x:v>entity.provenance</x:v>
      </x:c>
      <x:c r="D2881" s="30" t="str">
        <x:v>候选输入schema</x:v>
      </x:c>
      <x:c r="E2881" s="30" t="str">
        <x:v>按执行角色权限读取；策略只能使用可访问快照</x:v>
      </x:c>
    </x:row>
    <x:row r="2882" ht="32" customHeight="1">
      <x:c r="A2882" s="30" t="str">
        <x:v>A034</x:v>
      </x:c>
      <x:c r="B2882" s="30" t="str">
        <x:v>F095</x:v>
      </x:c>
      <x:c r="C2882" s="30" t="str">
        <x:v>platform.kind</x:v>
      </x:c>
      <x:c r="D2882" s="30" t="str">
        <x:v>候选输入schema</x:v>
      </x:c>
      <x:c r="E2882" s="30" t="str">
        <x:v>按执行角色权限读取；策略只能使用可访问快照</x:v>
      </x:c>
    </x:row>
    <x:row r="2883" ht="32" customHeight="1">
      <x:c r="A2883" s="30" t="str">
        <x:v>A034</x:v>
      </x:c>
      <x:c r="B2883" s="30" t="str">
        <x:v>F096</x:v>
      </x:c>
      <x:c r="C2883" s="30" t="str">
        <x:v>platform.capability_ids</x:v>
      </x:c>
      <x:c r="D2883" s="30" t="str">
        <x:v>候选输入schema</x:v>
      </x:c>
      <x:c r="E2883" s="30" t="str">
        <x:v>按执行角色权限读取；策略只能使用可访问快照</x:v>
      </x:c>
    </x:row>
    <x:row r="2884" ht="32" customHeight="1">
      <x:c r="A2884" s="30" t="str">
        <x:v>A034</x:v>
      </x:c>
      <x:c r="B2884" s="30" t="str">
        <x:v>F097</x:v>
      </x:c>
      <x:c r="C2884" s="30" t="str">
        <x:v>platform.equipment_ids</x:v>
      </x:c>
      <x:c r="D2884" s="30" t="str">
        <x:v>候选输入schema</x:v>
      </x:c>
      <x:c r="E2884" s="30" t="str">
        <x:v>按执行角色权限读取；策略只能使用可访问快照</x:v>
      </x:c>
    </x:row>
    <x:row r="2885" ht="32" customHeight="1">
      <x:c r="A2885" s="30" t="str">
        <x:v>A034</x:v>
      </x:c>
      <x:c r="B2885" s="30" t="str">
        <x:v>F098</x:v>
      </x:c>
      <x:c r="C2885" s="30" t="str">
        <x:v>platform.width_m</x:v>
      </x:c>
      <x:c r="D2885" s="30" t="str">
        <x:v>候选输入schema</x:v>
      </x:c>
      <x:c r="E2885" s="30" t="str">
        <x:v>按执行角色权限读取；策略只能使用可访问快照</x:v>
      </x:c>
    </x:row>
    <x:row r="2886" ht="32" customHeight="1">
      <x:c r="A2886" s="30" t="str">
        <x:v>A034</x:v>
      </x:c>
      <x:c r="B2886" s="30" t="str">
        <x:v>F099</x:v>
      </x:c>
      <x:c r="C2886" s="30" t="str">
        <x:v>platform.height_m</x:v>
      </x:c>
      <x:c r="D2886" s="30" t="str">
        <x:v>候选输入schema</x:v>
      </x:c>
      <x:c r="E2886" s="30" t="str">
        <x:v>按执行角色权限读取；策略只能使用可访问快照</x:v>
      </x:c>
    </x:row>
    <x:row r="2887" ht="32" customHeight="1">
      <x:c r="A2887" s="30" t="str">
        <x:v>A034</x:v>
      </x:c>
      <x:c r="B2887" s="30" t="str">
        <x:v>F100</x:v>
      </x:c>
      <x:c r="C2887" s="30" t="str">
        <x:v>platform.swept_radius_m</x:v>
      </x:c>
      <x:c r="D2887" s="30" t="str">
        <x:v>候选输入schema</x:v>
      </x:c>
      <x:c r="E2887" s="30" t="str">
        <x:v>按执行角色权限读取；策略只能使用可访问快照</x:v>
      </x:c>
    </x:row>
    <x:row r="2888" ht="32" customHeight="1">
      <x:c r="A2888" s="30" t="str">
        <x:v>A034</x:v>
      </x:c>
      <x:c r="B2888" s="30" t="str">
        <x:v>F101</x:v>
      </x:c>
      <x:c r="C2888" s="30" t="str">
        <x:v>platform.payload_capacity_kg</x:v>
      </x:c>
      <x:c r="D2888" s="30" t="str">
        <x:v>候选输入schema</x:v>
      </x:c>
      <x:c r="E2888" s="30" t="str">
        <x:v>按执行角色权限读取；策略只能使用可访问快照</x:v>
      </x:c>
    </x:row>
    <x:row r="2889" ht="32" customHeight="1">
      <x:c r="A2889" s="30" t="str">
        <x:v>A034</x:v>
      </x:c>
      <x:c r="B2889" s="30" t="str">
        <x:v>F102</x:v>
      </x:c>
      <x:c r="C2889" s="30" t="str">
        <x:v>platform.payload_used_kg</x:v>
      </x:c>
      <x:c r="D2889" s="30" t="str">
        <x:v>候选输入schema</x:v>
      </x:c>
      <x:c r="E2889" s="30" t="str">
        <x:v>按执行角色权限读取；策略只能使用可访问快照</x:v>
      </x:c>
    </x:row>
    <x:row r="2890" ht="32" customHeight="1">
      <x:c r="A2890" s="30" t="str">
        <x:v>A034</x:v>
      </x:c>
      <x:c r="B2890" s="30" t="str">
        <x:v>F103</x:v>
      </x:c>
      <x:c r="C2890" s="30" t="str">
        <x:v>platform.payload_item_ids</x:v>
      </x:c>
      <x:c r="D2890" s="30" t="str">
        <x:v>候选输入schema</x:v>
      </x:c>
      <x:c r="E2890" s="30" t="str">
        <x:v>按执行角色权限读取；策略只能使用可访问快照</x:v>
      </x:c>
    </x:row>
    <x:row r="2891" ht="32" customHeight="1">
      <x:c r="A2891" s="30" t="str">
        <x:v>A034</x:v>
      </x:c>
      <x:c r="B2891" s="30" t="str">
        <x:v>F104</x:v>
      </x:c>
      <x:c r="C2891" s="30" t="str">
        <x:v>platform.battery_capacity_Wh</x:v>
      </x:c>
      <x:c r="D2891" s="30" t="str">
        <x:v>候选输入schema</x:v>
      </x:c>
      <x:c r="E2891" s="30" t="str">
        <x:v>按执行角色权限读取；策略只能使用可访问快照</x:v>
      </x:c>
    </x:row>
    <x:row r="2892" ht="32" customHeight="1">
      <x:c r="A2892" s="30" t="str">
        <x:v>A034</x:v>
      </x:c>
      <x:c r="B2892" s="30" t="str">
        <x:v>F105</x:v>
      </x:c>
      <x:c r="C2892" s="30" t="str">
        <x:v>platform.battery_remaining_Wh</x:v>
      </x:c>
      <x:c r="D2892" s="30" t="str">
        <x:v>候选输入schema</x:v>
      </x:c>
      <x:c r="E2892" s="30" t="str">
        <x:v>按执行角色权限读取；策略只能使用可访问快照</x:v>
      </x:c>
    </x:row>
    <x:row r="2893" ht="32" customHeight="1">
      <x:c r="A2893" s="30" t="str">
        <x:v>A034</x:v>
      </x:c>
      <x:c r="B2893" s="30" t="str">
        <x:v>F106</x:v>
      </x:c>
      <x:c r="C2893" s="30" t="str">
        <x:v>platform.reserve_Wh</x:v>
      </x:c>
      <x:c r="D2893" s="30" t="str">
        <x:v>候选输入schema</x:v>
      </x:c>
      <x:c r="E2893" s="30" t="str">
        <x:v>按执行角色权限读取；策略只能使用可访问快照</x:v>
      </x:c>
    </x:row>
    <x:row r="2894" ht="32" customHeight="1">
      <x:c r="A2894" s="30" t="str">
        <x:v>A034</x:v>
      </x:c>
      <x:c r="B2894" s="30" t="str">
        <x:v>F107</x:v>
      </x:c>
      <x:c r="C2894" s="30" t="str">
        <x:v>platform.speed_limit_mps</x:v>
      </x:c>
      <x:c r="D2894" s="30" t="str">
        <x:v>候选输入schema</x:v>
      </x:c>
      <x:c r="E2894" s="30" t="str">
        <x:v>按执行角色权限读取；策略只能使用可访问快照</x:v>
      </x:c>
    </x:row>
    <x:row r="2895" ht="32" customHeight="1">
      <x:c r="A2895" s="30" t="str">
        <x:v>A034</x:v>
      </x:c>
      <x:c r="B2895" s="30" t="str">
        <x:v>F108</x:v>
      </x:c>
      <x:c r="C2895" s="30" t="str">
        <x:v>platform.energy_model</x:v>
      </x:c>
      <x:c r="D2895" s="30" t="str">
        <x:v>候选输入schema</x:v>
      </x:c>
      <x:c r="E2895" s="30" t="str">
        <x:v>按执行角色权限读取；策略只能使用可访问快照</x:v>
      </x:c>
    </x:row>
    <x:row r="2896" ht="32" customHeight="1">
      <x:c r="A2896" s="30" t="str">
        <x:v>A034</x:v>
      </x:c>
      <x:c r="B2896" s="30" t="str">
        <x:v>F109</x:v>
      </x:c>
      <x:c r="C2896" s="30" t="str">
        <x:v>platform.motion_state</x:v>
      </x:c>
      <x:c r="D2896" s="30" t="str">
        <x:v>候选输入schema</x:v>
      </x:c>
      <x:c r="E2896" s="30" t="str">
        <x:v>按执行角色权限读取；策略只能使用可访问快照</x:v>
      </x:c>
    </x:row>
    <x:row r="2897" ht="32" customHeight="1">
      <x:c r="A2897" s="30" t="str">
        <x:v>A034</x:v>
      </x:c>
      <x:c r="B2897" s="30" t="str">
        <x:v>F110</x:v>
      </x:c>
      <x:c r="C2897" s="30" t="str">
        <x:v>platform.health_state</x:v>
      </x:c>
      <x:c r="D2897" s="30" t="str">
        <x:v>候选输入schema</x:v>
      </x:c>
      <x:c r="E2897" s="30" t="str">
        <x:v>按执行角色权限读取；策略只能使用可访问快照</x:v>
      </x:c>
    </x:row>
    <x:row r="2898" ht="32" customHeight="1">
      <x:c r="A2898" s="30" t="str">
        <x:v>A034</x:v>
      </x:c>
      <x:c r="B2898" s="30" t="str">
        <x:v>F111</x:v>
      </x:c>
      <x:c r="C2898" s="30" t="str">
        <x:v>platform.current_action_id</x:v>
      </x:c>
      <x:c r="D2898" s="30" t="str">
        <x:v>候选输入schema</x:v>
      </x:c>
      <x:c r="E2898" s="30" t="str">
        <x:v>按执行角色权限读取；策略只能使用可访问快照</x:v>
      </x:c>
    </x:row>
    <x:row r="2899" ht="32" customHeight="1">
      <x:c r="A2899" s="30" t="str">
        <x:v>A034</x:v>
      </x:c>
      <x:c r="B2899" s="30" t="str">
        <x:v>F112</x:v>
      </x:c>
      <x:c r="C2899" s="30" t="str">
        <x:v>platform.busy_until_est_s</x:v>
      </x:c>
      <x:c r="D2899" s="30" t="str">
        <x:v>候选输入schema</x:v>
      </x:c>
      <x:c r="E2899" s="30" t="str">
        <x:v>按执行角色权限读取；策略只能使用可访问快照</x:v>
      </x:c>
    </x:row>
    <x:row r="2900" ht="32" customHeight="1">
      <x:c r="A2900" s="30" t="str">
        <x:v>A034</x:v>
      </x:c>
      <x:c r="B2900" s="30" t="str">
        <x:v>F113</x:v>
      </x:c>
      <x:c r="C2900" s="30" t="str">
        <x:v>platform.return_site_id</x:v>
      </x:c>
      <x:c r="D2900" s="30" t="str">
        <x:v>候选输入schema</x:v>
      </x:c>
      <x:c r="E2900" s="30" t="str">
        <x:v>按执行角色权限读取；策略只能使用可访问快照</x:v>
      </x:c>
    </x:row>
    <x:row r="2901" ht="32" customHeight="1">
      <x:c r="A2901" s="30" t="str">
        <x:v>A034</x:v>
      </x:c>
      <x:c r="B2901" s="30" t="str">
        <x:v>F114</x:v>
      </x:c>
      <x:c r="C2901" s="30" t="str">
        <x:v>platform.water_tolerance_m</x:v>
      </x:c>
      <x:c r="D2901" s="30" t="str">
        <x:v>候选输入schema</x:v>
      </x:c>
      <x:c r="E2901" s="30" t="str">
        <x:v>按执行角色权限读取；策略只能使用可访问快照</x:v>
      </x:c>
    </x:row>
    <x:row r="2902" ht="32" customHeight="1">
      <x:c r="A2902" s="30" t="str">
        <x:v>A034</x:v>
      </x:c>
      <x:c r="B2902" s="30" t="str">
        <x:v>F115</x:v>
      </x:c>
      <x:c r="C2902" s="30" t="str">
        <x:v>platform.concurrency_policy</x:v>
      </x:c>
      <x:c r="D2902" s="30" t="str">
        <x:v>候选输入schema</x:v>
      </x:c>
      <x:c r="E2902" s="30" t="str">
        <x:v>按执行角色权限读取；策略只能使用可访问快照</x:v>
      </x:c>
    </x:row>
    <x:row r="2903" ht="32" customHeight="1">
      <x:c r="A2903" s="30" t="str">
        <x:v>A034</x:v>
      </x:c>
      <x:c r="B2903" s="30" t="str">
        <x:v>F116</x:v>
      </x:c>
      <x:c r="C2903" s="30" t="str">
        <x:v>equipment.kind</x:v>
      </x:c>
      <x:c r="D2903" s="30" t="str">
        <x:v>候选输入schema</x:v>
      </x:c>
      <x:c r="E2903" s="30" t="str">
        <x:v>按执行角色权限读取；策略只能使用可访问快照</x:v>
      </x:c>
    </x:row>
    <x:row r="2904" ht="32" customHeight="1">
      <x:c r="A2904" s="30" t="str">
        <x:v>A034</x:v>
      </x:c>
      <x:c r="B2904" s="30" t="str">
        <x:v>F117</x:v>
      </x:c>
      <x:c r="C2904" s="30" t="str">
        <x:v>equipment.enabled</x:v>
      </x:c>
      <x:c r="D2904" s="30" t="str">
        <x:v>候选输入schema</x:v>
      </x:c>
      <x:c r="E2904" s="30" t="str">
        <x:v>按执行角色权限读取；策略只能使用可访问快照</x:v>
      </x:c>
    </x:row>
    <x:row r="2905" ht="32" customHeight="1">
      <x:c r="A2905" s="30" t="str">
        <x:v>A034</x:v>
      </x:c>
      <x:c r="B2905" s="30" t="str">
        <x:v>F118</x:v>
      </x:c>
      <x:c r="C2905" s="30" t="str">
        <x:v>equipment.health</x:v>
      </x:c>
      <x:c r="D2905" s="30" t="str">
        <x:v>候选输入schema</x:v>
      </x:c>
      <x:c r="E2905" s="30" t="str">
        <x:v>按执行角色权限读取；策略只能使用可访问快照</x:v>
      </x:c>
    </x:row>
    <x:row r="2906" ht="32" customHeight="1">
      <x:c r="A2906" s="30" t="str">
        <x:v>A034</x:v>
      </x:c>
      <x:c r="B2906" s="30" t="str">
        <x:v>F119</x:v>
      </x:c>
      <x:c r="C2906" s="30" t="str">
        <x:v>equipment.rated_load_kg</x:v>
      </x:c>
      <x:c r="D2906" s="30" t="str">
        <x:v>候选输入schema</x:v>
      </x:c>
      <x:c r="E2906" s="30" t="str">
        <x:v>按执行角色权限读取；策略只能使用可访问快照</x:v>
      </x:c>
    </x:row>
    <x:row r="2907" ht="32" customHeight="1">
      <x:c r="A2907" s="30" t="str">
        <x:v>A034</x:v>
      </x:c>
      <x:c r="B2907" s="30" t="str">
        <x:v>F120</x:v>
      </x:c>
      <x:c r="C2907" s="30" t="str">
        <x:v>equipment.reach_m</x:v>
      </x:c>
      <x:c r="D2907" s="30" t="str">
        <x:v>候选输入schema</x:v>
      </x:c>
      <x:c r="E2907" s="30" t="str">
        <x:v>按执行角色权限读取；策略只能使用可访问快照</x:v>
      </x:c>
    </x:row>
    <x:row r="2908" ht="32" customHeight="1">
      <x:c r="A2908" s="30" t="str">
        <x:v>A034</x:v>
      </x:c>
      <x:c r="B2908" s="30" t="str">
        <x:v>F121</x:v>
      </x:c>
      <x:c r="C2908" s="30" t="str">
        <x:v>equipment.compatible_materials</x:v>
      </x:c>
      <x:c r="D2908" s="30" t="str">
        <x:v>候选输入schema</x:v>
      </x:c>
      <x:c r="E2908" s="30" t="str">
        <x:v>按执行角色权限读取；策略只能使用可访问快照</x:v>
      </x:c>
    </x:row>
    <x:row r="2909" ht="32" customHeight="1">
      <x:c r="A2909" s="30" t="str">
        <x:v>A034</x:v>
      </x:c>
      <x:c r="B2909" s="30" t="str">
        <x:v>F122</x:v>
      </x:c>
      <x:c r="C2909" s="30" t="str">
        <x:v>equipment.tool_size</x:v>
      </x:c>
      <x:c r="D2909" s="30" t="str">
        <x:v>候选输入schema</x:v>
      </x:c>
      <x:c r="E2909" s="30" t="str">
        <x:v>按执行角色权限读取；策略只能使用可访问快照</x:v>
      </x:c>
    </x:row>
    <x:row r="2910" ht="32" customHeight="1">
      <x:c r="A2910" s="30" t="str">
        <x:v>A034</x:v>
      </x:c>
      <x:c r="B2910" s="30" t="str">
        <x:v>F123</x:v>
      </x:c>
      <x:c r="C2910" s="30" t="str">
        <x:v>equipment.consumable_type</x:v>
      </x:c>
      <x:c r="D2910" s="30" t="str">
        <x:v>候选输入schema</x:v>
      </x:c>
      <x:c r="E2910" s="30" t="str">
        <x:v>按执行角色权限读取；策略只能使用可访问快照</x:v>
      </x:c>
    </x:row>
    <x:row r="2911" ht="32" customHeight="1">
      <x:c r="A2911" s="30" t="str">
        <x:v>A034</x:v>
      </x:c>
      <x:c r="B2911" s="30" t="str">
        <x:v>F124</x:v>
      </x:c>
      <x:c r="C2911" s="30" t="str">
        <x:v>equipment.consumable_remaining</x:v>
      </x:c>
      <x:c r="D2911" s="30" t="str">
        <x:v>候选输入schema</x:v>
      </x:c>
      <x:c r="E2911" s="30" t="str">
        <x:v>按执行角色权限读取；策略只能使用可访问快照</x:v>
      </x:c>
    </x:row>
    <x:row r="2912" ht="32" customHeight="1">
      <x:c r="A2912" s="30" t="str">
        <x:v>A034</x:v>
      </x:c>
      <x:c r="B2912" s="30" t="str">
        <x:v>F125</x:v>
      </x:c>
      <x:c r="C2912" s="30" t="str">
        <x:v>equipment.operator_authority</x:v>
      </x:c>
      <x:c r="D2912" s="30" t="str">
        <x:v>候选输入schema</x:v>
      </x:c>
      <x:c r="E2912" s="30" t="str">
        <x:v>按执行角色权限读取；策略只能使用可访问快照</x:v>
      </x:c>
    </x:row>
    <x:row r="2913" ht="32" customHeight="1">
      <x:c r="A2913" s="30" t="str">
        <x:v>A034</x:v>
      </x:c>
      <x:c r="B2913" s="30" t="str">
        <x:v>F126</x:v>
      </x:c>
      <x:c r="C2913" s="30" t="str">
        <x:v>equipment.setup_state</x:v>
      </x:c>
      <x:c r="D2913" s="30" t="str">
        <x:v>候选输入schema</x:v>
      </x:c>
      <x:c r="E2913" s="30" t="str">
        <x:v>按执行角色权限读取；策略只能使用可访问快照</x:v>
      </x:c>
    </x:row>
    <x:row r="2914" ht="32" customHeight="1">
      <x:c r="A2914" s="30" t="str">
        <x:v>A034</x:v>
      </x:c>
      <x:c r="B2914" s="30" t="str">
        <x:v>F127</x:v>
      </x:c>
      <x:c r="C2914" s="30" t="str">
        <x:v>equipment.busy_action_id</x:v>
      </x:c>
      <x:c r="D2914" s="30" t="str">
        <x:v>候选输入schema</x:v>
      </x:c>
      <x:c r="E2914" s="30" t="str">
        <x:v>按执行角色权限读取；策略只能使用可访问快照</x:v>
      </x:c>
    </x:row>
    <x:row r="2915" ht="32" customHeight="1">
      <x:c r="A2915" s="30" t="str">
        <x:v>A034</x:v>
      </x:c>
      <x:c r="B2915" s="30" t="str">
        <x:v>F128</x:v>
      </x:c>
      <x:c r="C2915" s="30" t="str">
        <x:v>item.kind</x:v>
      </x:c>
      <x:c r="D2915" s="30" t="str">
        <x:v>候选输入schema</x:v>
      </x:c>
      <x:c r="E2915" s="30" t="str">
        <x:v>按执行角色权限读取；策略只能使用可访问快照</x:v>
      </x:c>
    </x:row>
    <x:row r="2916" ht="32" customHeight="1">
      <x:c r="A2916" s="30" t="str">
        <x:v>A034</x:v>
      </x:c>
      <x:c r="B2916" s="30" t="str">
        <x:v>F129</x:v>
      </x:c>
      <x:c r="C2916" s="30" t="str">
        <x:v>item.mass_kg</x:v>
      </x:c>
      <x:c r="D2916" s="30" t="str">
        <x:v>候选输入schema</x:v>
      </x:c>
      <x:c r="E2916" s="30" t="str">
        <x:v>按执行角色权限读取；策略只能使用可访问快照</x:v>
      </x:c>
    </x:row>
    <x:row r="2917" ht="32" customHeight="1">
      <x:c r="A2917" s="30" t="str">
        <x:v>A034</x:v>
      </x:c>
      <x:c r="B2917" s="30" t="str">
        <x:v>F130</x:v>
      </x:c>
      <x:c r="C2917" s="30" t="str">
        <x:v>item.dimensions_m</x:v>
      </x:c>
      <x:c r="D2917" s="30" t="str">
        <x:v>候选输入schema</x:v>
      </x:c>
      <x:c r="E2917" s="30" t="str">
        <x:v>按执行角色权限读取；策略只能使用可访问快照</x:v>
      </x:c>
    </x:row>
    <x:row r="2918" ht="32" customHeight="1">
      <x:c r="A2918" s="30" t="str">
        <x:v>A034</x:v>
      </x:c>
      <x:c r="B2918" s="30" t="str">
        <x:v>F131</x:v>
      </x:c>
      <x:c r="C2918" s="30" t="str">
        <x:v>item.quantity</x:v>
      </x:c>
      <x:c r="D2918" s="30" t="str">
        <x:v>候选输入schema</x:v>
      </x:c>
      <x:c r="E2918" s="30" t="str">
        <x:v>按执行角色权限读取；策略只能使用可访问快照</x:v>
      </x:c>
    </x:row>
    <x:row r="2919" ht="32" customHeight="1">
      <x:c r="A2919" s="30" t="str">
        <x:v>A034</x:v>
      </x:c>
      <x:c r="B2919" s="30" t="str">
        <x:v>F132</x:v>
      </x:c>
      <x:c r="C2919" s="30" t="str">
        <x:v>item.holder_id</x:v>
      </x:c>
      <x:c r="D2919" s="30" t="str">
        <x:v>候选输入schema</x:v>
      </x:c>
      <x:c r="E2919" s="30" t="str">
        <x:v>按执行角色权限读取；策略只能使用可访问快照</x:v>
      </x:c>
    </x:row>
    <x:row r="2920" ht="32" customHeight="1">
      <x:c r="A2920" s="30" t="str">
        <x:v>A034</x:v>
      </x:c>
      <x:c r="B2920" s="30" t="str">
        <x:v>F133</x:v>
      </x:c>
      <x:c r="C2920" s="30" t="str">
        <x:v>item.state</x:v>
      </x:c>
      <x:c r="D2920" s="30" t="str">
        <x:v>候选输入schema</x:v>
      </x:c>
      <x:c r="E2920" s="30" t="str">
        <x:v>按执行角色权限读取；策略只能使用可访问快照</x:v>
      </x:c>
    </x:row>
    <x:row r="2921" ht="32" customHeight="1">
      <x:c r="A2921" s="30" t="str">
        <x:v>A034</x:v>
      </x:c>
      <x:c r="B2921" s="30" t="str">
        <x:v>F134</x:v>
      </x:c>
      <x:c r="C2921" s="30" t="str">
        <x:v>item.attachment_id</x:v>
      </x:c>
      <x:c r="D2921" s="30" t="str">
        <x:v>候选输入schema</x:v>
      </x:c>
      <x:c r="E2921" s="30" t="str">
        <x:v>按执行角色权限读取；策略只能使用可访问快照</x:v>
      </x:c>
    </x:row>
    <x:row r="2922" ht="32" customHeight="1">
      <x:c r="A2922" s="30" t="str">
        <x:v>A034</x:v>
      </x:c>
      <x:c r="B2922" s="30" t="str">
        <x:v>F135</x:v>
      </x:c>
      <x:c r="C2922" s="30" t="str">
        <x:v>item.reservation_task_id</x:v>
      </x:c>
      <x:c r="D2922" s="30" t="str">
        <x:v>候选输入schema</x:v>
      </x:c>
      <x:c r="E2922" s="30" t="str">
        <x:v>按执行角色权限读取；策略只能使用可访问快照</x:v>
      </x:c>
    </x:row>
    <x:row r="2923" ht="32" customHeight="1">
      <x:c r="A2923" s="30" t="str">
        <x:v>A034</x:v>
      </x:c>
      <x:c r="B2923" s="30" t="str">
        <x:v>F136</x:v>
      </x:c>
      <x:c r="C2923" s="30" t="str">
        <x:v>item.release_state</x:v>
      </x:c>
      <x:c r="D2923" s="30" t="str">
        <x:v>候选输入schema</x:v>
      </x:c>
      <x:c r="E2923" s="30" t="str">
        <x:v>按执行角色权限读取；策略只能使用可访问快照</x:v>
      </x:c>
    </x:row>
    <x:row r="2924" ht="32" customHeight="1">
      <x:c r="A2924" s="30" t="str">
        <x:v>A034</x:v>
      </x:c>
      <x:c r="B2924" s="30" t="str">
        <x:v>F137</x:v>
      </x:c>
      <x:c r="C2924" s="30" t="str">
        <x:v>item.contact_pose</x:v>
      </x:c>
      <x:c r="D2924" s="30" t="str">
        <x:v>候选输入schema</x:v>
      </x:c>
      <x:c r="E2924" s="30" t="str">
        <x:v>按执行角色权限读取；策略只能使用可访问快照</x:v>
      </x:c>
    </x:row>
    <x:row r="2925" ht="32" customHeight="1">
      <x:c r="A2925" s="30" t="str">
        <x:v>A034</x:v>
      </x:c>
      <x:c r="B2925" s="30" t="str">
        <x:v>F138</x:v>
      </x:c>
      <x:c r="C2925" s="30" t="str">
        <x:v>item.receiver_id</x:v>
      </x:c>
      <x:c r="D2925" s="30" t="str">
        <x:v>候选输入schema</x:v>
      </x:c>
      <x:c r="E2925" s="30" t="str">
        <x:v>按执行角色权限读取；策略只能使用可访问快照</x:v>
      </x:c>
    </x:row>
    <x:row r="2926" ht="32" customHeight="1">
      <x:c r="A2926" s="30" t="str">
        <x:v>A034</x:v>
      </x:c>
      <x:c r="B2926" s="30" t="str">
        <x:v>F139</x:v>
      </x:c>
      <x:c r="C2926" s="30" t="str">
        <x:v>item.receipt_id</x:v>
      </x:c>
      <x:c r="D2926" s="30" t="str">
        <x:v>候选输入schema</x:v>
      </x:c>
      <x:c r="E2926" s="30" t="str">
        <x:v>按执行角色权限读取；策略只能使用可访问快照</x:v>
      </x:c>
    </x:row>
    <x:row r="2927" ht="32" customHeight="1">
      <x:c r="A2927" s="30" t="str">
        <x:v>A034</x:v>
      </x:c>
      <x:c r="B2927" s="30" t="str">
        <x:v>F140</x:v>
      </x:c>
      <x:c r="C2927" s="30" t="str">
        <x:v>item.condition</x:v>
      </x:c>
      <x:c r="D2927" s="30" t="str">
        <x:v>候选输入schema</x:v>
      </x:c>
      <x:c r="E2927" s="30" t="str">
        <x:v>按执行角色权限读取；策略只能使用可访问快照</x:v>
      </x:c>
    </x:row>
    <x:row r="2928" ht="32" customHeight="1">
      <x:c r="A2928" s="30" t="str">
        <x:v>A034</x:v>
      </x:c>
      <x:c r="B2928" s="30" t="str">
        <x:v>F246</x:v>
      </x:c>
      <x:c r="C2928" s="30" t="str">
        <x:v>radio.interface_id</x:v>
      </x:c>
      <x:c r="D2928" s="30" t="str">
        <x:v>候选输入schema</x:v>
      </x:c>
      <x:c r="E2928" s="30" t="str">
        <x:v>按执行角色权限读取；策略只能使用可访问快照</x:v>
      </x:c>
    </x:row>
    <x:row r="2929" ht="32" customHeight="1">
      <x:c r="A2929" s="30" t="str">
        <x:v>A034</x:v>
      </x:c>
      <x:c r="B2929" s="30" t="str">
        <x:v>F247</x:v>
      </x:c>
      <x:c r="C2929" s="30" t="str">
        <x:v>radio.protocol</x:v>
      </x:c>
      <x:c r="D2929" s="30" t="str">
        <x:v>候选输入schema</x:v>
      </x:c>
      <x:c r="E2929" s="30" t="str">
        <x:v>按执行角色权限读取；策略只能使用可访问快照</x:v>
      </x:c>
    </x:row>
    <x:row r="2930" ht="32" customHeight="1">
      <x:c r="A2930" s="30" t="str">
        <x:v>A034</x:v>
      </x:c>
      <x:c r="B2930" s="30" t="str">
        <x:v>F248</x:v>
      </x:c>
      <x:c r="C2930" s="30" t="str">
        <x:v>radio.channel</x:v>
      </x:c>
      <x:c r="D2930" s="30" t="str">
        <x:v>候选输入schema</x:v>
      </x:c>
      <x:c r="E2930" s="30" t="str">
        <x:v>按执行角色权限读取；策略只能使用可访问快照</x:v>
      </x:c>
    </x:row>
    <x:row r="2931" ht="32" customHeight="1">
      <x:c r="A2931" s="30" t="str">
        <x:v>A034</x:v>
      </x:c>
      <x:c r="B2931" s="30" t="str">
        <x:v>F249</x:v>
      </x:c>
      <x:c r="C2931" s="30" t="str">
        <x:v>radio.tx_power_dbm</x:v>
      </x:c>
      <x:c r="D2931" s="30" t="str">
        <x:v>候选输入schema</x:v>
      </x:c>
      <x:c r="E2931" s="30" t="str">
        <x:v>按执行角色权限读取；策略只能使用可访问快照</x:v>
      </x:c>
    </x:row>
    <x:row r="2932" ht="32" customHeight="1">
      <x:c r="A2932" s="30" t="str">
        <x:v>A034</x:v>
      </x:c>
      <x:c r="B2932" s="30" t="str">
        <x:v>F250</x:v>
      </x:c>
      <x:c r="C2932" s="30" t="str">
        <x:v>radio.antenna</x:v>
      </x:c>
      <x:c r="D2932" s="30" t="str">
        <x:v>候选输入schema</x:v>
      </x:c>
      <x:c r="E2932" s="30" t="str">
        <x:v>按执行角色权限读取；策略只能使用可访问快照</x:v>
      </x:c>
    </x:row>
    <x:row r="2933" ht="32" customHeight="1">
      <x:c r="A2933" s="30" t="str">
        <x:v>A034</x:v>
      </x:c>
      <x:c r="B2933" s="30" t="str">
        <x:v>F251</x:v>
      </x:c>
      <x:c r="C2933" s="30" t="str">
        <x:v>radio.enabled</x:v>
      </x:c>
      <x:c r="D2933" s="30" t="str">
        <x:v>候选输入schema</x:v>
      </x:c>
      <x:c r="E2933" s="30" t="str">
        <x:v>按执行角色权限读取；策略只能使用可访问快照</x:v>
      </x:c>
    </x:row>
    <x:row r="2934" ht="32" customHeight="1">
      <x:c r="A2934" s="30" t="str">
        <x:v>A034</x:v>
      </x:c>
      <x:c r="B2934" s="30" t="str">
        <x:v>F252</x:v>
      </x:c>
      <x:c r="C2934" s="30" t="str">
        <x:v>radio.phy_state</x:v>
      </x:c>
      <x:c r="D2934" s="30" t="str">
        <x:v>候选输入schema</x:v>
      </x:c>
      <x:c r="E2934" s="30" t="str">
        <x:v>按执行角色权限读取；策略只能使用可访问快照</x:v>
      </x:c>
    </x:row>
    <x:row r="2935" ht="32" customHeight="1">
      <x:c r="A2935" s="30" t="str">
        <x:v>A034</x:v>
      </x:c>
      <x:c r="B2935" s="30" t="str">
        <x:v>F253</x:v>
      </x:c>
      <x:c r="C2935" s="30" t="str">
        <x:v>radio.queue_bytes</x:v>
      </x:c>
      <x:c r="D2935" s="30" t="str">
        <x:v>候选输入schema</x:v>
      </x:c>
      <x:c r="E2935" s="30" t="str">
        <x:v>按执行角色权限读取；策略只能使用可访问快照</x:v>
      </x:c>
    </x:row>
    <x:row r="2936" ht="32" customHeight="1">
      <x:c r="A2936" s="30" t="str">
        <x:v>A034</x:v>
      </x:c>
      <x:c r="B2936" s="30" t="str">
        <x:v>F254</x:v>
      </x:c>
      <x:c r="C2936" s="30" t="str">
        <x:v>radio.queue_limit_bytes</x:v>
      </x:c>
      <x:c r="D2936" s="30" t="str">
        <x:v>候选输入schema</x:v>
      </x:c>
      <x:c r="E2936" s="30" t="str">
        <x:v>按执行角色权限读取；策略只能使用可访问快照</x:v>
      </x:c>
    </x:row>
    <x:row r="2937" ht="32" customHeight="1">
      <x:c r="A2937" s="30" t="str">
        <x:v>A034</x:v>
      </x:c>
      <x:c r="B2937" s="30" t="str">
        <x:v>F255</x:v>
      </x:c>
      <x:c r="C2937" s="30" t="str">
        <x:v>radio.mtu_bytes</x:v>
      </x:c>
      <x:c r="D2937" s="30" t="str">
        <x:v>候选输入schema</x:v>
      </x:c>
      <x:c r="E2937" s="30" t="str">
        <x:v>按执行角色权限读取；策略只能使用可访问快照</x:v>
      </x:c>
    </x:row>
    <x:row r="2938" ht="32" customHeight="1">
      <x:c r="A2938" s="30" t="str">
        <x:v>A034</x:v>
      </x:c>
      <x:c r="B2938" s="30" t="str">
        <x:v>F256</x:v>
      </x:c>
      <x:c r="C2938" s="30" t="str">
        <x:v>radio.retry_limit</x:v>
      </x:c>
      <x:c r="D2938" s="30" t="str">
        <x:v>候选输入schema</x:v>
      </x:c>
      <x:c r="E2938" s="30" t="str">
        <x:v>按执行角色权限读取；策略只能使用可访问快照</x:v>
      </x:c>
    </x:row>
    <x:row r="2939" ht="32" customHeight="1">
      <x:c r="A2939" s="30" t="str">
        <x:v>A034</x:v>
      </x:c>
      <x:c r="B2939" s="30" t="str">
        <x:v>F257</x:v>
      </x:c>
      <x:c r="C2939" s="30" t="str">
        <x:v>radio.routing_mode</x:v>
      </x:c>
      <x:c r="D2939" s="30" t="str">
        <x:v>候选输入schema</x:v>
      </x:c>
      <x:c r="E2939" s="30" t="str">
        <x:v>按执行角色权限读取；策略只能使用可访问快照</x:v>
      </x:c>
    </x:row>
    <x:row r="2940" ht="32" customHeight="1">
      <x:c r="A2940" s="30" t="str">
        <x:v>A034</x:v>
      </x:c>
      <x:c r="B2940" s="30" t="str">
        <x:v>F258</x:v>
      </x:c>
      <x:c r="C2940" s="30" t="str">
        <x:v>radio.energy_Wh</x:v>
      </x:c>
      <x:c r="D2940" s="30" t="str">
        <x:v>候选输入schema</x:v>
      </x:c>
      <x:c r="E2940" s="30" t="str">
        <x:v>按执行角色权限读取；策略只能使用可访问快照</x:v>
      </x:c>
    </x:row>
    <x:row r="2941" ht="32" customHeight="1">
      <x:c r="A2941" s="30" t="str">
        <x:v>A034</x:v>
      </x:c>
      <x:c r="B2941" s="30" t="str">
        <x:v>F259</x:v>
      </x:c>
      <x:c r="C2941" s="30" t="str">
        <x:v>radio.position_source</x:v>
      </x:c>
      <x:c r="D2941" s="30" t="str">
        <x:v>候选输入schema</x:v>
      </x:c>
      <x:c r="E2941" s="30" t="str">
        <x:v>按执行角色权限读取；策略只能使用可访问快照</x:v>
      </x:c>
    </x:row>
    <x:row r="2942" ht="32" customHeight="1">
      <x:c r="A2942" s="30" t="str">
        <x:v>A034</x:v>
      </x:c>
      <x:c r="B2942" s="30" t="str">
        <x:v>F260</x:v>
      </x:c>
      <x:c r="C2942" s="30" t="str">
        <x:v>radio.last_contact_s</x:v>
      </x:c>
      <x:c r="D2942" s="30" t="str">
        <x:v>候选输入schema</x:v>
      </x:c>
      <x:c r="E2942" s="30" t="str">
        <x:v>按执行角色权限读取；策略只能使用可访问快照</x:v>
      </x:c>
    </x:row>
    <x:row r="2943" ht="32" customHeight="1">
      <x:c r="A2943" s="30" t="str">
        <x:v>A034</x:v>
      </x:c>
      <x:c r="B2943" s="30" t="str">
        <x:v>F261</x:v>
      </x:c>
      <x:c r="C2943" s="30" t="str">
        <x:v>radio.relay_enabled</x:v>
      </x:c>
      <x:c r="D2943" s="30" t="str">
        <x:v>候选输入schema</x:v>
      </x:c>
      <x:c r="E2943" s="30" t="str">
        <x:v>按执行角色权限读取；策略只能使用可访问快照</x:v>
      </x:c>
    </x:row>
    <x:row r="2944" ht="32" customHeight="1">
      <x:c r="A2944" s="30" t="str">
        <x:v>A034</x:v>
      </x:c>
      <x:c r="B2944" s="30" t="str">
        <x:v>F133</x:v>
      </x:c>
      <x:c r="C2944" s="30" t="str">
        <x:v>item.state</x:v>
      </x:c>
      <x:c r="D2944" s="30" t="str">
        <x:v>直接效果</x:v>
      </x:c>
      <x:c r="E2944" s="30" t="str">
        <x:v>经实际执行/回执提交；不是规划时提前修改</x:v>
      </x:c>
    </x:row>
    <x:row r="2945" ht="32" customHeight="1">
      <x:c r="A2945" s="30" t="str">
        <x:v>A034</x:v>
      </x:c>
      <x:c r="B2945" s="30" t="str">
        <x:v>F132</x:v>
      </x:c>
      <x:c r="C2945" s="30" t="str">
        <x:v>item.holder_id</x:v>
      </x:c>
      <x:c r="D2945" s="30" t="str">
        <x:v>直接效果</x:v>
      </x:c>
      <x:c r="E2945" s="30" t="str">
        <x:v>经实际执行/回执提交；不是规划时提前修改</x:v>
      </x:c>
    </x:row>
    <x:row r="2946" ht="32" customHeight="1">
      <x:c r="A2946" s="30" t="str">
        <x:v>A034</x:v>
      </x:c>
      <x:c r="B2946" s="30" t="str">
        <x:v>F251</x:v>
      </x:c>
      <x:c r="C2946" s="30" t="str">
        <x:v>radio.enabled</x:v>
      </x:c>
      <x:c r="D2946" s="30" t="str">
        <x:v>直接效果</x:v>
      </x:c>
      <x:c r="E2946" s="30" t="str">
        <x:v>经实际执行/回执提交；不是规划时提前修改</x:v>
      </x:c>
    </x:row>
    <x:row r="2947" ht="32" customHeight="1">
      <x:c r="A2947" s="30" t="str">
        <x:v>A034</x:v>
      </x:c>
      <x:c r="B2947" s="30" t="str">
        <x:v>F261</x:v>
      </x:c>
      <x:c r="C2947" s="30" t="str">
        <x:v>radio.relay_enabled</x:v>
      </x:c>
      <x:c r="D2947" s="30" t="str">
        <x:v>直接效果</x:v>
      </x:c>
      <x:c r="E2947" s="30" t="str">
        <x:v>经实际执行/回执提交；不是规划时提前修改</x:v>
      </x:c>
    </x:row>
    <x:row r="2948" ht="32" customHeight="1">
      <x:c r="A2948" s="30" t="str">
        <x:v>A035</x:v>
      </x:c>
      <x:c r="B2948" s="30" t="str">
        <x:v>F246</x:v>
      </x:c>
      <x:c r="C2948" s="30" t="str">
        <x:v>radio.interface_id</x:v>
      </x:c>
      <x:c r="D2948" s="30" t="str">
        <x:v>候选输入schema</x:v>
      </x:c>
      <x:c r="E2948" s="30" t="str">
        <x:v>按执行角色权限读取；策略只能使用可访问快照</x:v>
      </x:c>
    </x:row>
    <x:row r="2949" ht="32" customHeight="1">
      <x:c r="A2949" s="30" t="str">
        <x:v>A035</x:v>
      </x:c>
      <x:c r="B2949" s="30" t="str">
        <x:v>F247</x:v>
      </x:c>
      <x:c r="C2949" s="30" t="str">
        <x:v>radio.protocol</x:v>
      </x:c>
      <x:c r="D2949" s="30" t="str">
        <x:v>候选输入schema</x:v>
      </x:c>
      <x:c r="E2949" s="30" t="str">
        <x:v>按执行角色权限读取；策略只能使用可访问快照</x:v>
      </x:c>
    </x:row>
    <x:row r="2950" ht="32" customHeight="1">
      <x:c r="A2950" s="30" t="str">
        <x:v>A035</x:v>
      </x:c>
      <x:c r="B2950" s="30" t="str">
        <x:v>F248</x:v>
      </x:c>
      <x:c r="C2950" s="30" t="str">
        <x:v>radio.channel</x:v>
      </x:c>
      <x:c r="D2950" s="30" t="str">
        <x:v>候选输入schema</x:v>
      </x:c>
      <x:c r="E2950" s="30" t="str">
        <x:v>按执行角色权限读取；策略只能使用可访问快照</x:v>
      </x:c>
    </x:row>
    <x:row r="2951" ht="32" customHeight="1">
      <x:c r="A2951" s="30" t="str">
        <x:v>A035</x:v>
      </x:c>
      <x:c r="B2951" s="30" t="str">
        <x:v>F249</x:v>
      </x:c>
      <x:c r="C2951" s="30" t="str">
        <x:v>radio.tx_power_dbm</x:v>
      </x:c>
      <x:c r="D2951" s="30" t="str">
        <x:v>候选输入schema</x:v>
      </x:c>
      <x:c r="E2951" s="30" t="str">
        <x:v>按执行角色权限读取；策略只能使用可访问快照</x:v>
      </x:c>
    </x:row>
    <x:row r="2952" ht="32" customHeight="1">
      <x:c r="A2952" s="30" t="str">
        <x:v>A035</x:v>
      </x:c>
      <x:c r="B2952" s="30" t="str">
        <x:v>F250</x:v>
      </x:c>
      <x:c r="C2952" s="30" t="str">
        <x:v>radio.antenna</x:v>
      </x:c>
      <x:c r="D2952" s="30" t="str">
        <x:v>候选输入schema</x:v>
      </x:c>
      <x:c r="E2952" s="30" t="str">
        <x:v>按执行角色权限读取；策略只能使用可访问快照</x:v>
      </x:c>
    </x:row>
    <x:row r="2953" ht="32" customHeight="1">
      <x:c r="A2953" s="30" t="str">
        <x:v>A035</x:v>
      </x:c>
      <x:c r="B2953" s="30" t="str">
        <x:v>F251</x:v>
      </x:c>
      <x:c r="C2953" s="30" t="str">
        <x:v>radio.enabled</x:v>
      </x:c>
      <x:c r="D2953" s="30" t="str">
        <x:v>候选输入schema</x:v>
      </x:c>
      <x:c r="E2953" s="30" t="str">
        <x:v>按执行角色权限读取；策略只能使用可访问快照</x:v>
      </x:c>
    </x:row>
    <x:row r="2954" ht="32" customHeight="1">
      <x:c r="A2954" s="30" t="str">
        <x:v>A035</x:v>
      </x:c>
      <x:c r="B2954" s="30" t="str">
        <x:v>F252</x:v>
      </x:c>
      <x:c r="C2954" s="30" t="str">
        <x:v>radio.phy_state</x:v>
      </x:c>
      <x:c r="D2954" s="30" t="str">
        <x:v>候选输入schema</x:v>
      </x:c>
      <x:c r="E2954" s="30" t="str">
        <x:v>按执行角色权限读取；策略只能使用可访问快照</x:v>
      </x:c>
    </x:row>
    <x:row r="2955" ht="32" customHeight="1">
      <x:c r="A2955" s="30" t="str">
        <x:v>A035</x:v>
      </x:c>
      <x:c r="B2955" s="30" t="str">
        <x:v>F253</x:v>
      </x:c>
      <x:c r="C2955" s="30" t="str">
        <x:v>radio.queue_bytes</x:v>
      </x:c>
      <x:c r="D2955" s="30" t="str">
        <x:v>候选输入schema</x:v>
      </x:c>
      <x:c r="E2955" s="30" t="str">
        <x:v>按执行角色权限读取；策略只能使用可访问快照</x:v>
      </x:c>
    </x:row>
    <x:row r="2956" ht="32" customHeight="1">
      <x:c r="A2956" s="30" t="str">
        <x:v>A035</x:v>
      </x:c>
      <x:c r="B2956" s="30" t="str">
        <x:v>F254</x:v>
      </x:c>
      <x:c r="C2956" s="30" t="str">
        <x:v>radio.queue_limit_bytes</x:v>
      </x:c>
      <x:c r="D2956" s="30" t="str">
        <x:v>候选输入schema</x:v>
      </x:c>
      <x:c r="E2956" s="30" t="str">
        <x:v>按执行角色权限读取；策略只能使用可访问快照</x:v>
      </x:c>
    </x:row>
    <x:row r="2957" ht="32" customHeight="1">
      <x:c r="A2957" s="30" t="str">
        <x:v>A035</x:v>
      </x:c>
      <x:c r="B2957" s="30" t="str">
        <x:v>F255</x:v>
      </x:c>
      <x:c r="C2957" s="30" t="str">
        <x:v>radio.mtu_bytes</x:v>
      </x:c>
      <x:c r="D2957" s="30" t="str">
        <x:v>候选输入schema</x:v>
      </x:c>
      <x:c r="E2957" s="30" t="str">
        <x:v>按执行角色权限读取；策略只能使用可访问快照</x:v>
      </x:c>
    </x:row>
    <x:row r="2958" ht="32" customHeight="1">
      <x:c r="A2958" s="30" t="str">
        <x:v>A035</x:v>
      </x:c>
      <x:c r="B2958" s="30" t="str">
        <x:v>F256</x:v>
      </x:c>
      <x:c r="C2958" s="30" t="str">
        <x:v>radio.retry_limit</x:v>
      </x:c>
      <x:c r="D2958" s="30" t="str">
        <x:v>候选输入schema</x:v>
      </x:c>
      <x:c r="E2958" s="30" t="str">
        <x:v>按执行角色权限读取；策略只能使用可访问快照</x:v>
      </x:c>
    </x:row>
    <x:row r="2959" ht="32" customHeight="1">
      <x:c r="A2959" s="30" t="str">
        <x:v>A035</x:v>
      </x:c>
      <x:c r="B2959" s="30" t="str">
        <x:v>F257</x:v>
      </x:c>
      <x:c r="C2959" s="30" t="str">
        <x:v>radio.routing_mode</x:v>
      </x:c>
      <x:c r="D2959" s="30" t="str">
        <x:v>候选输入schema</x:v>
      </x:c>
      <x:c r="E2959" s="30" t="str">
        <x:v>按执行角色权限读取；策略只能使用可访问快照</x:v>
      </x:c>
    </x:row>
    <x:row r="2960" ht="32" customHeight="1">
      <x:c r="A2960" s="30" t="str">
        <x:v>A035</x:v>
      </x:c>
      <x:c r="B2960" s="30" t="str">
        <x:v>F258</x:v>
      </x:c>
      <x:c r="C2960" s="30" t="str">
        <x:v>radio.energy_Wh</x:v>
      </x:c>
      <x:c r="D2960" s="30" t="str">
        <x:v>候选输入schema</x:v>
      </x:c>
      <x:c r="E2960" s="30" t="str">
        <x:v>按执行角色权限读取；策略只能使用可访问快照</x:v>
      </x:c>
    </x:row>
    <x:row r="2961" ht="32" customHeight="1">
      <x:c r="A2961" s="30" t="str">
        <x:v>A035</x:v>
      </x:c>
      <x:c r="B2961" s="30" t="str">
        <x:v>F259</x:v>
      </x:c>
      <x:c r="C2961" s="30" t="str">
        <x:v>radio.position_source</x:v>
      </x:c>
      <x:c r="D2961" s="30" t="str">
        <x:v>候选输入schema</x:v>
      </x:c>
      <x:c r="E2961" s="30" t="str">
        <x:v>按执行角色权限读取；策略只能使用可访问快照</x:v>
      </x:c>
    </x:row>
    <x:row r="2962" ht="32" customHeight="1">
      <x:c r="A2962" s="30" t="str">
        <x:v>A035</x:v>
      </x:c>
      <x:c r="B2962" s="30" t="str">
        <x:v>F260</x:v>
      </x:c>
      <x:c r="C2962" s="30" t="str">
        <x:v>radio.last_contact_s</x:v>
      </x:c>
      <x:c r="D2962" s="30" t="str">
        <x:v>候选输入schema</x:v>
      </x:c>
      <x:c r="E2962" s="30" t="str">
        <x:v>按执行角色权限读取；策略只能使用可访问快照</x:v>
      </x:c>
    </x:row>
    <x:row r="2963" ht="32" customHeight="1">
      <x:c r="A2963" s="30" t="str">
        <x:v>A035</x:v>
      </x:c>
      <x:c r="B2963" s="30" t="str">
        <x:v>F261</x:v>
      </x:c>
      <x:c r="C2963" s="30" t="str">
        <x:v>radio.relay_enabled</x:v>
      </x:c>
      <x:c r="D2963" s="30" t="str">
        <x:v>候选输入schema</x:v>
      </x:c>
      <x:c r="E2963" s="30" t="str">
        <x:v>按执行角色权限读取；策略只能使用可访问快照</x:v>
      </x:c>
    </x:row>
    <x:row r="2964" ht="32" customHeight="1">
      <x:c r="A2964" s="30" t="str">
        <x:v>A035</x:v>
      </x:c>
      <x:c r="B2964" s="30" t="str">
        <x:v>F262</x:v>
      </x:c>
      <x:c r="C2964" s="30" t="str">
        <x:v>link.sender_id</x:v>
      </x:c>
      <x:c r="D2964" s="30" t="str">
        <x:v>候选输入schema</x:v>
      </x:c>
      <x:c r="E2964" s="30" t="str">
        <x:v>按执行角色权限读取；策略只能使用可访问快照</x:v>
      </x:c>
    </x:row>
    <x:row r="2965" ht="32" customHeight="1">
      <x:c r="A2965" s="30" t="str">
        <x:v>A035</x:v>
      </x:c>
      <x:c r="B2965" s="30" t="str">
        <x:v>F263</x:v>
      </x:c>
      <x:c r="C2965" s="30" t="str">
        <x:v>link.receiver_id</x:v>
      </x:c>
      <x:c r="D2965" s="30" t="str">
        <x:v>候选输入schema</x:v>
      </x:c>
      <x:c r="E2965" s="30" t="str">
        <x:v>按执行角色权限读取；策略只能使用可访问快照</x:v>
      </x:c>
    </x:row>
    <x:row r="2966" ht="32" customHeight="1">
      <x:c r="A2966" s="30" t="str">
        <x:v>A035</x:v>
      </x:c>
      <x:c r="B2966" s="30" t="str">
        <x:v>F264</x:v>
      </x:c>
      <x:c r="C2966" s="30" t="str">
        <x:v>link.state</x:v>
      </x:c>
      <x:c r="D2966" s="30" t="str">
        <x:v>候选输入schema</x:v>
      </x:c>
      <x:c r="E2966" s="30" t="str">
        <x:v>按执行角色权限读取；策略只能使用可访问快照</x:v>
      </x:c>
    </x:row>
    <x:row r="2967" ht="32" customHeight="1">
      <x:c r="A2967" s="30" t="str">
        <x:v>A035</x:v>
      </x:c>
      <x:c r="B2967" s="30" t="str">
        <x:v>F265</x:v>
      </x:c>
      <x:c r="C2967" s="30" t="str">
        <x:v>link.rssi_dbm</x:v>
      </x:c>
      <x:c r="D2967" s="30" t="str">
        <x:v>候选输入schema</x:v>
      </x:c>
      <x:c r="E2967" s="30" t="str">
        <x:v>按执行角色权限读取；策略只能使用可访问快照</x:v>
      </x:c>
    </x:row>
    <x:row r="2968" ht="32" customHeight="1">
      <x:c r="A2968" s="30" t="str">
        <x:v>A035</x:v>
      </x:c>
      <x:c r="B2968" s="30" t="str">
        <x:v>F266</x:v>
      </x:c>
      <x:c r="C2968" s="30" t="str">
        <x:v>link.sinr_db</x:v>
      </x:c>
      <x:c r="D2968" s="30" t="str">
        <x:v>候选输入schema</x:v>
      </x:c>
      <x:c r="E2968" s="30" t="str">
        <x:v>按执行角色权限读取；策略只能使用可访问快照</x:v>
      </x:c>
    </x:row>
    <x:row r="2969" ht="32" customHeight="1">
      <x:c r="A2969" s="30" t="str">
        <x:v>A035</x:v>
      </x:c>
      <x:c r="B2969" s="30" t="str">
        <x:v>F267</x:v>
      </x:c>
      <x:c r="C2969" s="30" t="str">
        <x:v>link.goodput_bps</x:v>
      </x:c>
      <x:c r="D2969" s="30" t="str">
        <x:v>候选输入schema</x:v>
      </x:c>
      <x:c r="E2969" s="30" t="str">
        <x:v>按执行角色权限读取；策略只能使用可访问快照</x:v>
      </x:c>
    </x:row>
    <x:row r="2970" ht="32" customHeight="1">
      <x:c r="A2970" s="30" t="str">
        <x:v>A035</x:v>
      </x:c>
      <x:c r="B2970" s="30" t="str">
        <x:v>F268</x:v>
      </x:c>
      <x:c r="C2970" s="30" t="str">
        <x:v>link.latency_s</x:v>
      </x:c>
      <x:c r="D2970" s="30" t="str">
        <x:v>候选输入schema</x:v>
      </x:c>
      <x:c r="E2970" s="30" t="str">
        <x:v>按执行角色权限读取；策略只能使用可访问快照</x:v>
      </x:c>
    </x:row>
    <x:row r="2971" ht="32" customHeight="1">
      <x:c r="A2971" s="30" t="str">
        <x:v>A035</x:v>
      </x:c>
      <x:c r="B2971" s="30" t="str">
        <x:v>F269</x:v>
      </x:c>
      <x:c r="C2971" s="30" t="str">
        <x:v>link.loss_rate</x:v>
      </x:c>
      <x:c r="D2971" s="30" t="str">
        <x:v>候选输入schema</x:v>
      </x:c>
      <x:c r="E2971" s="30" t="str">
        <x:v>按执行角色权限读取；策略只能使用可访问快照</x:v>
      </x:c>
    </x:row>
    <x:row r="2972" ht="32" customHeight="1">
      <x:c r="A2972" s="30" t="str">
        <x:v>A035</x:v>
      </x:c>
      <x:c r="B2972" s="30" t="str">
        <x:v>F270</x:v>
      </x:c>
      <x:c r="C2972" s="30" t="str">
        <x:v>link.sample_count</x:v>
      </x:c>
      <x:c r="D2972" s="30" t="str">
        <x:v>候选输入schema</x:v>
      </x:c>
      <x:c r="E2972" s="30" t="str">
        <x:v>按执行角色权限读取；策略只能使用可访问快照</x:v>
      </x:c>
    </x:row>
    <x:row r="2973" ht="32" customHeight="1">
      <x:c r="A2973" s="30" t="str">
        <x:v>A035</x:v>
      </x:c>
      <x:c r="B2973" s="30" t="str">
        <x:v>F271</x:v>
      </x:c>
      <x:c r="C2973" s="30" t="str">
        <x:v>link.sampled_at_s</x:v>
      </x:c>
      <x:c r="D2973" s="30" t="str">
        <x:v>候选输入schema</x:v>
      </x:c>
      <x:c r="E2973" s="30" t="str">
        <x:v>按执行角色权限读取；策略只能使用可访问快照</x:v>
      </x:c>
    </x:row>
    <x:row r="2974" ht="32" customHeight="1">
      <x:c r="A2974" s="30" t="str">
        <x:v>A035</x:v>
      </x:c>
      <x:c r="B2974" s="30" t="str">
        <x:v>F272</x:v>
      </x:c>
      <x:c r="C2974" s="30" t="str">
        <x:v>link.route</x:v>
      </x:c>
      <x:c r="D2974" s="30" t="str">
        <x:v>候选输入schema</x:v>
      </x:c>
      <x:c r="E2974" s="30" t="str">
        <x:v>按执行角色权限读取；策略只能使用可访问快照</x:v>
      </x:c>
    </x:row>
    <x:row r="2975" ht="32" customHeight="1">
      <x:c r="A2975" s="30" t="str">
        <x:v>A035</x:v>
      </x:c>
      <x:c r="B2975" s="30" t="str">
        <x:v>F273</x:v>
      </x:c>
      <x:c r="C2975" s="30" t="str">
        <x:v>link.outage_duration_s</x:v>
      </x:c>
      <x:c r="D2975" s="30" t="str">
        <x:v>候选输入schema</x:v>
      </x:c>
      <x:c r="E2975" s="30" t="str">
        <x:v>按执行角色权限读取；策略只能使用可访问快照</x:v>
      </x:c>
    </x:row>
    <x:row r="2976" ht="32" customHeight="1">
      <x:c r="A2976" s="30" t="str">
        <x:v>A035</x:v>
      </x:c>
      <x:c r="B2976" s="30" t="str">
        <x:v>F274</x:v>
      </x:c>
      <x:c r="C2976" s="30" t="str">
        <x:v>link.quality_source</x:v>
      </x:c>
      <x:c r="D2976" s="30" t="str">
        <x:v>候选输入schema</x:v>
      </x:c>
      <x:c r="E2976" s="30" t="str">
        <x:v>按执行角色权限读取；策略只能使用可访问快照</x:v>
      </x:c>
    </x:row>
    <x:row r="2977" ht="32" customHeight="1">
      <x:c r="A2977" s="30" t="str">
        <x:v>A035</x:v>
      </x:c>
      <x:c r="B2977" s="30" t="str">
        <x:v>F275</x:v>
      </x:c>
      <x:c r="C2977" s="30" t="str">
        <x:v>message.kind</x:v>
      </x:c>
      <x:c r="D2977" s="30" t="str">
        <x:v>候选输入schema</x:v>
      </x:c>
      <x:c r="E2977" s="30" t="str">
        <x:v>按执行角色权限读取；策略只能使用可访问快照</x:v>
      </x:c>
    </x:row>
    <x:row r="2978" ht="32" customHeight="1">
      <x:c r="A2978" s="30" t="str">
        <x:v>A035</x:v>
      </x:c>
      <x:c r="B2978" s="30" t="str">
        <x:v>F276</x:v>
      </x:c>
      <x:c r="C2978" s="30" t="str">
        <x:v>message.sender_id</x:v>
      </x:c>
      <x:c r="D2978" s="30" t="str">
        <x:v>候选输入schema</x:v>
      </x:c>
      <x:c r="E2978" s="30" t="str">
        <x:v>按执行角色权限读取；策略只能使用可访问快照</x:v>
      </x:c>
    </x:row>
    <x:row r="2979" ht="32" customHeight="1">
      <x:c r="A2979" s="30" t="str">
        <x:v>A035</x:v>
      </x:c>
      <x:c r="B2979" s="30" t="str">
        <x:v>F277</x:v>
      </x:c>
      <x:c r="C2979" s="30" t="str">
        <x:v>message.receiver_ids</x:v>
      </x:c>
      <x:c r="D2979" s="30" t="str">
        <x:v>候选输入schema</x:v>
      </x:c>
      <x:c r="E2979" s="30" t="str">
        <x:v>按执行角色权限读取；策略只能使用可访问快照</x:v>
      </x:c>
    </x:row>
    <x:row r="2980" ht="32" customHeight="1">
      <x:c r="A2980" s="30" t="str">
        <x:v>A035</x:v>
      </x:c>
      <x:c r="B2980" s="30" t="str">
        <x:v>F278</x:v>
      </x:c>
      <x:c r="C2980" s="30" t="str">
        <x:v>message.payload_ref</x:v>
      </x:c>
      <x:c r="D2980" s="30" t="str">
        <x:v>候选输入schema</x:v>
      </x:c>
      <x:c r="E2980" s="30" t="str">
        <x:v>按执行角色权限读取；策略只能使用可访问快照</x:v>
      </x:c>
    </x:row>
    <x:row r="2981" ht="32" customHeight="1">
      <x:c r="A2981" s="30" t="str">
        <x:v>A035</x:v>
      </x:c>
      <x:c r="B2981" s="30" t="str">
        <x:v>F279</x:v>
      </x:c>
      <x:c r="C2981" s="30" t="str">
        <x:v>message.size_bytes</x:v>
      </x:c>
      <x:c r="D2981" s="30" t="str">
        <x:v>候选输入schema</x:v>
      </x:c>
      <x:c r="E2981" s="30" t="str">
        <x:v>按执行角色权限读取；策略只能使用可访问快照</x:v>
      </x:c>
    </x:row>
    <x:row r="2982" ht="32" customHeight="1">
      <x:c r="A2982" s="30" t="str">
        <x:v>A035</x:v>
      </x:c>
      <x:c r="B2982" s="30" t="str">
        <x:v>F280</x:v>
      </x:c>
      <x:c r="C2982" s="30" t="str">
        <x:v>message.fragment_count</x:v>
      </x:c>
      <x:c r="D2982" s="30" t="str">
        <x:v>候选输入schema</x:v>
      </x:c>
      <x:c r="E2982" s="30" t="str">
        <x:v>按执行角色权限读取；策略只能使用可访问快照</x:v>
      </x:c>
    </x:row>
    <x:row r="2983" ht="32" customHeight="1">
      <x:c r="A2983" s="30" t="str">
        <x:v>A035</x:v>
      </x:c>
      <x:c r="B2983" s="30" t="str">
        <x:v>F281</x:v>
      </x:c>
      <x:c r="C2983" s="30" t="str">
        <x:v>message.received_fragments</x:v>
      </x:c>
      <x:c r="D2983" s="30" t="str">
        <x:v>候选输入schema</x:v>
      </x:c>
      <x:c r="E2983" s="30" t="str">
        <x:v>按执行角色权限读取；策略只能使用可访问快照</x:v>
      </x:c>
    </x:row>
    <x:row r="2984" ht="32" customHeight="1">
      <x:c r="A2984" s="30" t="str">
        <x:v>A035</x:v>
      </x:c>
      <x:c r="B2984" s="30" t="str">
        <x:v>F282</x:v>
      </x:c>
      <x:c r="C2984" s="30" t="str">
        <x:v>message.content_hash</x:v>
      </x:c>
      <x:c r="D2984" s="30" t="str">
        <x:v>候选输入schema</x:v>
      </x:c>
      <x:c r="E2984" s="30" t="str">
        <x:v>按执行角色权限读取；策略只能使用可访问快照</x:v>
      </x:c>
    </x:row>
    <x:row r="2985" ht="32" customHeight="1">
      <x:c r="A2985" s="30" t="str">
        <x:v>A035</x:v>
      </x:c>
      <x:c r="B2985" s="30" t="str">
        <x:v>F283</x:v>
      </x:c>
      <x:c r="C2985" s="30" t="str">
        <x:v>message.priority</x:v>
      </x:c>
      <x:c r="D2985" s="30" t="str">
        <x:v>候选输入schema</x:v>
      </x:c>
      <x:c r="E2985" s="30" t="str">
        <x:v>按执行角色权限读取；策略只能使用可访问快照</x:v>
      </x:c>
    </x:row>
    <x:row r="2986" ht="32" customHeight="1">
      <x:c r="A2986" s="30" t="str">
        <x:v>A035</x:v>
      </x:c>
      <x:c r="B2986" s="30" t="str">
        <x:v>F284</x:v>
      </x:c>
      <x:c r="C2986" s="30" t="str">
        <x:v>message.ttl_s</x:v>
      </x:c>
      <x:c r="D2986" s="30" t="str">
        <x:v>候选输入schema</x:v>
      </x:c>
      <x:c r="E2986" s="30" t="str">
        <x:v>按执行角色权限读取；策略只能使用可访问快照</x:v>
      </x:c>
    </x:row>
    <x:row r="2987" ht="32" customHeight="1">
      <x:c r="A2987" s="30" t="str">
        <x:v>A035</x:v>
      </x:c>
      <x:c r="B2987" s="30" t="str">
        <x:v>F285</x:v>
      </x:c>
      <x:c r="C2987" s="30" t="str">
        <x:v>message.status</x:v>
      </x:c>
      <x:c r="D2987" s="30" t="str">
        <x:v>候选输入schema</x:v>
      </x:c>
      <x:c r="E2987" s="30" t="str">
        <x:v>按执行角色权限读取；策略只能使用可访问快照</x:v>
      </x:c>
    </x:row>
    <x:row r="2988" ht="32" customHeight="1">
      <x:c r="A2988" s="30" t="str">
        <x:v>A035</x:v>
      </x:c>
      <x:c r="B2988" s="30" t="str">
        <x:v>F286</x:v>
      </x:c>
      <x:c r="C2988" s="30" t="str">
        <x:v>message.sent_s</x:v>
      </x:c>
      <x:c r="D2988" s="30" t="str">
        <x:v>候选输入schema</x:v>
      </x:c>
      <x:c r="E2988" s="30" t="str">
        <x:v>按执行角色权限读取；策略只能使用可访问快照</x:v>
      </x:c>
    </x:row>
    <x:row r="2989" ht="32" customHeight="1">
      <x:c r="A2989" s="30" t="str">
        <x:v>A035</x:v>
      </x:c>
      <x:c r="B2989" s="30" t="str">
        <x:v>F287</x:v>
      </x:c>
      <x:c r="C2989" s="30" t="str">
        <x:v>message.delivered_s</x:v>
      </x:c>
      <x:c r="D2989" s="30" t="str">
        <x:v>候选输入schema</x:v>
      </x:c>
      <x:c r="E2989" s="30" t="str">
        <x:v>按执行角色权限读取；策略只能使用可访问快照</x:v>
      </x:c>
    </x:row>
    <x:row r="2990" ht="32" customHeight="1">
      <x:c r="A2990" s="30" t="str">
        <x:v>A035</x:v>
      </x:c>
      <x:c r="B2990" s="30" t="str">
        <x:v>F288</x:v>
      </x:c>
      <x:c r="C2990" s="30" t="str">
        <x:v>message.ack_state</x:v>
      </x:c>
      <x:c r="D2990" s="30" t="str">
        <x:v>候选输入schema</x:v>
      </x:c>
      <x:c r="E2990" s="30" t="str">
        <x:v>按执行角色权限读取；策略只能使用可访问快照</x:v>
      </x:c>
    </x:row>
    <x:row r="2991" ht="32" customHeight="1">
      <x:c r="A2991" s="30" t="str">
        <x:v>A035</x:v>
      </x:c>
      <x:c r="B2991" s="30" t="str">
        <x:v>F289</x:v>
      </x:c>
      <x:c r="C2991" s="30" t="str">
        <x:v>message.retry_count</x:v>
      </x:c>
      <x:c r="D2991" s="30" t="str">
        <x:v>候选输入schema</x:v>
      </x:c>
      <x:c r="E2991" s="30" t="str">
        <x:v>按执行角色权限读取；策略只能使用可访问快照</x:v>
      </x:c>
    </x:row>
    <x:row r="2992" ht="32" customHeight="1">
      <x:c r="A2992" s="30" t="str">
        <x:v>A035</x:v>
      </x:c>
      <x:c r="B2992" s="30" t="str">
        <x:v>F290</x:v>
      </x:c>
      <x:c r="C2992" s="30" t="str">
        <x:v>message.hop_trace</x:v>
      </x:c>
      <x:c r="D2992" s="30" t="str">
        <x:v>候选输入schema</x:v>
      </x:c>
      <x:c r="E2992" s="30" t="str">
        <x:v>按执行角色权限读取；策略只能使用可访问快照</x:v>
      </x:c>
    </x:row>
    <x:row r="2993" ht="32" customHeight="1">
      <x:c r="A2993" s="30" t="str">
        <x:v>A035</x:v>
      </x:c>
      <x:c r="B2993" s="30" t="str">
        <x:v>F291</x:v>
      </x:c>
      <x:c r="C2993" s="30" t="str">
        <x:v>message.correlation_id</x:v>
      </x:c>
      <x:c r="D2993" s="30" t="str">
        <x:v>候选输入schema</x:v>
      </x:c>
      <x:c r="E2993" s="30" t="str">
        <x:v>按执行角色权限读取；策略只能使用可访问快照</x:v>
      </x:c>
    </x:row>
    <x:row r="2994" ht="32" customHeight="1">
      <x:c r="A2994" s="30" t="str">
        <x:v>A035</x:v>
      </x:c>
      <x:c r="B2994" s="30" t="str">
        <x:v>F292</x:v>
      </x:c>
      <x:c r="C2994" s="30" t="str">
        <x:v>message.local_availability</x:v>
      </x:c>
      <x:c r="D2994" s="30" t="str">
        <x:v>候选输入schema</x:v>
      </x:c>
      <x:c r="E2994" s="30" t="str">
        <x:v>按执行角色权限读取；策略只能使用可访问快照</x:v>
      </x:c>
    </x:row>
    <x:row r="2995" ht="32" customHeight="1">
      <x:c r="A2995" s="30" t="str">
        <x:v>A035</x:v>
      </x:c>
      <x:c r="B2995" s="30" t="str">
        <x:v>F349</x:v>
      </x:c>
      <x:c r="C2995" s="30" t="str">
        <x:v>cache.owner_id</x:v>
      </x:c>
      <x:c r="D2995" s="30" t="str">
        <x:v>候选输入schema</x:v>
      </x:c>
      <x:c r="E2995" s="30" t="str">
        <x:v>按执行角色权限读取；策略只能使用可访问快照</x:v>
      </x:c>
    </x:row>
    <x:row r="2996" ht="32" customHeight="1">
      <x:c r="A2996" s="30" t="str">
        <x:v>A035</x:v>
      </x:c>
      <x:c r="B2996" s="30" t="str">
        <x:v>F350</x:v>
      </x:c>
      <x:c r="C2996" s="30" t="str">
        <x:v>cache.kind</x:v>
      </x:c>
      <x:c r="D2996" s="30" t="str">
        <x:v>候选输入schema</x:v>
      </x:c>
      <x:c r="E2996" s="30" t="str">
        <x:v>按执行角色权限读取；策略只能使用可访问快照</x:v>
      </x:c>
    </x:row>
    <x:row r="2997" ht="32" customHeight="1">
      <x:c r="A2997" s="30" t="str">
        <x:v>A035</x:v>
      </x:c>
      <x:c r="B2997" s="30" t="str">
        <x:v>F351</x:v>
      </x:c>
      <x:c r="C2997" s="30" t="str">
        <x:v>cache.model_version</x:v>
      </x:c>
      <x:c r="D2997" s="30" t="str">
        <x:v>候选输入schema</x:v>
      </x:c>
      <x:c r="E2997" s="30" t="str">
        <x:v>按执行角色权限读取；策略只能使用可访问快照</x:v>
      </x:c>
    </x:row>
    <x:row r="2998" ht="32" customHeight="1">
      <x:c r="A2998" s="30" t="str">
        <x:v>A035</x:v>
      </x:c>
      <x:c r="B2998" s="30" t="str">
        <x:v>F352</x:v>
      </x:c>
      <x:c r="C2998" s="30" t="str">
        <x:v>cache.content_ids</x:v>
      </x:c>
      <x:c r="D2998" s="30" t="str">
        <x:v>候选输入schema</x:v>
      </x:c>
      <x:c r="E2998" s="30" t="str">
        <x:v>按执行角色权限读取；策略只能使用可访问快照</x:v>
      </x:c>
    </x:row>
    <x:row r="2999" ht="32" customHeight="1">
      <x:c r="A2999" s="30" t="str">
        <x:v>A035</x:v>
      </x:c>
      <x:c r="B2999" s="30" t="str">
        <x:v>F353</x:v>
      </x:c>
      <x:c r="C2999" s="30" t="str">
        <x:v>cache.size_bytes</x:v>
      </x:c>
      <x:c r="D2999" s="30" t="str">
        <x:v>候选输入schema</x:v>
      </x:c>
      <x:c r="E2999" s="30" t="str">
        <x:v>按执行角色权限读取；策略只能使用可访问快照</x:v>
      </x:c>
    </x:row>
    <x:row r="3000" ht="32" customHeight="1">
      <x:c r="A3000" s="30" t="str">
        <x:v>A035</x:v>
      </x:c>
      <x:c r="B3000" s="30" t="str">
        <x:v>F354</x:v>
      </x:c>
      <x:c r="C3000" s="30" t="str">
        <x:v>cache.location</x:v>
      </x:c>
      <x:c r="D3000" s="30" t="str">
        <x:v>候选输入schema</x:v>
      </x:c>
      <x:c r="E3000" s="30" t="str">
        <x:v>按执行角色权限读取；策略只能使用可访问快照</x:v>
      </x:c>
    </x:row>
    <x:row r="3001" ht="32" customHeight="1">
      <x:c r="A3001" s="30" t="str">
        <x:v>A035</x:v>
      </x:c>
      <x:c r="B3001" s="30" t="str">
        <x:v>F355</x:v>
      </x:c>
      <x:c r="C3001" s="30" t="str">
        <x:v>cache.valid_until_s</x:v>
      </x:c>
      <x:c r="D3001" s="30" t="str">
        <x:v>候选输入schema</x:v>
      </x:c>
      <x:c r="E3001" s="30" t="str">
        <x:v>按执行角色权限读取；策略只能使用可访问快照</x:v>
      </x:c>
    </x:row>
    <x:row r="3002" ht="32" customHeight="1">
      <x:c r="A3002" s="30" t="str">
        <x:v>A035</x:v>
      </x:c>
      <x:c r="B3002" s="30" t="str">
        <x:v>F356</x:v>
      </x:c>
      <x:c r="C3002" s="30" t="str">
        <x:v>cache.reuse_compatible</x:v>
      </x:c>
      <x:c r="D3002" s="30" t="str">
        <x:v>候选输入schema</x:v>
      </x:c>
      <x:c r="E3002" s="30" t="str">
        <x:v>按执行角色权限读取；策略只能使用可访问快照</x:v>
      </x:c>
    </x:row>
    <x:row r="3003" ht="32" customHeight="1">
      <x:c r="A3003" s="30" t="str">
        <x:v>A035</x:v>
      </x:c>
      <x:c r="B3003" s="30" t="str">
        <x:v>F357</x:v>
      </x:c>
      <x:c r="C3003" s="30" t="str">
        <x:v>cache.hit_count</x:v>
      </x:c>
      <x:c r="D3003" s="30" t="str">
        <x:v>候选输入schema</x:v>
      </x:c>
      <x:c r="E3003" s="30" t="str">
        <x:v>按执行角色权限读取；策略只能使用可访问快照</x:v>
      </x:c>
    </x:row>
    <x:row r="3004" ht="32" customHeight="1">
      <x:c r="A3004" s="30" t="str">
        <x:v>A035</x:v>
      </x:c>
      <x:c r="B3004" s="30" t="str">
        <x:v>F358</x:v>
      </x:c>
      <x:c r="C3004" s="30" t="str">
        <x:v>cache.eviction_state</x:v>
      </x:c>
      <x:c r="D3004" s="30" t="str">
        <x:v>候选输入schema</x:v>
      </x:c>
      <x:c r="E3004" s="30" t="str">
        <x:v>按执行角色权限读取；策略只能使用可访问快照</x:v>
      </x:c>
    </x:row>
    <x:row r="3005" ht="32" customHeight="1">
      <x:c r="A3005" s="30" t="str">
        <x:v>A035</x:v>
      </x:c>
      <x:c r="B3005" s="30" t="str">
        <x:v>F290</x:v>
      </x:c>
      <x:c r="C3005" s="30" t="str">
        <x:v>message.hop_trace</x:v>
      </x:c>
      <x:c r="D3005" s="30" t="str">
        <x:v>直接效果</x:v>
      </x:c>
      <x:c r="E3005" s="30" t="str">
        <x:v>经实际执行/回执提交；不是规划时提前修改</x:v>
      </x:c>
    </x:row>
    <x:row r="3006" ht="32" customHeight="1">
      <x:c r="A3006" s="30" t="str">
        <x:v>A035</x:v>
      </x:c>
      <x:c r="B3006" s="30" t="str">
        <x:v>F285</x:v>
      </x:c>
      <x:c r="C3006" s="30" t="str">
        <x:v>message.status</x:v>
      </x:c>
      <x:c r="D3006" s="30" t="str">
        <x:v>直接效果</x:v>
      </x:c>
      <x:c r="E3006" s="30" t="str">
        <x:v>经实际执行/回执提交；不是规划时提前修改</x:v>
      </x:c>
    </x:row>
    <x:row r="3007" ht="32" customHeight="1">
      <x:c r="A3007" s="30" t="str">
        <x:v>A035</x:v>
      </x:c>
      <x:c r="B3007" s="30" t="str">
        <x:v>F253</x:v>
      </x:c>
      <x:c r="C3007" s="30" t="str">
        <x:v>radio.queue_bytes</x:v>
      </x:c>
      <x:c r="D3007" s="30" t="str">
        <x:v>直接效果</x:v>
      </x:c>
      <x:c r="E3007" s="30" t="str">
        <x:v>经实际执行/回执提交；不是规划时提前修改</x:v>
      </x:c>
    </x:row>
    <x:row r="3008" ht="32" customHeight="1">
      <x:c r="A3008" s="30" t="str">
        <x:v>A036</x:v>
      </x:c>
      <x:c r="B3008" s="30" t="str">
        <x:v>F166</x:v>
      </x:c>
      <x:c r="C3008" s="30" t="str">
        <x:v>observation.observer_id</x:v>
      </x:c>
      <x:c r="D3008" s="30" t="str">
        <x:v>候选输入schema</x:v>
      </x:c>
      <x:c r="E3008" s="30" t="str">
        <x:v>按执行角色权限读取；策略只能使用可访问快照</x:v>
      </x:c>
    </x:row>
    <x:row r="3009" ht="32" customHeight="1">
      <x:c r="A3009" s="30" t="str">
        <x:v>A036</x:v>
      </x:c>
      <x:c r="B3009" s="30" t="str">
        <x:v>F167</x:v>
      </x:c>
      <x:c r="C3009" s="30" t="str">
        <x:v>observation.sensor_id</x:v>
      </x:c>
      <x:c r="D3009" s="30" t="str">
        <x:v>候选输入schema</x:v>
      </x:c>
      <x:c r="E3009" s="30" t="str">
        <x:v>按执行角色权限读取；策略只能使用可访问快照</x:v>
      </x:c>
    </x:row>
    <x:row r="3010" ht="32" customHeight="1">
      <x:c r="A3010" s="30" t="str">
        <x:v>A036</x:v>
      </x:c>
      <x:c r="B3010" s="30" t="str">
        <x:v>F168</x:v>
      </x:c>
      <x:c r="C3010" s="30" t="str">
        <x:v>observation.captured_at_s</x:v>
      </x:c>
      <x:c r="D3010" s="30" t="str">
        <x:v>候选输入schema</x:v>
      </x:c>
      <x:c r="E3010" s="30" t="str">
        <x:v>按执行角色权限读取；策略只能使用可访问快照</x:v>
      </x:c>
    </x:row>
    <x:row r="3011" ht="32" customHeight="1">
      <x:c r="A3011" s="30" t="str">
        <x:v>A036</x:v>
      </x:c>
      <x:c r="B3011" s="30" t="str">
        <x:v>F169</x:v>
      </x:c>
      <x:c r="C3011" s="30" t="str">
        <x:v>observation.pose_estimate</x:v>
      </x:c>
      <x:c r="D3011" s="30" t="str">
        <x:v>候选输入schema</x:v>
      </x:c>
      <x:c r="E3011" s="30" t="str">
        <x:v>按执行角色权限读取；策略只能使用可访问快照</x:v>
      </x:c>
    </x:row>
    <x:row r="3012" ht="32" customHeight="1">
      <x:c r="A3012" s="30" t="str">
        <x:v>A036</x:v>
      </x:c>
      <x:c r="B3012" s="30" t="str">
        <x:v>F170</x:v>
      </x:c>
      <x:c r="C3012" s="30" t="str">
        <x:v>observation.payload_ref</x:v>
      </x:c>
      <x:c r="D3012" s="30" t="str">
        <x:v>候选输入schema</x:v>
      </x:c>
      <x:c r="E3012" s="30" t="str">
        <x:v>按执行角色权限读取；策略只能使用可访问快照</x:v>
      </x:c>
    </x:row>
    <x:row r="3013" ht="32" customHeight="1">
      <x:c r="A3013" s="30" t="str">
        <x:v>A036</x:v>
      </x:c>
      <x:c r="B3013" s="30" t="str">
        <x:v>F171</x:v>
      </x:c>
      <x:c r="C3013" s="30" t="str">
        <x:v>observation.payload_bytes</x:v>
      </x:c>
      <x:c r="D3013" s="30" t="str">
        <x:v>候选输入schema</x:v>
      </x:c>
      <x:c r="E3013" s="30" t="str">
        <x:v>按执行角色权限读取；策略只能使用可访问快照</x:v>
      </x:c>
    </x:row>
    <x:row r="3014" ht="32" customHeight="1">
      <x:c r="A3014" s="30" t="str">
        <x:v>A036</x:v>
      </x:c>
      <x:c r="B3014" s="30" t="str">
        <x:v>F172</x:v>
      </x:c>
      <x:c r="C3014" s="30" t="str">
        <x:v>observation.content_hash</x:v>
      </x:c>
      <x:c r="D3014" s="30" t="str">
        <x:v>候选输入schema</x:v>
      </x:c>
      <x:c r="E3014" s="30" t="str">
        <x:v>按执行角色权限读取；策略只能使用可访问快照</x:v>
      </x:c>
    </x:row>
    <x:row r="3015" ht="32" customHeight="1">
      <x:c r="A3015" s="30" t="str">
        <x:v>A036</x:v>
      </x:c>
      <x:c r="B3015" s="30" t="str">
        <x:v>F173</x:v>
      </x:c>
      <x:c r="C3015" s="30" t="str">
        <x:v>observation.modality</x:v>
      </x:c>
      <x:c r="D3015" s="30" t="str">
        <x:v>候选输入schema</x:v>
      </x:c>
      <x:c r="E3015" s="30" t="str">
        <x:v>按执行角色权限读取；策略只能使用可访问快照</x:v>
      </x:c>
    </x:row>
    <x:row r="3016" ht="32" customHeight="1">
      <x:c r="A3016" s="30" t="str">
        <x:v>A036</x:v>
      </x:c>
      <x:c r="B3016" s="30" t="str">
        <x:v>F174</x:v>
      </x:c>
      <x:c r="C3016" s="30" t="str">
        <x:v>observation.detections</x:v>
      </x:c>
      <x:c r="D3016" s="30" t="str">
        <x:v>候选输入schema</x:v>
      </x:c>
      <x:c r="E3016" s="30" t="str">
        <x:v>按执行角色权限读取；策略只能使用可访问快照</x:v>
      </x:c>
    </x:row>
    <x:row r="3017" ht="32" customHeight="1">
      <x:c r="A3017" s="30" t="str">
        <x:v>A036</x:v>
      </x:c>
      <x:c r="B3017" s="30" t="str">
        <x:v>F175</x:v>
      </x:c>
      <x:c r="C3017" s="30" t="str">
        <x:v>observation.confidence</x:v>
      </x:c>
      <x:c r="D3017" s="30" t="str">
        <x:v>候选输入schema</x:v>
      </x:c>
      <x:c r="E3017" s="30" t="str">
        <x:v>按执行角色权限读取；策略只能使用可访问快照</x:v>
      </x:c>
    </x:row>
    <x:row r="3018" ht="32" customHeight="1">
      <x:c r="A3018" s="30" t="str">
        <x:v>A036</x:v>
      </x:c>
      <x:c r="B3018" s="30" t="str">
        <x:v>F176</x:v>
      </x:c>
      <x:c r="C3018" s="30" t="str">
        <x:v>observation.coverage_estimate</x:v>
      </x:c>
      <x:c r="D3018" s="30" t="str">
        <x:v>候选输入schema</x:v>
      </x:c>
      <x:c r="E3018" s="30" t="str">
        <x:v>按执行角色权限读取；策略只能使用可访问快照</x:v>
      </x:c>
    </x:row>
    <x:row r="3019" ht="32" customHeight="1">
      <x:c r="A3019" s="30" t="str">
        <x:v>A036</x:v>
      </x:c>
      <x:c r="B3019" s="30" t="str">
        <x:v>F177</x:v>
      </x:c>
      <x:c r="C3019" s="30" t="str">
        <x:v>observation.processing_job_id</x:v>
      </x:c>
      <x:c r="D3019" s="30" t="str">
        <x:v>候选输入schema</x:v>
      </x:c>
      <x:c r="E3019" s="30" t="str">
        <x:v>按执行角色权限读取；策略只能使用可访问快照</x:v>
      </x:c>
    </x:row>
    <x:row r="3020" ht="32" customHeight="1">
      <x:c r="A3020" s="30" t="str">
        <x:v>A036</x:v>
      </x:c>
      <x:c r="B3020" s="30" t="str">
        <x:v>F178</x:v>
      </x:c>
      <x:c r="C3020" s="30" t="str">
        <x:v>observation.parent_evidence_ids</x:v>
      </x:c>
      <x:c r="D3020" s="30" t="str">
        <x:v>候选输入schema</x:v>
      </x:c>
      <x:c r="E3020" s="30" t="str">
        <x:v>按执行角色权限读取；策略只能使用可访问快照</x:v>
      </x:c>
    </x:row>
    <x:row r="3021" ht="32" customHeight="1">
      <x:c r="A3021" s="30" t="str">
        <x:v>A036</x:v>
      </x:c>
      <x:c r="B3021" s="30" t="str">
        <x:v>F179</x:v>
      </x:c>
      <x:c r="C3021" s="30" t="str">
        <x:v>observation.valid_until_s</x:v>
      </x:c>
      <x:c r="D3021" s="30" t="str">
        <x:v>候选输入schema</x:v>
      </x:c>
      <x:c r="E3021" s="30" t="str">
        <x:v>按执行角色权限读取；策略只能使用可访问快照</x:v>
      </x:c>
    </x:row>
    <x:row r="3022" ht="32" customHeight="1">
      <x:c r="A3022" s="30" t="str">
        <x:v>A036</x:v>
      </x:c>
      <x:c r="B3022" s="30" t="str">
        <x:v>F180</x:v>
      </x:c>
      <x:c r="C3022" s="30" t="str">
        <x:v>observation.mode</x:v>
      </x:c>
      <x:c r="D3022" s="30" t="str">
        <x:v>候选输入schema</x:v>
      </x:c>
      <x:c r="E3022" s="30" t="str">
        <x:v>按执行角色权限读取；策略只能使用可访问快照</x:v>
      </x:c>
    </x:row>
    <x:row r="3023" ht="32" customHeight="1">
      <x:c r="A3023" s="30" t="str">
        <x:v>A036</x:v>
      </x:c>
      <x:c r="B3023" s="30" t="str">
        <x:v>F220</x:v>
      </x:c>
      <x:c r="C3023" s="30" t="str">
        <x:v>assignment.task_ref</x:v>
      </x:c>
      <x:c r="D3023" s="30" t="str">
        <x:v>候选输入schema</x:v>
      </x:c>
      <x:c r="E3023" s="30" t="str">
        <x:v>按执行角色权限读取；策略只能使用可访问快照</x:v>
      </x:c>
    </x:row>
    <x:row r="3024" ht="32" customHeight="1">
      <x:c r="A3024" s="30" t="str">
        <x:v>A036</x:v>
      </x:c>
      <x:c r="B3024" s="30" t="str">
        <x:v>F221</x:v>
      </x:c>
      <x:c r="C3024" s="30" t="str">
        <x:v>assignment.sender_id</x:v>
      </x:c>
      <x:c r="D3024" s="30" t="str">
        <x:v>候选输入schema</x:v>
      </x:c>
      <x:c r="E3024" s="30" t="str">
        <x:v>按执行角色权限读取；策略只能使用可访问快照</x:v>
      </x:c>
    </x:row>
    <x:row r="3025" ht="32" customHeight="1">
      <x:c r="A3025" s="30" t="str">
        <x:v>A036</x:v>
      </x:c>
      <x:c r="B3025" s="30" t="str">
        <x:v>F222</x:v>
      </x:c>
      <x:c r="C3025" s="30" t="str">
        <x:v>assignment.receiver_id</x:v>
      </x:c>
      <x:c r="D3025" s="30" t="str">
        <x:v>候选输入schema</x:v>
      </x:c>
      <x:c r="E3025" s="30" t="str">
        <x:v>按执行角色权限读取；策略只能使用可访问快照</x:v>
      </x:c>
    </x:row>
    <x:row r="3026" ht="32" customHeight="1">
      <x:c r="A3026" s="30" t="str">
        <x:v>A036</x:v>
      </x:c>
      <x:c r="B3026" s="30" t="str">
        <x:v>F223</x:v>
      </x:c>
      <x:c r="C3026" s="30" t="str">
        <x:v>assignment.bid</x:v>
      </x:c>
      <x:c r="D3026" s="30" t="str">
        <x:v>候选输入schema</x:v>
      </x:c>
      <x:c r="E3026" s="30" t="str">
        <x:v>按执行角色权限读取；策略只能使用可访问快照</x:v>
      </x:c>
    </x:row>
    <x:row r="3027" ht="32" customHeight="1">
      <x:c r="A3027" s="30" t="str">
        <x:v>A036</x:v>
      </x:c>
      <x:c r="B3027" s="30" t="str">
        <x:v>F224</x:v>
      </x:c>
      <x:c r="C3027" s="30" t="str">
        <x:v>assignment.message_id</x:v>
      </x:c>
      <x:c r="D3027" s="30" t="str">
        <x:v>候选输入schema</x:v>
      </x:c>
      <x:c r="E3027" s="30" t="str">
        <x:v>按执行角色权限读取；策略只能使用可访问快照</x:v>
      </x:c>
    </x:row>
    <x:row r="3028" ht="32" customHeight="1">
      <x:c r="A3028" s="30" t="str">
        <x:v>A036</x:v>
      </x:c>
      <x:c r="B3028" s="30" t="str">
        <x:v>F225</x:v>
      </x:c>
      <x:c r="C3028" s="30" t="str">
        <x:v>assignment.delivery_state</x:v>
      </x:c>
      <x:c r="D3028" s="30" t="str">
        <x:v>候选输入schema</x:v>
      </x:c>
      <x:c r="E3028" s="30" t="str">
        <x:v>按执行角色权限读取；策略只能使用可访问快照</x:v>
      </x:c>
    </x:row>
    <x:row r="3029" ht="32" customHeight="1">
      <x:c r="A3029" s="30" t="str">
        <x:v>A036</x:v>
      </x:c>
      <x:c r="B3029" s="30" t="str">
        <x:v>F226</x:v>
      </x:c>
      <x:c r="C3029" s="30" t="str">
        <x:v>assignment.decision</x:v>
      </x:c>
      <x:c r="D3029" s="30" t="str">
        <x:v>候选输入schema</x:v>
      </x:c>
      <x:c r="E3029" s="30" t="str">
        <x:v>按执行角色权限读取；策略只能使用可访问快照</x:v>
      </x:c>
    </x:row>
    <x:row r="3030" ht="32" customHeight="1">
      <x:c r="A3030" s="30" t="str">
        <x:v>A036</x:v>
      </x:c>
      <x:c r="B3030" s="30" t="str">
        <x:v>F227</x:v>
      </x:c>
      <x:c r="C3030" s="30" t="str">
        <x:v>assignment.decision_reason</x:v>
      </x:c>
      <x:c r="D3030" s="30" t="str">
        <x:v>候选输入schema</x:v>
      </x:c>
      <x:c r="E3030" s="30" t="str">
        <x:v>按执行角色权限读取；策略只能使用可访问快照</x:v>
      </x:c>
    </x:row>
    <x:row r="3031" ht="32" customHeight="1">
      <x:c r="A3031" s="30" t="str">
        <x:v>A036</x:v>
      </x:c>
      <x:c r="B3031" s="30" t="str">
        <x:v>F228</x:v>
      </x:c>
      <x:c r="C3031" s="30" t="str">
        <x:v>assignment.lease_end_s</x:v>
      </x:c>
      <x:c r="D3031" s="30" t="str">
        <x:v>候选输入schema</x:v>
      </x:c>
      <x:c r="E3031" s="30" t="str">
        <x:v>按执行角色权限读取；策略只能使用可访问快照</x:v>
      </x:c>
    </x:row>
    <x:row r="3032" ht="32" customHeight="1">
      <x:c r="A3032" s="30" t="str">
        <x:v>A036</x:v>
      </x:c>
      <x:c r="B3032" s="30" t="str">
        <x:v>F229</x:v>
      </x:c>
      <x:c r="C3032" s="30" t="str">
        <x:v>assignment.acknowledged_revision</x:v>
      </x:c>
      <x:c r="D3032" s="30" t="str">
        <x:v>候选输入schema</x:v>
      </x:c>
      <x:c r="E3032" s="30" t="str">
        <x:v>按执行角色权限读取；策略只能使用可访问快照</x:v>
      </x:c>
    </x:row>
    <x:row r="3033" ht="32" customHeight="1">
      <x:c r="A3033" s="30" t="str">
        <x:v>A036</x:v>
      </x:c>
      <x:c r="B3033" s="30" t="str">
        <x:v>F246</x:v>
      </x:c>
      <x:c r="C3033" s="30" t="str">
        <x:v>radio.interface_id</x:v>
      </x:c>
      <x:c r="D3033" s="30" t="str">
        <x:v>候选输入schema</x:v>
      </x:c>
      <x:c r="E3033" s="30" t="str">
        <x:v>按执行角色权限读取；策略只能使用可访问快照</x:v>
      </x:c>
    </x:row>
    <x:row r="3034" ht="32" customHeight="1">
      <x:c r="A3034" s="30" t="str">
        <x:v>A036</x:v>
      </x:c>
      <x:c r="B3034" s="30" t="str">
        <x:v>F247</x:v>
      </x:c>
      <x:c r="C3034" s="30" t="str">
        <x:v>radio.protocol</x:v>
      </x:c>
      <x:c r="D3034" s="30" t="str">
        <x:v>候选输入schema</x:v>
      </x:c>
      <x:c r="E3034" s="30" t="str">
        <x:v>按执行角色权限读取；策略只能使用可访问快照</x:v>
      </x:c>
    </x:row>
    <x:row r="3035" ht="32" customHeight="1">
      <x:c r="A3035" s="30" t="str">
        <x:v>A036</x:v>
      </x:c>
      <x:c r="B3035" s="30" t="str">
        <x:v>F248</x:v>
      </x:c>
      <x:c r="C3035" s="30" t="str">
        <x:v>radio.channel</x:v>
      </x:c>
      <x:c r="D3035" s="30" t="str">
        <x:v>候选输入schema</x:v>
      </x:c>
      <x:c r="E3035" s="30" t="str">
        <x:v>按执行角色权限读取；策略只能使用可访问快照</x:v>
      </x:c>
    </x:row>
    <x:row r="3036" ht="32" customHeight="1">
      <x:c r="A3036" s="30" t="str">
        <x:v>A036</x:v>
      </x:c>
      <x:c r="B3036" s="30" t="str">
        <x:v>F249</x:v>
      </x:c>
      <x:c r="C3036" s="30" t="str">
        <x:v>radio.tx_power_dbm</x:v>
      </x:c>
      <x:c r="D3036" s="30" t="str">
        <x:v>候选输入schema</x:v>
      </x:c>
      <x:c r="E3036" s="30" t="str">
        <x:v>按执行角色权限读取；策略只能使用可访问快照</x:v>
      </x:c>
    </x:row>
    <x:row r="3037" ht="32" customHeight="1">
      <x:c r="A3037" s="30" t="str">
        <x:v>A036</x:v>
      </x:c>
      <x:c r="B3037" s="30" t="str">
        <x:v>F250</x:v>
      </x:c>
      <x:c r="C3037" s="30" t="str">
        <x:v>radio.antenna</x:v>
      </x:c>
      <x:c r="D3037" s="30" t="str">
        <x:v>候选输入schema</x:v>
      </x:c>
      <x:c r="E3037" s="30" t="str">
        <x:v>按执行角色权限读取；策略只能使用可访问快照</x:v>
      </x:c>
    </x:row>
    <x:row r="3038" ht="32" customHeight="1">
      <x:c r="A3038" s="30" t="str">
        <x:v>A036</x:v>
      </x:c>
      <x:c r="B3038" s="30" t="str">
        <x:v>F251</x:v>
      </x:c>
      <x:c r="C3038" s="30" t="str">
        <x:v>radio.enabled</x:v>
      </x:c>
      <x:c r="D3038" s="30" t="str">
        <x:v>候选输入schema</x:v>
      </x:c>
      <x:c r="E3038" s="30" t="str">
        <x:v>按执行角色权限读取；策略只能使用可访问快照</x:v>
      </x:c>
    </x:row>
    <x:row r="3039" ht="32" customHeight="1">
      <x:c r="A3039" s="30" t="str">
        <x:v>A036</x:v>
      </x:c>
      <x:c r="B3039" s="30" t="str">
        <x:v>F252</x:v>
      </x:c>
      <x:c r="C3039" s="30" t="str">
        <x:v>radio.phy_state</x:v>
      </x:c>
      <x:c r="D3039" s="30" t="str">
        <x:v>候选输入schema</x:v>
      </x:c>
      <x:c r="E3039" s="30" t="str">
        <x:v>按执行角色权限读取；策略只能使用可访问快照</x:v>
      </x:c>
    </x:row>
    <x:row r="3040" ht="32" customHeight="1">
      <x:c r="A3040" s="30" t="str">
        <x:v>A036</x:v>
      </x:c>
      <x:c r="B3040" s="30" t="str">
        <x:v>F253</x:v>
      </x:c>
      <x:c r="C3040" s="30" t="str">
        <x:v>radio.queue_bytes</x:v>
      </x:c>
      <x:c r="D3040" s="30" t="str">
        <x:v>候选输入schema</x:v>
      </x:c>
      <x:c r="E3040" s="30" t="str">
        <x:v>按执行角色权限读取；策略只能使用可访问快照</x:v>
      </x:c>
    </x:row>
    <x:row r="3041" ht="32" customHeight="1">
      <x:c r="A3041" s="30" t="str">
        <x:v>A036</x:v>
      </x:c>
      <x:c r="B3041" s="30" t="str">
        <x:v>F254</x:v>
      </x:c>
      <x:c r="C3041" s="30" t="str">
        <x:v>radio.queue_limit_bytes</x:v>
      </x:c>
      <x:c r="D3041" s="30" t="str">
        <x:v>候选输入schema</x:v>
      </x:c>
      <x:c r="E3041" s="30" t="str">
        <x:v>按执行角色权限读取；策略只能使用可访问快照</x:v>
      </x:c>
    </x:row>
    <x:row r="3042" ht="32" customHeight="1">
      <x:c r="A3042" s="30" t="str">
        <x:v>A036</x:v>
      </x:c>
      <x:c r="B3042" s="30" t="str">
        <x:v>F255</x:v>
      </x:c>
      <x:c r="C3042" s="30" t="str">
        <x:v>radio.mtu_bytes</x:v>
      </x:c>
      <x:c r="D3042" s="30" t="str">
        <x:v>候选输入schema</x:v>
      </x:c>
      <x:c r="E3042" s="30" t="str">
        <x:v>按执行角色权限读取；策略只能使用可访问快照</x:v>
      </x:c>
    </x:row>
    <x:row r="3043" ht="32" customHeight="1">
      <x:c r="A3043" s="30" t="str">
        <x:v>A036</x:v>
      </x:c>
      <x:c r="B3043" s="30" t="str">
        <x:v>F256</x:v>
      </x:c>
      <x:c r="C3043" s="30" t="str">
        <x:v>radio.retry_limit</x:v>
      </x:c>
      <x:c r="D3043" s="30" t="str">
        <x:v>候选输入schema</x:v>
      </x:c>
      <x:c r="E3043" s="30" t="str">
        <x:v>按执行角色权限读取；策略只能使用可访问快照</x:v>
      </x:c>
    </x:row>
    <x:row r="3044" ht="32" customHeight="1">
      <x:c r="A3044" s="30" t="str">
        <x:v>A036</x:v>
      </x:c>
      <x:c r="B3044" s="30" t="str">
        <x:v>F257</x:v>
      </x:c>
      <x:c r="C3044" s="30" t="str">
        <x:v>radio.routing_mode</x:v>
      </x:c>
      <x:c r="D3044" s="30" t="str">
        <x:v>候选输入schema</x:v>
      </x:c>
      <x:c r="E3044" s="30" t="str">
        <x:v>按执行角色权限读取；策略只能使用可访问快照</x:v>
      </x:c>
    </x:row>
    <x:row r="3045" ht="32" customHeight="1">
      <x:c r="A3045" s="30" t="str">
        <x:v>A036</x:v>
      </x:c>
      <x:c r="B3045" s="30" t="str">
        <x:v>F258</x:v>
      </x:c>
      <x:c r="C3045" s="30" t="str">
        <x:v>radio.energy_Wh</x:v>
      </x:c>
      <x:c r="D3045" s="30" t="str">
        <x:v>候选输入schema</x:v>
      </x:c>
      <x:c r="E3045" s="30" t="str">
        <x:v>按执行角色权限读取；策略只能使用可访问快照</x:v>
      </x:c>
    </x:row>
    <x:row r="3046" ht="32" customHeight="1">
      <x:c r="A3046" s="30" t="str">
        <x:v>A036</x:v>
      </x:c>
      <x:c r="B3046" s="30" t="str">
        <x:v>F259</x:v>
      </x:c>
      <x:c r="C3046" s="30" t="str">
        <x:v>radio.position_source</x:v>
      </x:c>
      <x:c r="D3046" s="30" t="str">
        <x:v>候选输入schema</x:v>
      </x:c>
      <x:c r="E3046" s="30" t="str">
        <x:v>按执行角色权限读取；策略只能使用可访问快照</x:v>
      </x:c>
    </x:row>
    <x:row r="3047" ht="32" customHeight="1">
      <x:c r="A3047" s="30" t="str">
        <x:v>A036</x:v>
      </x:c>
      <x:c r="B3047" s="30" t="str">
        <x:v>F260</x:v>
      </x:c>
      <x:c r="C3047" s="30" t="str">
        <x:v>radio.last_contact_s</x:v>
      </x:c>
      <x:c r="D3047" s="30" t="str">
        <x:v>候选输入schema</x:v>
      </x:c>
      <x:c r="E3047" s="30" t="str">
        <x:v>按执行角色权限读取；策略只能使用可访问快照</x:v>
      </x:c>
    </x:row>
    <x:row r="3048" ht="32" customHeight="1">
      <x:c r="A3048" s="30" t="str">
        <x:v>A036</x:v>
      </x:c>
      <x:c r="B3048" s="30" t="str">
        <x:v>F261</x:v>
      </x:c>
      <x:c r="C3048" s="30" t="str">
        <x:v>radio.relay_enabled</x:v>
      </x:c>
      <x:c r="D3048" s="30" t="str">
        <x:v>候选输入schema</x:v>
      </x:c>
      <x:c r="E3048" s="30" t="str">
        <x:v>按执行角色权限读取；策略只能使用可访问快照</x:v>
      </x:c>
    </x:row>
    <x:row r="3049" ht="32" customHeight="1">
      <x:c r="A3049" s="30" t="str">
        <x:v>A036</x:v>
      </x:c>
      <x:c r="B3049" s="30" t="str">
        <x:v>F262</x:v>
      </x:c>
      <x:c r="C3049" s="30" t="str">
        <x:v>link.sender_id</x:v>
      </x:c>
      <x:c r="D3049" s="30" t="str">
        <x:v>候选输入schema</x:v>
      </x:c>
      <x:c r="E3049" s="30" t="str">
        <x:v>按执行角色权限读取；策略只能使用可访问快照</x:v>
      </x:c>
    </x:row>
    <x:row r="3050" ht="32" customHeight="1">
      <x:c r="A3050" s="30" t="str">
        <x:v>A036</x:v>
      </x:c>
      <x:c r="B3050" s="30" t="str">
        <x:v>F263</x:v>
      </x:c>
      <x:c r="C3050" s="30" t="str">
        <x:v>link.receiver_id</x:v>
      </x:c>
      <x:c r="D3050" s="30" t="str">
        <x:v>候选输入schema</x:v>
      </x:c>
      <x:c r="E3050" s="30" t="str">
        <x:v>按执行角色权限读取；策略只能使用可访问快照</x:v>
      </x:c>
    </x:row>
    <x:row r="3051" ht="32" customHeight="1">
      <x:c r="A3051" s="30" t="str">
        <x:v>A036</x:v>
      </x:c>
      <x:c r="B3051" s="30" t="str">
        <x:v>F264</x:v>
      </x:c>
      <x:c r="C3051" s="30" t="str">
        <x:v>link.state</x:v>
      </x:c>
      <x:c r="D3051" s="30" t="str">
        <x:v>候选输入schema</x:v>
      </x:c>
      <x:c r="E3051" s="30" t="str">
        <x:v>按执行角色权限读取；策略只能使用可访问快照</x:v>
      </x:c>
    </x:row>
    <x:row r="3052" ht="32" customHeight="1">
      <x:c r="A3052" s="30" t="str">
        <x:v>A036</x:v>
      </x:c>
      <x:c r="B3052" s="30" t="str">
        <x:v>F265</x:v>
      </x:c>
      <x:c r="C3052" s="30" t="str">
        <x:v>link.rssi_dbm</x:v>
      </x:c>
      <x:c r="D3052" s="30" t="str">
        <x:v>候选输入schema</x:v>
      </x:c>
      <x:c r="E3052" s="30" t="str">
        <x:v>按执行角色权限读取；策略只能使用可访问快照</x:v>
      </x:c>
    </x:row>
    <x:row r="3053" ht="32" customHeight="1">
      <x:c r="A3053" s="30" t="str">
        <x:v>A036</x:v>
      </x:c>
      <x:c r="B3053" s="30" t="str">
        <x:v>F266</x:v>
      </x:c>
      <x:c r="C3053" s="30" t="str">
        <x:v>link.sinr_db</x:v>
      </x:c>
      <x:c r="D3053" s="30" t="str">
        <x:v>候选输入schema</x:v>
      </x:c>
      <x:c r="E3053" s="30" t="str">
        <x:v>按执行角色权限读取；策略只能使用可访问快照</x:v>
      </x:c>
    </x:row>
    <x:row r="3054" ht="32" customHeight="1">
      <x:c r="A3054" s="30" t="str">
        <x:v>A036</x:v>
      </x:c>
      <x:c r="B3054" s="30" t="str">
        <x:v>F267</x:v>
      </x:c>
      <x:c r="C3054" s="30" t="str">
        <x:v>link.goodput_bps</x:v>
      </x:c>
      <x:c r="D3054" s="30" t="str">
        <x:v>候选输入schema</x:v>
      </x:c>
      <x:c r="E3054" s="30" t="str">
        <x:v>按执行角色权限读取；策略只能使用可访问快照</x:v>
      </x:c>
    </x:row>
    <x:row r="3055" ht="32" customHeight="1">
      <x:c r="A3055" s="30" t="str">
        <x:v>A036</x:v>
      </x:c>
      <x:c r="B3055" s="30" t="str">
        <x:v>F268</x:v>
      </x:c>
      <x:c r="C3055" s="30" t="str">
        <x:v>link.latency_s</x:v>
      </x:c>
      <x:c r="D3055" s="30" t="str">
        <x:v>候选输入schema</x:v>
      </x:c>
      <x:c r="E3055" s="30" t="str">
        <x:v>按执行角色权限读取；策略只能使用可访问快照</x:v>
      </x:c>
    </x:row>
    <x:row r="3056" ht="32" customHeight="1">
      <x:c r="A3056" s="30" t="str">
        <x:v>A036</x:v>
      </x:c>
      <x:c r="B3056" s="30" t="str">
        <x:v>F269</x:v>
      </x:c>
      <x:c r="C3056" s="30" t="str">
        <x:v>link.loss_rate</x:v>
      </x:c>
      <x:c r="D3056" s="30" t="str">
        <x:v>候选输入schema</x:v>
      </x:c>
      <x:c r="E3056" s="30" t="str">
        <x:v>按执行角色权限读取；策略只能使用可访问快照</x:v>
      </x:c>
    </x:row>
    <x:row r="3057" ht="32" customHeight="1">
      <x:c r="A3057" s="30" t="str">
        <x:v>A036</x:v>
      </x:c>
      <x:c r="B3057" s="30" t="str">
        <x:v>F270</x:v>
      </x:c>
      <x:c r="C3057" s="30" t="str">
        <x:v>link.sample_count</x:v>
      </x:c>
      <x:c r="D3057" s="30" t="str">
        <x:v>候选输入schema</x:v>
      </x:c>
      <x:c r="E3057" s="30" t="str">
        <x:v>按执行角色权限读取；策略只能使用可访问快照</x:v>
      </x:c>
    </x:row>
    <x:row r="3058" ht="32" customHeight="1">
      <x:c r="A3058" s="30" t="str">
        <x:v>A036</x:v>
      </x:c>
      <x:c r="B3058" s="30" t="str">
        <x:v>F271</x:v>
      </x:c>
      <x:c r="C3058" s="30" t="str">
        <x:v>link.sampled_at_s</x:v>
      </x:c>
      <x:c r="D3058" s="30" t="str">
        <x:v>候选输入schema</x:v>
      </x:c>
      <x:c r="E3058" s="30" t="str">
        <x:v>按执行角色权限读取；策略只能使用可访问快照</x:v>
      </x:c>
    </x:row>
    <x:row r="3059" ht="32" customHeight="1">
      <x:c r="A3059" s="30" t="str">
        <x:v>A036</x:v>
      </x:c>
      <x:c r="B3059" s="30" t="str">
        <x:v>F272</x:v>
      </x:c>
      <x:c r="C3059" s="30" t="str">
        <x:v>link.route</x:v>
      </x:c>
      <x:c r="D3059" s="30" t="str">
        <x:v>候选输入schema</x:v>
      </x:c>
      <x:c r="E3059" s="30" t="str">
        <x:v>按执行角色权限读取；策略只能使用可访问快照</x:v>
      </x:c>
    </x:row>
    <x:row r="3060" ht="32" customHeight="1">
      <x:c r="A3060" s="30" t="str">
        <x:v>A036</x:v>
      </x:c>
      <x:c r="B3060" s="30" t="str">
        <x:v>F273</x:v>
      </x:c>
      <x:c r="C3060" s="30" t="str">
        <x:v>link.outage_duration_s</x:v>
      </x:c>
      <x:c r="D3060" s="30" t="str">
        <x:v>候选输入schema</x:v>
      </x:c>
      <x:c r="E3060" s="30" t="str">
        <x:v>按执行角色权限读取；策略只能使用可访问快照</x:v>
      </x:c>
    </x:row>
    <x:row r="3061" ht="32" customHeight="1">
      <x:c r="A3061" s="30" t="str">
        <x:v>A036</x:v>
      </x:c>
      <x:c r="B3061" s="30" t="str">
        <x:v>F274</x:v>
      </x:c>
      <x:c r="C3061" s="30" t="str">
        <x:v>link.quality_source</x:v>
      </x:c>
      <x:c r="D3061" s="30" t="str">
        <x:v>候选输入schema</x:v>
      </x:c>
      <x:c r="E3061" s="30" t="str">
        <x:v>按执行角色权限读取；策略只能使用可访问快照</x:v>
      </x:c>
    </x:row>
    <x:row r="3062" ht="32" customHeight="1">
      <x:c r="A3062" s="30" t="str">
        <x:v>A036</x:v>
      </x:c>
      <x:c r="B3062" s="30" t="str">
        <x:v>F275</x:v>
      </x:c>
      <x:c r="C3062" s="30" t="str">
        <x:v>message.kind</x:v>
      </x:c>
      <x:c r="D3062" s="30" t="str">
        <x:v>候选输入schema</x:v>
      </x:c>
      <x:c r="E3062" s="30" t="str">
        <x:v>按执行角色权限读取；策略只能使用可访问快照</x:v>
      </x:c>
    </x:row>
    <x:row r="3063" ht="32" customHeight="1">
      <x:c r="A3063" s="30" t="str">
        <x:v>A036</x:v>
      </x:c>
      <x:c r="B3063" s="30" t="str">
        <x:v>F276</x:v>
      </x:c>
      <x:c r="C3063" s="30" t="str">
        <x:v>message.sender_id</x:v>
      </x:c>
      <x:c r="D3063" s="30" t="str">
        <x:v>候选输入schema</x:v>
      </x:c>
      <x:c r="E3063" s="30" t="str">
        <x:v>按执行角色权限读取；策略只能使用可访问快照</x:v>
      </x:c>
    </x:row>
    <x:row r="3064" ht="32" customHeight="1">
      <x:c r="A3064" s="30" t="str">
        <x:v>A036</x:v>
      </x:c>
      <x:c r="B3064" s="30" t="str">
        <x:v>F277</x:v>
      </x:c>
      <x:c r="C3064" s="30" t="str">
        <x:v>message.receiver_ids</x:v>
      </x:c>
      <x:c r="D3064" s="30" t="str">
        <x:v>候选输入schema</x:v>
      </x:c>
      <x:c r="E3064" s="30" t="str">
        <x:v>按执行角色权限读取；策略只能使用可访问快照</x:v>
      </x:c>
    </x:row>
    <x:row r="3065" ht="32" customHeight="1">
      <x:c r="A3065" s="30" t="str">
        <x:v>A036</x:v>
      </x:c>
      <x:c r="B3065" s="30" t="str">
        <x:v>F278</x:v>
      </x:c>
      <x:c r="C3065" s="30" t="str">
        <x:v>message.payload_ref</x:v>
      </x:c>
      <x:c r="D3065" s="30" t="str">
        <x:v>候选输入schema</x:v>
      </x:c>
      <x:c r="E3065" s="30" t="str">
        <x:v>按执行角色权限读取；策略只能使用可访问快照</x:v>
      </x:c>
    </x:row>
    <x:row r="3066" ht="32" customHeight="1">
      <x:c r="A3066" s="30" t="str">
        <x:v>A036</x:v>
      </x:c>
      <x:c r="B3066" s="30" t="str">
        <x:v>F279</x:v>
      </x:c>
      <x:c r="C3066" s="30" t="str">
        <x:v>message.size_bytes</x:v>
      </x:c>
      <x:c r="D3066" s="30" t="str">
        <x:v>候选输入schema</x:v>
      </x:c>
      <x:c r="E3066" s="30" t="str">
        <x:v>按执行角色权限读取；策略只能使用可访问快照</x:v>
      </x:c>
    </x:row>
    <x:row r="3067" ht="32" customHeight="1">
      <x:c r="A3067" s="30" t="str">
        <x:v>A036</x:v>
      </x:c>
      <x:c r="B3067" s="30" t="str">
        <x:v>F280</x:v>
      </x:c>
      <x:c r="C3067" s="30" t="str">
        <x:v>message.fragment_count</x:v>
      </x:c>
      <x:c r="D3067" s="30" t="str">
        <x:v>候选输入schema</x:v>
      </x:c>
      <x:c r="E3067" s="30" t="str">
        <x:v>按执行角色权限读取；策略只能使用可访问快照</x:v>
      </x:c>
    </x:row>
    <x:row r="3068" ht="32" customHeight="1">
      <x:c r="A3068" s="30" t="str">
        <x:v>A036</x:v>
      </x:c>
      <x:c r="B3068" s="30" t="str">
        <x:v>F281</x:v>
      </x:c>
      <x:c r="C3068" s="30" t="str">
        <x:v>message.received_fragments</x:v>
      </x:c>
      <x:c r="D3068" s="30" t="str">
        <x:v>候选输入schema</x:v>
      </x:c>
      <x:c r="E3068" s="30" t="str">
        <x:v>按执行角色权限读取；策略只能使用可访问快照</x:v>
      </x:c>
    </x:row>
    <x:row r="3069" ht="32" customHeight="1">
      <x:c r="A3069" s="30" t="str">
        <x:v>A036</x:v>
      </x:c>
      <x:c r="B3069" s="30" t="str">
        <x:v>F282</x:v>
      </x:c>
      <x:c r="C3069" s="30" t="str">
        <x:v>message.content_hash</x:v>
      </x:c>
      <x:c r="D3069" s="30" t="str">
        <x:v>候选输入schema</x:v>
      </x:c>
      <x:c r="E3069" s="30" t="str">
        <x:v>按执行角色权限读取；策略只能使用可访问快照</x:v>
      </x:c>
    </x:row>
    <x:row r="3070" ht="32" customHeight="1">
      <x:c r="A3070" s="30" t="str">
        <x:v>A036</x:v>
      </x:c>
      <x:c r="B3070" s="30" t="str">
        <x:v>F283</x:v>
      </x:c>
      <x:c r="C3070" s="30" t="str">
        <x:v>message.priority</x:v>
      </x:c>
      <x:c r="D3070" s="30" t="str">
        <x:v>候选输入schema</x:v>
      </x:c>
      <x:c r="E3070" s="30" t="str">
        <x:v>按执行角色权限读取；策略只能使用可访问快照</x:v>
      </x:c>
    </x:row>
    <x:row r="3071" ht="32" customHeight="1">
      <x:c r="A3071" s="30" t="str">
        <x:v>A036</x:v>
      </x:c>
      <x:c r="B3071" s="30" t="str">
        <x:v>F284</x:v>
      </x:c>
      <x:c r="C3071" s="30" t="str">
        <x:v>message.ttl_s</x:v>
      </x:c>
      <x:c r="D3071" s="30" t="str">
        <x:v>候选输入schema</x:v>
      </x:c>
      <x:c r="E3071" s="30" t="str">
        <x:v>按执行角色权限读取；策略只能使用可访问快照</x:v>
      </x:c>
    </x:row>
    <x:row r="3072" ht="32" customHeight="1">
      <x:c r="A3072" s="30" t="str">
        <x:v>A036</x:v>
      </x:c>
      <x:c r="B3072" s="30" t="str">
        <x:v>F285</x:v>
      </x:c>
      <x:c r="C3072" s="30" t="str">
        <x:v>message.status</x:v>
      </x:c>
      <x:c r="D3072" s="30" t="str">
        <x:v>候选输入schema</x:v>
      </x:c>
      <x:c r="E3072" s="30" t="str">
        <x:v>按执行角色权限读取；策略只能使用可访问快照</x:v>
      </x:c>
    </x:row>
    <x:row r="3073" ht="32" customHeight="1">
      <x:c r="A3073" s="30" t="str">
        <x:v>A036</x:v>
      </x:c>
      <x:c r="B3073" s="30" t="str">
        <x:v>F286</x:v>
      </x:c>
      <x:c r="C3073" s="30" t="str">
        <x:v>message.sent_s</x:v>
      </x:c>
      <x:c r="D3073" s="30" t="str">
        <x:v>候选输入schema</x:v>
      </x:c>
      <x:c r="E3073" s="30" t="str">
        <x:v>按执行角色权限读取；策略只能使用可访问快照</x:v>
      </x:c>
    </x:row>
    <x:row r="3074" ht="32" customHeight="1">
      <x:c r="A3074" s="30" t="str">
        <x:v>A036</x:v>
      </x:c>
      <x:c r="B3074" s="30" t="str">
        <x:v>F287</x:v>
      </x:c>
      <x:c r="C3074" s="30" t="str">
        <x:v>message.delivered_s</x:v>
      </x:c>
      <x:c r="D3074" s="30" t="str">
        <x:v>候选输入schema</x:v>
      </x:c>
      <x:c r="E3074" s="30" t="str">
        <x:v>按执行角色权限读取；策略只能使用可访问快照</x:v>
      </x:c>
    </x:row>
    <x:row r="3075" ht="32" customHeight="1">
      <x:c r="A3075" s="30" t="str">
        <x:v>A036</x:v>
      </x:c>
      <x:c r="B3075" s="30" t="str">
        <x:v>F288</x:v>
      </x:c>
      <x:c r="C3075" s="30" t="str">
        <x:v>message.ack_state</x:v>
      </x:c>
      <x:c r="D3075" s="30" t="str">
        <x:v>候选输入schema</x:v>
      </x:c>
      <x:c r="E3075" s="30" t="str">
        <x:v>按执行角色权限读取；策略只能使用可访问快照</x:v>
      </x:c>
    </x:row>
    <x:row r="3076" ht="32" customHeight="1">
      <x:c r="A3076" s="30" t="str">
        <x:v>A036</x:v>
      </x:c>
      <x:c r="B3076" s="30" t="str">
        <x:v>F289</x:v>
      </x:c>
      <x:c r="C3076" s="30" t="str">
        <x:v>message.retry_count</x:v>
      </x:c>
      <x:c r="D3076" s="30" t="str">
        <x:v>候选输入schema</x:v>
      </x:c>
      <x:c r="E3076" s="30" t="str">
        <x:v>按执行角色权限读取；策略只能使用可访问快照</x:v>
      </x:c>
    </x:row>
    <x:row r="3077" ht="32" customHeight="1">
      <x:c r="A3077" s="30" t="str">
        <x:v>A036</x:v>
      </x:c>
      <x:c r="B3077" s="30" t="str">
        <x:v>F290</x:v>
      </x:c>
      <x:c r="C3077" s="30" t="str">
        <x:v>message.hop_trace</x:v>
      </x:c>
      <x:c r="D3077" s="30" t="str">
        <x:v>候选输入schema</x:v>
      </x:c>
      <x:c r="E3077" s="30" t="str">
        <x:v>按执行角色权限读取；策略只能使用可访问快照</x:v>
      </x:c>
    </x:row>
    <x:row r="3078" ht="32" customHeight="1">
      <x:c r="A3078" s="30" t="str">
        <x:v>A036</x:v>
      </x:c>
      <x:c r="B3078" s="30" t="str">
        <x:v>F291</x:v>
      </x:c>
      <x:c r="C3078" s="30" t="str">
        <x:v>message.correlation_id</x:v>
      </x:c>
      <x:c r="D3078" s="30" t="str">
        <x:v>候选输入schema</x:v>
      </x:c>
      <x:c r="E3078" s="30" t="str">
        <x:v>按执行角色权限读取；策略只能使用可访问快照</x:v>
      </x:c>
    </x:row>
    <x:row r="3079" ht="32" customHeight="1">
      <x:c r="A3079" s="30" t="str">
        <x:v>A036</x:v>
      </x:c>
      <x:c r="B3079" s="30" t="str">
        <x:v>F292</x:v>
      </x:c>
      <x:c r="C3079" s="30" t="str">
        <x:v>message.local_availability</x:v>
      </x:c>
      <x:c r="D3079" s="30" t="str">
        <x:v>候选输入schema</x:v>
      </x:c>
      <x:c r="E3079" s="30" t="str">
        <x:v>按执行角色权限读取；策略只能使用可访问快照</x:v>
      </x:c>
    </x:row>
    <x:row r="3080" ht="32" customHeight="1">
      <x:c r="A3080" s="30" t="str">
        <x:v>A036</x:v>
      </x:c>
      <x:c r="B3080" s="30" t="str">
        <x:v>F349</x:v>
      </x:c>
      <x:c r="C3080" s="30" t="str">
        <x:v>cache.owner_id</x:v>
      </x:c>
      <x:c r="D3080" s="30" t="str">
        <x:v>候选输入schema</x:v>
      </x:c>
      <x:c r="E3080" s="30" t="str">
        <x:v>按执行角色权限读取；策略只能使用可访问快照</x:v>
      </x:c>
    </x:row>
    <x:row r="3081" ht="32" customHeight="1">
      <x:c r="A3081" s="30" t="str">
        <x:v>A036</x:v>
      </x:c>
      <x:c r="B3081" s="30" t="str">
        <x:v>F350</x:v>
      </x:c>
      <x:c r="C3081" s="30" t="str">
        <x:v>cache.kind</x:v>
      </x:c>
      <x:c r="D3081" s="30" t="str">
        <x:v>候选输入schema</x:v>
      </x:c>
      <x:c r="E3081" s="30" t="str">
        <x:v>按执行角色权限读取；策略只能使用可访问快照</x:v>
      </x:c>
    </x:row>
    <x:row r="3082" ht="32" customHeight="1">
      <x:c r="A3082" s="30" t="str">
        <x:v>A036</x:v>
      </x:c>
      <x:c r="B3082" s="30" t="str">
        <x:v>F351</x:v>
      </x:c>
      <x:c r="C3082" s="30" t="str">
        <x:v>cache.model_version</x:v>
      </x:c>
      <x:c r="D3082" s="30" t="str">
        <x:v>候选输入schema</x:v>
      </x:c>
      <x:c r="E3082" s="30" t="str">
        <x:v>按执行角色权限读取；策略只能使用可访问快照</x:v>
      </x:c>
    </x:row>
    <x:row r="3083" ht="32" customHeight="1">
      <x:c r="A3083" s="30" t="str">
        <x:v>A036</x:v>
      </x:c>
      <x:c r="B3083" s="30" t="str">
        <x:v>F352</x:v>
      </x:c>
      <x:c r="C3083" s="30" t="str">
        <x:v>cache.content_ids</x:v>
      </x:c>
      <x:c r="D3083" s="30" t="str">
        <x:v>候选输入schema</x:v>
      </x:c>
      <x:c r="E3083" s="30" t="str">
        <x:v>按执行角色权限读取；策略只能使用可访问快照</x:v>
      </x:c>
    </x:row>
    <x:row r="3084" ht="32" customHeight="1">
      <x:c r="A3084" s="30" t="str">
        <x:v>A036</x:v>
      </x:c>
      <x:c r="B3084" s="30" t="str">
        <x:v>F353</x:v>
      </x:c>
      <x:c r="C3084" s="30" t="str">
        <x:v>cache.size_bytes</x:v>
      </x:c>
      <x:c r="D3084" s="30" t="str">
        <x:v>候选输入schema</x:v>
      </x:c>
      <x:c r="E3084" s="30" t="str">
        <x:v>按执行角色权限读取；策略只能使用可访问快照</x:v>
      </x:c>
    </x:row>
    <x:row r="3085" ht="32" customHeight="1">
      <x:c r="A3085" s="30" t="str">
        <x:v>A036</x:v>
      </x:c>
      <x:c r="B3085" s="30" t="str">
        <x:v>F354</x:v>
      </x:c>
      <x:c r="C3085" s="30" t="str">
        <x:v>cache.location</x:v>
      </x:c>
      <x:c r="D3085" s="30" t="str">
        <x:v>候选输入schema</x:v>
      </x:c>
      <x:c r="E3085" s="30" t="str">
        <x:v>按执行角色权限读取；策略只能使用可访问快照</x:v>
      </x:c>
    </x:row>
    <x:row r="3086" ht="32" customHeight="1">
      <x:c r="A3086" s="30" t="str">
        <x:v>A036</x:v>
      </x:c>
      <x:c r="B3086" s="30" t="str">
        <x:v>F355</x:v>
      </x:c>
      <x:c r="C3086" s="30" t="str">
        <x:v>cache.valid_until_s</x:v>
      </x:c>
      <x:c r="D3086" s="30" t="str">
        <x:v>候选输入schema</x:v>
      </x:c>
      <x:c r="E3086" s="30" t="str">
        <x:v>按执行角色权限读取；策略只能使用可访问快照</x:v>
      </x:c>
    </x:row>
    <x:row r="3087" ht="32" customHeight="1">
      <x:c r="A3087" s="30" t="str">
        <x:v>A036</x:v>
      </x:c>
      <x:c r="B3087" s="30" t="str">
        <x:v>F356</x:v>
      </x:c>
      <x:c r="C3087" s="30" t="str">
        <x:v>cache.reuse_compatible</x:v>
      </x:c>
      <x:c r="D3087" s="30" t="str">
        <x:v>候选输入schema</x:v>
      </x:c>
      <x:c r="E3087" s="30" t="str">
        <x:v>按执行角色权限读取；策略只能使用可访问快照</x:v>
      </x:c>
    </x:row>
    <x:row r="3088" ht="32" customHeight="1">
      <x:c r="A3088" s="30" t="str">
        <x:v>A036</x:v>
      </x:c>
      <x:c r="B3088" s="30" t="str">
        <x:v>F357</x:v>
      </x:c>
      <x:c r="C3088" s="30" t="str">
        <x:v>cache.hit_count</x:v>
      </x:c>
      <x:c r="D3088" s="30" t="str">
        <x:v>候选输入schema</x:v>
      </x:c>
      <x:c r="E3088" s="30" t="str">
        <x:v>按执行角色权限读取；策略只能使用可访问快照</x:v>
      </x:c>
    </x:row>
    <x:row r="3089" ht="32" customHeight="1">
      <x:c r="A3089" s="30" t="str">
        <x:v>A036</x:v>
      </x:c>
      <x:c r="B3089" s="30" t="str">
        <x:v>F358</x:v>
      </x:c>
      <x:c r="C3089" s="30" t="str">
        <x:v>cache.eviction_state</x:v>
      </x:c>
      <x:c r="D3089" s="30" t="str">
        <x:v>候选输入schema</x:v>
      </x:c>
      <x:c r="E3089" s="30" t="str">
        <x:v>按执行角色权限读取；策略只能使用可访问快照</x:v>
      </x:c>
    </x:row>
    <x:row r="3090" ht="32" customHeight="1">
      <x:c r="A3090" s="30" t="str">
        <x:v>A036</x:v>
      </x:c>
      <x:c r="B3090" s="30" t="str">
        <x:v>F285</x:v>
      </x:c>
      <x:c r="C3090" s="30" t="str">
        <x:v>message.status</x:v>
      </x:c>
      <x:c r="D3090" s="30" t="str">
        <x:v>直接效果</x:v>
      </x:c>
      <x:c r="E3090" s="30" t="str">
        <x:v>经实际执行/回执提交；不是规划时提前修改</x:v>
      </x:c>
    </x:row>
    <x:row r="3091" ht="32" customHeight="1">
      <x:c r="A3091" s="30" t="str">
        <x:v>A036</x:v>
      </x:c>
      <x:c r="B3091" s="30" t="str">
        <x:v>F286</x:v>
      </x:c>
      <x:c r="C3091" s="30" t="str">
        <x:v>message.sent_s</x:v>
      </x:c>
      <x:c r="D3091" s="30" t="str">
        <x:v>直接效果</x:v>
      </x:c>
      <x:c r="E3091" s="30" t="str">
        <x:v>经实际执行/回执提交；不是规划时提前修改</x:v>
      </x:c>
    </x:row>
    <x:row r="3092" ht="32" customHeight="1">
      <x:c r="A3092" s="30" t="str">
        <x:v>A036</x:v>
      </x:c>
      <x:c r="B3092" s="30" t="str">
        <x:v>F279</x:v>
      </x:c>
      <x:c r="C3092" s="30" t="str">
        <x:v>message.size_bytes</x:v>
      </x:c>
      <x:c r="D3092" s="30" t="str">
        <x:v>直接效果</x:v>
      </x:c>
      <x:c r="E3092" s="30" t="str">
        <x:v>经实际执行/回执提交；不是规划时提前修改</x:v>
      </x:c>
    </x:row>
    <x:row r="3093" ht="32" customHeight="1">
      <x:c r="A3093" s="30" t="str">
        <x:v>A036</x:v>
      </x:c>
      <x:c r="B3093" s="30" t="str">
        <x:v>F253</x:v>
      </x:c>
      <x:c r="C3093" s="30" t="str">
        <x:v>radio.queue_bytes</x:v>
      </x:c>
      <x:c r="D3093" s="30" t="str">
        <x:v>直接效果</x:v>
      </x:c>
      <x:c r="E3093" s="30" t="str">
        <x:v>经实际执行/回执提交；不是规划时提前修改</x:v>
      </x:c>
    </x:row>
    <x:row r="3094" ht="32" customHeight="1">
      <x:c r="A3094" s="30" t="str">
        <x:v>A037</x:v>
      </x:c>
      <x:c r="B3094" s="30" t="str">
        <x:v>F196</x:v>
      </x:c>
      <x:c r="C3094" s="30" t="str">
        <x:v>task.type</x:v>
      </x:c>
      <x:c r="D3094" s="30" t="str">
        <x:v>候选输入schema</x:v>
      </x:c>
      <x:c r="E3094" s="30" t="str">
        <x:v>按执行角色权限读取；策略只能使用可访问快照</x:v>
      </x:c>
    </x:row>
    <x:row r="3095" ht="32" customHeight="1">
      <x:c r="A3095" s="30" t="str">
        <x:v>A037</x:v>
      </x:c>
      <x:c r="B3095" s="30" t="str">
        <x:v>F197</x:v>
      </x:c>
      <x:c r="C3095" s="30" t="str">
        <x:v>task.creator_id</x:v>
      </x:c>
      <x:c r="D3095" s="30" t="str">
        <x:v>候选输入schema</x:v>
      </x:c>
      <x:c r="E3095" s="30" t="str">
        <x:v>按执行角色权限读取；策略只能使用可访问快照</x:v>
      </x:c>
    </x:row>
    <x:row r="3096" ht="32" customHeight="1">
      <x:c r="A3096" s="30" t="str">
        <x:v>A037</x:v>
      </x:c>
      <x:c r="B3096" s="30" t="str">
        <x:v>F198</x:v>
      </x:c>
      <x:c r="C3096" s="30" t="str">
        <x:v>task.target_ref</x:v>
      </x:c>
      <x:c r="D3096" s="30" t="str">
        <x:v>候选输入schema</x:v>
      </x:c>
      <x:c r="E3096" s="30" t="str">
        <x:v>按执行角色权限读取；策略只能使用可访问快照</x:v>
      </x:c>
    </x:row>
    <x:row r="3097" ht="32" customHeight="1">
      <x:c r="A3097" s="30" t="str">
        <x:v>A037</x:v>
      </x:c>
      <x:c r="B3097" s="30" t="str">
        <x:v>F199</x:v>
      </x:c>
      <x:c r="C3097" s="30" t="str">
        <x:v>task.goal_predicate</x:v>
      </x:c>
      <x:c r="D3097" s="30" t="str">
        <x:v>候选输入schema</x:v>
      </x:c>
      <x:c r="E3097" s="30" t="str">
        <x:v>按执行角色权限读取；策略只能使用可访问快照</x:v>
      </x:c>
    </x:row>
    <x:row r="3098" ht="32" customHeight="1">
      <x:c r="A3098" s="30" t="str">
        <x:v>A037</x:v>
      </x:c>
      <x:c r="B3098" s="30" t="str">
        <x:v>F200</x:v>
      </x:c>
      <x:c r="C3098" s="30" t="str">
        <x:v>task.revision</x:v>
      </x:c>
      <x:c r="D3098" s="30" t="str">
        <x:v>候选输入schema</x:v>
      </x:c>
      <x:c r="E3098" s="30" t="str">
        <x:v>按执行角色权限读取；策略只能使用可访问快照</x:v>
      </x:c>
    </x:row>
    <x:row r="3099" ht="32" customHeight="1">
      <x:c r="A3099" s="30" t="str">
        <x:v>A037</x:v>
      </x:c>
      <x:c r="B3099" s="30" t="str">
        <x:v>F201</x:v>
      </x:c>
      <x:c r="C3099" s="30" t="str">
        <x:v>task.status</x:v>
      </x:c>
      <x:c r="D3099" s="30" t="str">
        <x:v>候选输入schema</x:v>
      </x:c>
      <x:c r="E3099" s="30" t="str">
        <x:v>按执行角色权限读取；策略只能使用可访问快照</x:v>
      </x:c>
    </x:row>
    <x:row r="3100" ht="32" customHeight="1">
      <x:c r="A3100" s="30" t="str">
        <x:v>A037</x:v>
      </x:c>
      <x:c r="B3100" s="30" t="str">
        <x:v>F202</x:v>
      </x:c>
      <x:c r="C3100" s="30" t="str">
        <x:v>task.priority</x:v>
      </x:c>
      <x:c r="D3100" s="30" t="str">
        <x:v>候选输入schema</x:v>
      </x:c>
      <x:c r="E3100" s="30" t="str">
        <x:v>按执行角色权限读取；策略只能使用可访问快照</x:v>
      </x:c>
    </x:row>
    <x:row r="3101" ht="32" customHeight="1">
      <x:c r="A3101" s="30" t="str">
        <x:v>A037</x:v>
      </x:c>
      <x:c r="B3101" s="30" t="str">
        <x:v>F203</x:v>
      </x:c>
      <x:c r="C3101" s="30" t="str">
        <x:v>task.deadline_s</x:v>
      </x:c>
      <x:c r="D3101" s="30" t="str">
        <x:v>候选输入schema</x:v>
      </x:c>
      <x:c r="E3101" s="30" t="str">
        <x:v>按执行角色权限读取；策略只能使用可访问快照</x:v>
      </x:c>
    </x:row>
    <x:row r="3102" ht="32" customHeight="1">
      <x:c r="A3102" s="30" t="str">
        <x:v>A037</x:v>
      </x:c>
      <x:c r="B3102" s="30" t="str">
        <x:v>F204</x:v>
      </x:c>
      <x:c r="C3102" s="30" t="str">
        <x:v>task.dependency_ids</x:v>
      </x:c>
      <x:c r="D3102" s="30" t="str">
        <x:v>候选输入schema</x:v>
      </x:c>
      <x:c r="E3102" s="30" t="str">
        <x:v>按执行角色权限读取；策略只能使用可访问快照</x:v>
      </x:c>
    </x:row>
    <x:row r="3103" ht="32" customHeight="1">
      <x:c r="A3103" s="30" t="str">
        <x:v>A037</x:v>
      </x:c>
      <x:c r="B3103" s="30" t="str">
        <x:v>F205</x:v>
      </x:c>
      <x:c r="C3103" s="30" t="str">
        <x:v>task.required_capability_ids</x:v>
      </x:c>
      <x:c r="D3103" s="30" t="str">
        <x:v>候选输入schema</x:v>
      </x:c>
      <x:c r="E3103" s="30" t="str">
        <x:v>按执行角色权限读取；策略只能使用可访问快照</x:v>
      </x:c>
    </x:row>
    <x:row r="3104" ht="32" customHeight="1">
      <x:c r="A3104" s="30" t="str">
        <x:v>A037</x:v>
      </x:c>
      <x:c r="B3104" s="30" t="str">
        <x:v>F206</x:v>
      </x:c>
      <x:c r="C3104" s="30" t="str">
        <x:v>task.resource_budget</x:v>
      </x:c>
      <x:c r="D3104" s="30" t="str">
        <x:v>候选输入schema</x:v>
      </x:c>
      <x:c r="E3104" s="30" t="str">
        <x:v>按执行角色权限读取；策略只能使用可访问快照</x:v>
      </x:c>
    </x:row>
    <x:row r="3105" ht="32" customHeight="1">
      <x:c r="A3105" s="30" t="str">
        <x:v>A037</x:v>
      </x:c>
      <x:c r="B3105" s="30" t="str">
        <x:v>F207</x:v>
      </x:c>
      <x:c r="C3105" s="30" t="str">
        <x:v>task.assigned_to</x:v>
      </x:c>
      <x:c r="D3105" s="30" t="str">
        <x:v>候选输入schema</x:v>
      </x:c>
      <x:c r="E3105" s="30" t="str">
        <x:v>按执行角色权限读取；策略只能使用可访问快照</x:v>
      </x:c>
    </x:row>
    <x:row r="3106" ht="32" customHeight="1">
      <x:c r="A3106" s="30" t="str">
        <x:v>A037</x:v>
      </x:c>
      <x:c r="B3106" s="30" t="str">
        <x:v>F208</x:v>
      </x:c>
      <x:c r="C3106" s="30" t="str">
        <x:v>task.accepted_by</x:v>
      </x:c>
      <x:c r="D3106" s="30" t="str">
        <x:v>候选输入schema</x:v>
      </x:c>
      <x:c r="E3106" s="30" t="str">
        <x:v>按执行角色权限读取；策略只能使用可访问快照</x:v>
      </x:c>
    </x:row>
    <x:row r="3107" ht="32" customHeight="1">
      <x:c r="A3107" s="30" t="str">
        <x:v>A037</x:v>
      </x:c>
      <x:c r="B3107" s="30" t="str">
        <x:v>F209</x:v>
      </x:c>
      <x:c r="C3107" s="30" t="str">
        <x:v>task.commitment_window</x:v>
      </x:c>
      <x:c r="D3107" s="30" t="str">
        <x:v>候选输入schema</x:v>
      </x:c>
      <x:c r="E3107" s="30" t="str">
        <x:v>按执行角色权限读取；策略只能使用可访问快照</x:v>
      </x:c>
    </x:row>
    <x:row r="3108" ht="32" customHeight="1">
      <x:c r="A3108" s="30" t="str">
        <x:v>A037</x:v>
      </x:c>
      <x:c r="B3108" s="30" t="str">
        <x:v>F210</x:v>
      </x:c>
      <x:c r="C3108" s="30" t="str">
        <x:v>task.progress</x:v>
      </x:c>
      <x:c r="D3108" s="30" t="str">
        <x:v>候选输入schema</x:v>
      </x:c>
      <x:c r="E3108" s="30" t="str">
        <x:v>按执行角色权限读取；策略只能使用可访问快照</x:v>
      </x:c>
    </x:row>
    <x:row r="3109" ht="32" customHeight="1">
      <x:c r="A3109" s="30" t="str">
        <x:v>A037</x:v>
      </x:c>
      <x:c r="B3109" s="30" t="str">
        <x:v>F211</x:v>
      </x:c>
      <x:c r="C3109" s="30" t="str">
        <x:v>task.active_action_ids</x:v>
      </x:c>
      <x:c r="D3109" s="30" t="str">
        <x:v>候选输入schema</x:v>
      </x:c>
      <x:c r="E3109" s="30" t="str">
        <x:v>按执行角色权限读取；策略只能使用可访问快照</x:v>
      </x:c>
    </x:row>
    <x:row r="3110" ht="32" customHeight="1">
      <x:c r="A3110" s="30" t="str">
        <x:v>A037</x:v>
      </x:c>
      <x:c r="B3110" s="30" t="str">
        <x:v>F212</x:v>
      </x:c>
      <x:c r="C3110" s="30" t="str">
        <x:v>task.interruptibility</x:v>
      </x:c>
      <x:c r="D3110" s="30" t="str">
        <x:v>候选输入schema</x:v>
      </x:c>
      <x:c r="E3110" s="30" t="str">
        <x:v>按执行角色权限读取；策略只能使用可访问快照</x:v>
      </x:c>
    </x:row>
    <x:row r="3111" ht="32" customHeight="1">
      <x:c r="A3111" s="30" t="str">
        <x:v>A037</x:v>
      </x:c>
      <x:c r="B3111" s="30" t="str">
        <x:v>F213</x:v>
      </x:c>
      <x:c r="C3111" s="30" t="str">
        <x:v>task.original_task_id</x:v>
      </x:c>
      <x:c r="D3111" s="30" t="str">
        <x:v>候选输入schema</x:v>
      </x:c>
      <x:c r="E3111" s="30" t="str">
        <x:v>按执行角色权限读取；策略只能使用可访问快照</x:v>
      </x:c>
    </x:row>
    <x:row r="3112" ht="32" customHeight="1">
      <x:c r="A3112" s="30" t="str">
        <x:v>A037</x:v>
      </x:c>
      <x:c r="B3112" s="30" t="str">
        <x:v>F214</x:v>
      </x:c>
      <x:c r="C3112" s="30" t="str">
        <x:v>task.resume_checkpoint</x:v>
      </x:c>
      <x:c r="D3112" s="30" t="str">
        <x:v>候选输入schema</x:v>
      </x:c>
      <x:c r="E3112" s="30" t="str">
        <x:v>按执行角色权限读取；策略只能使用可访问快照</x:v>
      </x:c>
    </x:row>
    <x:row r="3113" ht="32" customHeight="1">
      <x:c r="A3113" s="30" t="str">
        <x:v>A037</x:v>
      </x:c>
      <x:c r="B3113" s="30" t="str">
        <x:v>F215</x:v>
      </x:c>
      <x:c r="C3113" s="30" t="str">
        <x:v>task.handoff_target_id</x:v>
      </x:c>
      <x:c r="D3113" s="30" t="str">
        <x:v>候选输入schema</x:v>
      </x:c>
      <x:c r="E3113" s="30" t="str">
        <x:v>按执行角色权限读取；策略只能使用可访问快照</x:v>
      </x:c>
    </x:row>
    <x:row r="3114" ht="32" customHeight="1">
      <x:c r="A3114" s="30" t="str">
        <x:v>A037</x:v>
      </x:c>
      <x:c r="B3114" s="30" t="str">
        <x:v>F216</x:v>
      </x:c>
      <x:c r="C3114" s="30" t="str">
        <x:v>task.result_evidence_ids</x:v>
      </x:c>
      <x:c r="D3114" s="30" t="str">
        <x:v>候选输入schema</x:v>
      </x:c>
      <x:c r="E3114" s="30" t="str">
        <x:v>按执行角色权限读取；策略只能使用可访问快照</x:v>
      </x:c>
    </x:row>
    <x:row r="3115" ht="32" customHeight="1">
      <x:c r="A3115" s="30" t="str">
        <x:v>A037</x:v>
      </x:c>
      <x:c r="B3115" s="30" t="str">
        <x:v>F217</x:v>
      </x:c>
      <x:c r="C3115" s="30" t="str">
        <x:v>task.failure_reason</x:v>
      </x:c>
      <x:c r="D3115" s="30" t="str">
        <x:v>候选输入schema</x:v>
      </x:c>
      <x:c r="E3115" s="30" t="str">
        <x:v>按执行角色权限读取；策略只能使用可访问快照</x:v>
      </x:c>
    </x:row>
    <x:row r="3116" ht="32" customHeight="1">
      <x:c r="A3116" s="30" t="str">
        <x:v>A037</x:v>
      </x:c>
      <x:c r="B3116" s="30" t="str">
        <x:v>F218</x:v>
      </x:c>
      <x:c r="C3116" s="30" t="str">
        <x:v>task.last_event_s</x:v>
      </x:c>
      <x:c r="D3116" s="30" t="str">
        <x:v>候选输入schema</x:v>
      </x:c>
      <x:c r="E3116" s="30" t="str">
        <x:v>按执行角色权限读取；策略只能使用可访问快照</x:v>
      </x:c>
    </x:row>
    <x:row r="3117" ht="32" customHeight="1">
      <x:c r="A3117" s="30" t="str">
        <x:v>A037</x:v>
      </x:c>
      <x:c r="B3117" s="30" t="str">
        <x:v>F219</x:v>
      </x:c>
      <x:c r="C3117" s="30" t="str">
        <x:v>task.opportunity_cost</x:v>
      </x:c>
      <x:c r="D3117" s="30" t="str">
        <x:v>候选输入schema</x:v>
      </x:c>
      <x:c r="E3117" s="30" t="str">
        <x:v>按执行角色权限读取；策略只能使用可访问快照</x:v>
      </x:c>
    </x:row>
    <x:row r="3118" ht="32" customHeight="1">
      <x:c r="A3118" s="30" t="str">
        <x:v>A037</x:v>
      </x:c>
      <x:c r="B3118" s="30" t="str">
        <x:v>F220</x:v>
      </x:c>
      <x:c r="C3118" s="30" t="str">
        <x:v>assignment.task_ref</x:v>
      </x:c>
      <x:c r="D3118" s="30" t="str">
        <x:v>候选输入schema</x:v>
      </x:c>
      <x:c r="E3118" s="30" t="str">
        <x:v>按执行角色权限读取；策略只能使用可访问快照</x:v>
      </x:c>
    </x:row>
    <x:row r="3119" ht="32" customHeight="1">
      <x:c r="A3119" s="30" t="str">
        <x:v>A037</x:v>
      </x:c>
      <x:c r="B3119" s="30" t="str">
        <x:v>F221</x:v>
      </x:c>
      <x:c r="C3119" s="30" t="str">
        <x:v>assignment.sender_id</x:v>
      </x:c>
      <x:c r="D3119" s="30" t="str">
        <x:v>候选输入schema</x:v>
      </x:c>
      <x:c r="E3119" s="30" t="str">
        <x:v>按执行角色权限读取；策略只能使用可访问快照</x:v>
      </x:c>
    </x:row>
    <x:row r="3120" ht="32" customHeight="1">
      <x:c r="A3120" s="30" t="str">
        <x:v>A037</x:v>
      </x:c>
      <x:c r="B3120" s="30" t="str">
        <x:v>F222</x:v>
      </x:c>
      <x:c r="C3120" s="30" t="str">
        <x:v>assignment.receiver_id</x:v>
      </x:c>
      <x:c r="D3120" s="30" t="str">
        <x:v>候选输入schema</x:v>
      </x:c>
      <x:c r="E3120" s="30" t="str">
        <x:v>按执行角色权限读取；策略只能使用可访问快照</x:v>
      </x:c>
    </x:row>
    <x:row r="3121" ht="32" customHeight="1">
      <x:c r="A3121" s="30" t="str">
        <x:v>A037</x:v>
      </x:c>
      <x:c r="B3121" s="30" t="str">
        <x:v>F223</x:v>
      </x:c>
      <x:c r="C3121" s="30" t="str">
        <x:v>assignment.bid</x:v>
      </x:c>
      <x:c r="D3121" s="30" t="str">
        <x:v>候选输入schema</x:v>
      </x:c>
      <x:c r="E3121" s="30" t="str">
        <x:v>按执行角色权限读取；策略只能使用可访问快照</x:v>
      </x:c>
    </x:row>
    <x:row r="3122" ht="32" customHeight="1">
      <x:c r="A3122" s="30" t="str">
        <x:v>A037</x:v>
      </x:c>
      <x:c r="B3122" s="30" t="str">
        <x:v>F224</x:v>
      </x:c>
      <x:c r="C3122" s="30" t="str">
        <x:v>assignment.message_id</x:v>
      </x:c>
      <x:c r="D3122" s="30" t="str">
        <x:v>候选输入schema</x:v>
      </x:c>
      <x:c r="E3122" s="30" t="str">
        <x:v>按执行角色权限读取；策略只能使用可访问快照</x:v>
      </x:c>
    </x:row>
    <x:row r="3123" ht="32" customHeight="1">
      <x:c r="A3123" s="30" t="str">
        <x:v>A037</x:v>
      </x:c>
      <x:c r="B3123" s="30" t="str">
        <x:v>F225</x:v>
      </x:c>
      <x:c r="C3123" s="30" t="str">
        <x:v>assignment.delivery_state</x:v>
      </x:c>
      <x:c r="D3123" s="30" t="str">
        <x:v>候选输入schema</x:v>
      </x:c>
      <x:c r="E3123" s="30" t="str">
        <x:v>按执行角色权限读取；策略只能使用可访问快照</x:v>
      </x:c>
    </x:row>
    <x:row r="3124" ht="32" customHeight="1">
      <x:c r="A3124" s="30" t="str">
        <x:v>A037</x:v>
      </x:c>
      <x:c r="B3124" s="30" t="str">
        <x:v>F226</x:v>
      </x:c>
      <x:c r="C3124" s="30" t="str">
        <x:v>assignment.decision</x:v>
      </x:c>
      <x:c r="D3124" s="30" t="str">
        <x:v>候选输入schema</x:v>
      </x:c>
      <x:c r="E3124" s="30" t="str">
        <x:v>按执行角色权限读取；策略只能使用可访问快照</x:v>
      </x:c>
    </x:row>
    <x:row r="3125" ht="32" customHeight="1">
      <x:c r="A3125" s="30" t="str">
        <x:v>A037</x:v>
      </x:c>
      <x:c r="B3125" s="30" t="str">
        <x:v>F227</x:v>
      </x:c>
      <x:c r="C3125" s="30" t="str">
        <x:v>assignment.decision_reason</x:v>
      </x:c>
      <x:c r="D3125" s="30" t="str">
        <x:v>候选输入schema</x:v>
      </x:c>
      <x:c r="E3125" s="30" t="str">
        <x:v>按执行角色权限读取；策略只能使用可访问快照</x:v>
      </x:c>
    </x:row>
    <x:row r="3126" ht="32" customHeight="1">
      <x:c r="A3126" s="30" t="str">
        <x:v>A037</x:v>
      </x:c>
      <x:c r="B3126" s="30" t="str">
        <x:v>F228</x:v>
      </x:c>
      <x:c r="C3126" s="30" t="str">
        <x:v>assignment.lease_end_s</x:v>
      </x:c>
      <x:c r="D3126" s="30" t="str">
        <x:v>候选输入schema</x:v>
      </x:c>
      <x:c r="E3126" s="30" t="str">
        <x:v>按执行角色权限读取；策略只能使用可访问快照</x:v>
      </x:c>
    </x:row>
    <x:row r="3127" ht="32" customHeight="1">
      <x:c r="A3127" s="30" t="str">
        <x:v>A037</x:v>
      </x:c>
      <x:c r="B3127" s="30" t="str">
        <x:v>F229</x:v>
      </x:c>
      <x:c r="C3127" s="30" t="str">
        <x:v>assignment.acknowledged_revision</x:v>
      </x:c>
      <x:c r="D3127" s="30" t="str">
        <x:v>候选输入schema</x:v>
      </x:c>
      <x:c r="E3127" s="30" t="str">
        <x:v>按执行角色权限读取；策略只能使用可访问快照</x:v>
      </x:c>
    </x:row>
    <x:row r="3128" ht="32" customHeight="1">
      <x:c r="A3128" s="30" t="str">
        <x:v>A037</x:v>
      </x:c>
      <x:c r="B3128" s="30" t="str">
        <x:v>F246</x:v>
      </x:c>
      <x:c r="C3128" s="30" t="str">
        <x:v>radio.interface_id</x:v>
      </x:c>
      <x:c r="D3128" s="30" t="str">
        <x:v>候选输入schema</x:v>
      </x:c>
      <x:c r="E3128" s="30" t="str">
        <x:v>按执行角色权限读取；策略只能使用可访问快照</x:v>
      </x:c>
    </x:row>
    <x:row r="3129" ht="32" customHeight="1">
      <x:c r="A3129" s="30" t="str">
        <x:v>A037</x:v>
      </x:c>
      <x:c r="B3129" s="30" t="str">
        <x:v>F247</x:v>
      </x:c>
      <x:c r="C3129" s="30" t="str">
        <x:v>radio.protocol</x:v>
      </x:c>
      <x:c r="D3129" s="30" t="str">
        <x:v>候选输入schema</x:v>
      </x:c>
      <x:c r="E3129" s="30" t="str">
        <x:v>按执行角色权限读取；策略只能使用可访问快照</x:v>
      </x:c>
    </x:row>
    <x:row r="3130" ht="32" customHeight="1">
      <x:c r="A3130" s="30" t="str">
        <x:v>A037</x:v>
      </x:c>
      <x:c r="B3130" s="30" t="str">
        <x:v>F248</x:v>
      </x:c>
      <x:c r="C3130" s="30" t="str">
        <x:v>radio.channel</x:v>
      </x:c>
      <x:c r="D3130" s="30" t="str">
        <x:v>候选输入schema</x:v>
      </x:c>
      <x:c r="E3130" s="30" t="str">
        <x:v>按执行角色权限读取；策略只能使用可访问快照</x:v>
      </x:c>
    </x:row>
    <x:row r="3131" ht="32" customHeight="1">
      <x:c r="A3131" s="30" t="str">
        <x:v>A037</x:v>
      </x:c>
      <x:c r="B3131" s="30" t="str">
        <x:v>F249</x:v>
      </x:c>
      <x:c r="C3131" s="30" t="str">
        <x:v>radio.tx_power_dbm</x:v>
      </x:c>
      <x:c r="D3131" s="30" t="str">
        <x:v>候选输入schema</x:v>
      </x:c>
      <x:c r="E3131" s="30" t="str">
        <x:v>按执行角色权限读取；策略只能使用可访问快照</x:v>
      </x:c>
    </x:row>
    <x:row r="3132" ht="32" customHeight="1">
      <x:c r="A3132" s="30" t="str">
        <x:v>A037</x:v>
      </x:c>
      <x:c r="B3132" s="30" t="str">
        <x:v>F250</x:v>
      </x:c>
      <x:c r="C3132" s="30" t="str">
        <x:v>radio.antenna</x:v>
      </x:c>
      <x:c r="D3132" s="30" t="str">
        <x:v>候选输入schema</x:v>
      </x:c>
      <x:c r="E3132" s="30" t="str">
        <x:v>按执行角色权限读取；策略只能使用可访问快照</x:v>
      </x:c>
    </x:row>
    <x:row r="3133" ht="32" customHeight="1">
      <x:c r="A3133" s="30" t="str">
        <x:v>A037</x:v>
      </x:c>
      <x:c r="B3133" s="30" t="str">
        <x:v>F251</x:v>
      </x:c>
      <x:c r="C3133" s="30" t="str">
        <x:v>radio.enabled</x:v>
      </x:c>
      <x:c r="D3133" s="30" t="str">
        <x:v>候选输入schema</x:v>
      </x:c>
      <x:c r="E3133" s="30" t="str">
        <x:v>按执行角色权限读取；策略只能使用可访问快照</x:v>
      </x:c>
    </x:row>
    <x:row r="3134" ht="32" customHeight="1">
      <x:c r="A3134" s="30" t="str">
        <x:v>A037</x:v>
      </x:c>
      <x:c r="B3134" s="30" t="str">
        <x:v>F252</x:v>
      </x:c>
      <x:c r="C3134" s="30" t="str">
        <x:v>radio.phy_state</x:v>
      </x:c>
      <x:c r="D3134" s="30" t="str">
        <x:v>候选输入schema</x:v>
      </x:c>
      <x:c r="E3134" s="30" t="str">
        <x:v>按执行角色权限读取；策略只能使用可访问快照</x:v>
      </x:c>
    </x:row>
    <x:row r="3135" ht="32" customHeight="1">
      <x:c r="A3135" s="30" t="str">
        <x:v>A037</x:v>
      </x:c>
      <x:c r="B3135" s="30" t="str">
        <x:v>F253</x:v>
      </x:c>
      <x:c r="C3135" s="30" t="str">
        <x:v>radio.queue_bytes</x:v>
      </x:c>
      <x:c r="D3135" s="30" t="str">
        <x:v>候选输入schema</x:v>
      </x:c>
      <x:c r="E3135" s="30" t="str">
        <x:v>按执行角色权限读取；策略只能使用可访问快照</x:v>
      </x:c>
    </x:row>
    <x:row r="3136" ht="32" customHeight="1">
      <x:c r="A3136" s="30" t="str">
        <x:v>A037</x:v>
      </x:c>
      <x:c r="B3136" s="30" t="str">
        <x:v>F254</x:v>
      </x:c>
      <x:c r="C3136" s="30" t="str">
        <x:v>radio.queue_limit_bytes</x:v>
      </x:c>
      <x:c r="D3136" s="30" t="str">
        <x:v>候选输入schema</x:v>
      </x:c>
      <x:c r="E3136" s="30" t="str">
        <x:v>按执行角色权限读取；策略只能使用可访问快照</x:v>
      </x:c>
    </x:row>
    <x:row r="3137" ht="32" customHeight="1">
      <x:c r="A3137" s="30" t="str">
        <x:v>A037</x:v>
      </x:c>
      <x:c r="B3137" s="30" t="str">
        <x:v>F255</x:v>
      </x:c>
      <x:c r="C3137" s="30" t="str">
        <x:v>radio.mtu_bytes</x:v>
      </x:c>
      <x:c r="D3137" s="30" t="str">
        <x:v>候选输入schema</x:v>
      </x:c>
      <x:c r="E3137" s="30" t="str">
        <x:v>按执行角色权限读取；策略只能使用可访问快照</x:v>
      </x:c>
    </x:row>
    <x:row r="3138" ht="32" customHeight="1">
      <x:c r="A3138" s="30" t="str">
        <x:v>A037</x:v>
      </x:c>
      <x:c r="B3138" s="30" t="str">
        <x:v>F256</x:v>
      </x:c>
      <x:c r="C3138" s="30" t="str">
        <x:v>radio.retry_limit</x:v>
      </x:c>
      <x:c r="D3138" s="30" t="str">
        <x:v>候选输入schema</x:v>
      </x:c>
      <x:c r="E3138" s="30" t="str">
        <x:v>按执行角色权限读取；策略只能使用可访问快照</x:v>
      </x:c>
    </x:row>
    <x:row r="3139" ht="32" customHeight="1">
      <x:c r="A3139" s="30" t="str">
        <x:v>A037</x:v>
      </x:c>
      <x:c r="B3139" s="30" t="str">
        <x:v>F257</x:v>
      </x:c>
      <x:c r="C3139" s="30" t="str">
        <x:v>radio.routing_mode</x:v>
      </x:c>
      <x:c r="D3139" s="30" t="str">
        <x:v>候选输入schema</x:v>
      </x:c>
      <x:c r="E3139" s="30" t="str">
        <x:v>按执行角色权限读取；策略只能使用可访问快照</x:v>
      </x:c>
    </x:row>
    <x:row r="3140" ht="32" customHeight="1">
      <x:c r="A3140" s="30" t="str">
        <x:v>A037</x:v>
      </x:c>
      <x:c r="B3140" s="30" t="str">
        <x:v>F258</x:v>
      </x:c>
      <x:c r="C3140" s="30" t="str">
        <x:v>radio.energy_Wh</x:v>
      </x:c>
      <x:c r="D3140" s="30" t="str">
        <x:v>候选输入schema</x:v>
      </x:c>
      <x:c r="E3140" s="30" t="str">
        <x:v>按执行角色权限读取；策略只能使用可访问快照</x:v>
      </x:c>
    </x:row>
    <x:row r="3141" ht="32" customHeight="1">
      <x:c r="A3141" s="30" t="str">
        <x:v>A037</x:v>
      </x:c>
      <x:c r="B3141" s="30" t="str">
        <x:v>F259</x:v>
      </x:c>
      <x:c r="C3141" s="30" t="str">
        <x:v>radio.position_source</x:v>
      </x:c>
      <x:c r="D3141" s="30" t="str">
        <x:v>候选输入schema</x:v>
      </x:c>
      <x:c r="E3141" s="30" t="str">
        <x:v>按执行角色权限读取；策略只能使用可访问快照</x:v>
      </x:c>
    </x:row>
    <x:row r="3142" ht="32" customHeight="1">
      <x:c r="A3142" s="30" t="str">
        <x:v>A037</x:v>
      </x:c>
      <x:c r="B3142" s="30" t="str">
        <x:v>F260</x:v>
      </x:c>
      <x:c r="C3142" s="30" t="str">
        <x:v>radio.last_contact_s</x:v>
      </x:c>
      <x:c r="D3142" s="30" t="str">
        <x:v>候选输入schema</x:v>
      </x:c>
      <x:c r="E3142" s="30" t="str">
        <x:v>按执行角色权限读取；策略只能使用可访问快照</x:v>
      </x:c>
    </x:row>
    <x:row r="3143" ht="32" customHeight="1">
      <x:c r="A3143" s="30" t="str">
        <x:v>A037</x:v>
      </x:c>
      <x:c r="B3143" s="30" t="str">
        <x:v>F261</x:v>
      </x:c>
      <x:c r="C3143" s="30" t="str">
        <x:v>radio.relay_enabled</x:v>
      </x:c>
      <x:c r="D3143" s="30" t="str">
        <x:v>候选输入schema</x:v>
      </x:c>
      <x:c r="E3143" s="30" t="str">
        <x:v>按执行角色权限读取；策略只能使用可访问快照</x:v>
      </x:c>
    </x:row>
    <x:row r="3144" ht="32" customHeight="1">
      <x:c r="A3144" s="30" t="str">
        <x:v>A037</x:v>
      </x:c>
      <x:c r="B3144" s="30" t="str">
        <x:v>F262</x:v>
      </x:c>
      <x:c r="C3144" s="30" t="str">
        <x:v>link.sender_id</x:v>
      </x:c>
      <x:c r="D3144" s="30" t="str">
        <x:v>候选输入schema</x:v>
      </x:c>
      <x:c r="E3144" s="30" t="str">
        <x:v>按执行角色权限读取；策略只能使用可访问快照</x:v>
      </x:c>
    </x:row>
    <x:row r="3145" ht="32" customHeight="1">
      <x:c r="A3145" s="30" t="str">
        <x:v>A037</x:v>
      </x:c>
      <x:c r="B3145" s="30" t="str">
        <x:v>F263</x:v>
      </x:c>
      <x:c r="C3145" s="30" t="str">
        <x:v>link.receiver_id</x:v>
      </x:c>
      <x:c r="D3145" s="30" t="str">
        <x:v>候选输入schema</x:v>
      </x:c>
      <x:c r="E3145" s="30" t="str">
        <x:v>按执行角色权限读取；策略只能使用可访问快照</x:v>
      </x:c>
    </x:row>
    <x:row r="3146" ht="32" customHeight="1">
      <x:c r="A3146" s="30" t="str">
        <x:v>A037</x:v>
      </x:c>
      <x:c r="B3146" s="30" t="str">
        <x:v>F264</x:v>
      </x:c>
      <x:c r="C3146" s="30" t="str">
        <x:v>link.state</x:v>
      </x:c>
      <x:c r="D3146" s="30" t="str">
        <x:v>候选输入schema</x:v>
      </x:c>
      <x:c r="E3146" s="30" t="str">
        <x:v>按执行角色权限读取；策略只能使用可访问快照</x:v>
      </x:c>
    </x:row>
    <x:row r="3147" ht="32" customHeight="1">
      <x:c r="A3147" s="30" t="str">
        <x:v>A037</x:v>
      </x:c>
      <x:c r="B3147" s="30" t="str">
        <x:v>F265</x:v>
      </x:c>
      <x:c r="C3147" s="30" t="str">
        <x:v>link.rssi_dbm</x:v>
      </x:c>
      <x:c r="D3147" s="30" t="str">
        <x:v>候选输入schema</x:v>
      </x:c>
      <x:c r="E3147" s="30" t="str">
        <x:v>按执行角色权限读取；策略只能使用可访问快照</x:v>
      </x:c>
    </x:row>
    <x:row r="3148" ht="32" customHeight="1">
      <x:c r="A3148" s="30" t="str">
        <x:v>A037</x:v>
      </x:c>
      <x:c r="B3148" s="30" t="str">
        <x:v>F266</x:v>
      </x:c>
      <x:c r="C3148" s="30" t="str">
        <x:v>link.sinr_db</x:v>
      </x:c>
      <x:c r="D3148" s="30" t="str">
        <x:v>候选输入schema</x:v>
      </x:c>
      <x:c r="E3148" s="30" t="str">
        <x:v>按执行角色权限读取；策略只能使用可访问快照</x:v>
      </x:c>
    </x:row>
    <x:row r="3149" ht="32" customHeight="1">
      <x:c r="A3149" s="30" t="str">
        <x:v>A037</x:v>
      </x:c>
      <x:c r="B3149" s="30" t="str">
        <x:v>F267</x:v>
      </x:c>
      <x:c r="C3149" s="30" t="str">
        <x:v>link.goodput_bps</x:v>
      </x:c>
      <x:c r="D3149" s="30" t="str">
        <x:v>候选输入schema</x:v>
      </x:c>
      <x:c r="E3149" s="30" t="str">
        <x:v>按执行角色权限读取；策略只能使用可访问快照</x:v>
      </x:c>
    </x:row>
    <x:row r="3150" ht="32" customHeight="1">
      <x:c r="A3150" s="30" t="str">
        <x:v>A037</x:v>
      </x:c>
      <x:c r="B3150" s="30" t="str">
        <x:v>F268</x:v>
      </x:c>
      <x:c r="C3150" s="30" t="str">
        <x:v>link.latency_s</x:v>
      </x:c>
      <x:c r="D3150" s="30" t="str">
        <x:v>候选输入schema</x:v>
      </x:c>
      <x:c r="E3150" s="30" t="str">
        <x:v>按执行角色权限读取；策略只能使用可访问快照</x:v>
      </x:c>
    </x:row>
    <x:row r="3151" ht="32" customHeight="1">
      <x:c r="A3151" s="30" t="str">
        <x:v>A037</x:v>
      </x:c>
      <x:c r="B3151" s="30" t="str">
        <x:v>F269</x:v>
      </x:c>
      <x:c r="C3151" s="30" t="str">
        <x:v>link.loss_rate</x:v>
      </x:c>
      <x:c r="D3151" s="30" t="str">
        <x:v>候选输入schema</x:v>
      </x:c>
      <x:c r="E3151" s="30" t="str">
        <x:v>按执行角色权限读取；策略只能使用可访问快照</x:v>
      </x:c>
    </x:row>
    <x:row r="3152" ht="32" customHeight="1">
      <x:c r="A3152" s="30" t="str">
        <x:v>A037</x:v>
      </x:c>
      <x:c r="B3152" s="30" t="str">
        <x:v>F270</x:v>
      </x:c>
      <x:c r="C3152" s="30" t="str">
        <x:v>link.sample_count</x:v>
      </x:c>
      <x:c r="D3152" s="30" t="str">
        <x:v>候选输入schema</x:v>
      </x:c>
      <x:c r="E3152" s="30" t="str">
        <x:v>按执行角色权限读取；策略只能使用可访问快照</x:v>
      </x:c>
    </x:row>
    <x:row r="3153" ht="32" customHeight="1">
      <x:c r="A3153" s="30" t="str">
        <x:v>A037</x:v>
      </x:c>
      <x:c r="B3153" s="30" t="str">
        <x:v>F271</x:v>
      </x:c>
      <x:c r="C3153" s="30" t="str">
        <x:v>link.sampled_at_s</x:v>
      </x:c>
      <x:c r="D3153" s="30" t="str">
        <x:v>候选输入schema</x:v>
      </x:c>
      <x:c r="E3153" s="30" t="str">
        <x:v>按执行角色权限读取；策略只能使用可访问快照</x:v>
      </x:c>
    </x:row>
    <x:row r="3154" ht="32" customHeight="1">
      <x:c r="A3154" s="30" t="str">
        <x:v>A037</x:v>
      </x:c>
      <x:c r="B3154" s="30" t="str">
        <x:v>F272</x:v>
      </x:c>
      <x:c r="C3154" s="30" t="str">
        <x:v>link.route</x:v>
      </x:c>
      <x:c r="D3154" s="30" t="str">
        <x:v>候选输入schema</x:v>
      </x:c>
      <x:c r="E3154" s="30" t="str">
        <x:v>按执行角色权限读取；策略只能使用可访问快照</x:v>
      </x:c>
    </x:row>
    <x:row r="3155" ht="32" customHeight="1">
      <x:c r="A3155" s="30" t="str">
        <x:v>A037</x:v>
      </x:c>
      <x:c r="B3155" s="30" t="str">
        <x:v>F273</x:v>
      </x:c>
      <x:c r="C3155" s="30" t="str">
        <x:v>link.outage_duration_s</x:v>
      </x:c>
      <x:c r="D3155" s="30" t="str">
        <x:v>候选输入schema</x:v>
      </x:c>
      <x:c r="E3155" s="30" t="str">
        <x:v>按执行角色权限读取；策略只能使用可访问快照</x:v>
      </x:c>
    </x:row>
    <x:row r="3156" ht="32" customHeight="1">
      <x:c r="A3156" s="30" t="str">
        <x:v>A037</x:v>
      </x:c>
      <x:c r="B3156" s="30" t="str">
        <x:v>F274</x:v>
      </x:c>
      <x:c r="C3156" s="30" t="str">
        <x:v>link.quality_source</x:v>
      </x:c>
      <x:c r="D3156" s="30" t="str">
        <x:v>候选输入schema</x:v>
      </x:c>
      <x:c r="E3156" s="30" t="str">
        <x:v>按执行角色权限读取；策略只能使用可访问快照</x:v>
      </x:c>
    </x:row>
    <x:row r="3157" ht="32" customHeight="1">
      <x:c r="A3157" s="30" t="str">
        <x:v>A037</x:v>
      </x:c>
      <x:c r="B3157" s="30" t="str">
        <x:v>F275</x:v>
      </x:c>
      <x:c r="C3157" s="30" t="str">
        <x:v>message.kind</x:v>
      </x:c>
      <x:c r="D3157" s="30" t="str">
        <x:v>候选输入schema</x:v>
      </x:c>
      <x:c r="E3157" s="30" t="str">
        <x:v>按执行角色权限读取；策略只能使用可访问快照</x:v>
      </x:c>
    </x:row>
    <x:row r="3158" ht="32" customHeight="1">
      <x:c r="A3158" s="30" t="str">
        <x:v>A037</x:v>
      </x:c>
      <x:c r="B3158" s="30" t="str">
        <x:v>F276</x:v>
      </x:c>
      <x:c r="C3158" s="30" t="str">
        <x:v>message.sender_id</x:v>
      </x:c>
      <x:c r="D3158" s="30" t="str">
        <x:v>候选输入schema</x:v>
      </x:c>
      <x:c r="E3158" s="30" t="str">
        <x:v>按执行角色权限读取；策略只能使用可访问快照</x:v>
      </x:c>
    </x:row>
    <x:row r="3159" ht="32" customHeight="1">
      <x:c r="A3159" s="30" t="str">
        <x:v>A037</x:v>
      </x:c>
      <x:c r="B3159" s="30" t="str">
        <x:v>F277</x:v>
      </x:c>
      <x:c r="C3159" s="30" t="str">
        <x:v>message.receiver_ids</x:v>
      </x:c>
      <x:c r="D3159" s="30" t="str">
        <x:v>候选输入schema</x:v>
      </x:c>
      <x:c r="E3159" s="30" t="str">
        <x:v>按执行角色权限读取；策略只能使用可访问快照</x:v>
      </x:c>
    </x:row>
    <x:row r="3160" ht="32" customHeight="1">
      <x:c r="A3160" s="30" t="str">
        <x:v>A037</x:v>
      </x:c>
      <x:c r="B3160" s="30" t="str">
        <x:v>F278</x:v>
      </x:c>
      <x:c r="C3160" s="30" t="str">
        <x:v>message.payload_ref</x:v>
      </x:c>
      <x:c r="D3160" s="30" t="str">
        <x:v>候选输入schema</x:v>
      </x:c>
      <x:c r="E3160" s="30" t="str">
        <x:v>按执行角色权限读取；策略只能使用可访问快照</x:v>
      </x:c>
    </x:row>
    <x:row r="3161" ht="32" customHeight="1">
      <x:c r="A3161" s="30" t="str">
        <x:v>A037</x:v>
      </x:c>
      <x:c r="B3161" s="30" t="str">
        <x:v>F279</x:v>
      </x:c>
      <x:c r="C3161" s="30" t="str">
        <x:v>message.size_bytes</x:v>
      </x:c>
      <x:c r="D3161" s="30" t="str">
        <x:v>候选输入schema</x:v>
      </x:c>
      <x:c r="E3161" s="30" t="str">
        <x:v>按执行角色权限读取；策略只能使用可访问快照</x:v>
      </x:c>
    </x:row>
    <x:row r="3162" ht="32" customHeight="1">
      <x:c r="A3162" s="30" t="str">
        <x:v>A037</x:v>
      </x:c>
      <x:c r="B3162" s="30" t="str">
        <x:v>F280</x:v>
      </x:c>
      <x:c r="C3162" s="30" t="str">
        <x:v>message.fragment_count</x:v>
      </x:c>
      <x:c r="D3162" s="30" t="str">
        <x:v>候选输入schema</x:v>
      </x:c>
      <x:c r="E3162" s="30" t="str">
        <x:v>按执行角色权限读取；策略只能使用可访问快照</x:v>
      </x:c>
    </x:row>
    <x:row r="3163" ht="32" customHeight="1">
      <x:c r="A3163" s="30" t="str">
        <x:v>A037</x:v>
      </x:c>
      <x:c r="B3163" s="30" t="str">
        <x:v>F281</x:v>
      </x:c>
      <x:c r="C3163" s="30" t="str">
        <x:v>message.received_fragments</x:v>
      </x:c>
      <x:c r="D3163" s="30" t="str">
        <x:v>候选输入schema</x:v>
      </x:c>
      <x:c r="E3163" s="30" t="str">
        <x:v>按执行角色权限读取；策略只能使用可访问快照</x:v>
      </x:c>
    </x:row>
    <x:row r="3164" ht="32" customHeight="1">
      <x:c r="A3164" s="30" t="str">
        <x:v>A037</x:v>
      </x:c>
      <x:c r="B3164" s="30" t="str">
        <x:v>F282</x:v>
      </x:c>
      <x:c r="C3164" s="30" t="str">
        <x:v>message.content_hash</x:v>
      </x:c>
      <x:c r="D3164" s="30" t="str">
        <x:v>候选输入schema</x:v>
      </x:c>
      <x:c r="E3164" s="30" t="str">
        <x:v>按执行角色权限读取；策略只能使用可访问快照</x:v>
      </x:c>
    </x:row>
    <x:row r="3165" ht="32" customHeight="1">
      <x:c r="A3165" s="30" t="str">
        <x:v>A037</x:v>
      </x:c>
      <x:c r="B3165" s="30" t="str">
        <x:v>F283</x:v>
      </x:c>
      <x:c r="C3165" s="30" t="str">
        <x:v>message.priority</x:v>
      </x:c>
      <x:c r="D3165" s="30" t="str">
        <x:v>候选输入schema</x:v>
      </x:c>
      <x:c r="E3165" s="30" t="str">
        <x:v>按执行角色权限读取；策略只能使用可访问快照</x:v>
      </x:c>
    </x:row>
    <x:row r="3166" ht="32" customHeight="1">
      <x:c r="A3166" s="30" t="str">
        <x:v>A037</x:v>
      </x:c>
      <x:c r="B3166" s="30" t="str">
        <x:v>F284</x:v>
      </x:c>
      <x:c r="C3166" s="30" t="str">
        <x:v>message.ttl_s</x:v>
      </x:c>
      <x:c r="D3166" s="30" t="str">
        <x:v>候选输入schema</x:v>
      </x:c>
      <x:c r="E3166" s="30" t="str">
        <x:v>按执行角色权限读取；策略只能使用可访问快照</x:v>
      </x:c>
    </x:row>
    <x:row r="3167" ht="32" customHeight="1">
      <x:c r="A3167" s="30" t="str">
        <x:v>A037</x:v>
      </x:c>
      <x:c r="B3167" s="30" t="str">
        <x:v>F285</x:v>
      </x:c>
      <x:c r="C3167" s="30" t="str">
        <x:v>message.status</x:v>
      </x:c>
      <x:c r="D3167" s="30" t="str">
        <x:v>候选输入schema</x:v>
      </x:c>
      <x:c r="E3167" s="30" t="str">
        <x:v>按执行角色权限读取；策略只能使用可访问快照</x:v>
      </x:c>
    </x:row>
    <x:row r="3168" ht="32" customHeight="1">
      <x:c r="A3168" s="30" t="str">
        <x:v>A037</x:v>
      </x:c>
      <x:c r="B3168" s="30" t="str">
        <x:v>F286</x:v>
      </x:c>
      <x:c r="C3168" s="30" t="str">
        <x:v>message.sent_s</x:v>
      </x:c>
      <x:c r="D3168" s="30" t="str">
        <x:v>候选输入schema</x:v>
      </x:c>
      <x:c r="E3168" s="30" t="str">
        <x:v>按执行角色权限读取；策略只能使用可访问快照</x:v>
      </x:c>
    </x:row>
    <x:row r="3169" ht="32" customHeight="1">
      <x:c r="A3169" s="30" t="str">
        <x:v>A037</x:v>
      </x:c>
      <x:c r="B3169" s="30" t="str">
        <x:v>F287</x:v>
      </x:c>
      <x:c r="C3169" s="30" t="str">
        <x:v>message.delivered_s</x:v>
      </x:c>
      <x:c r="D3169" s="30" t="str">
        <x:v>候选输入schema</x:v>
      </x:c>
      <x:c r="E3169" s="30" t="str">
        <x:v>按执行角色权限读取；策略只能使用可访问快照</x:v>
      </x:c>
    </x:row>
    <x:row r="3170" ht="32" customHeight="1">
      <x:c r="A3170" s="30" t="str">
        <x:v>A037</x:v>
      </x:c>
      <x:c r="B3170" s="30" t="str">
        <x:v>F288</x:v>
      </x:c>
      <x:c r="C3170" s="30" t="str">
        <x:v>message.ack_state</x:v>
      </x:c>
      <x:c r="D3170" s="30" t="str">
        <x:v>候选输入schema</x:v>
      </x:c>
      <x:c r="E3170" s="30" t="str">
        <x:v>按执行角色权限读取；策略只能使用可访问快照</x:v>
      </x:c>
    </x:row>
    <x:row r="3171" ht="32" customHeight="1">
      <x:c r="A3171" s="30" t="str">
        <x:v>A037</x:v>
      </x:c>
      <x:c r="B3171" s="30" t="str">
        <x:v>F289</x:v>
      </x:c>
      <x:c r="C3171" s="30" t="str">
        <x:v>message.retry_count</x:v>
      </x:c>
      <x:c r="D3171" s="30" t="str">
        <x:v>候选输入schema</x:v>
      </x:c>
      <x:c r="E3171" s="30" t="str">
        <x:v>按执行角色权限读取；策略只能使用可访问快照</x:v>
      </x:c>
    </x:row>
    <x:row r="3172" ht="32" customHeight="1">
      <x:c r="A3172" s="30" t="str">
        <x:v>A037</x:v>
      </x:c>
      <x:c r="B3172" s="30" t="str">
        <x:v>F290</x:v>
      </x:c>
      <x:c r="C3172" s="30" t="str">
        <x:v>message.hop_trace</x:v>
      </x:c>
      <x:c r="D3172" s="30" t="str">
        <x:v>候选输入schema</x:v>
      </x:c>
      <x:c r="E3172" s="30" t="str">
        <x:v>按执行角色权限读取；策略只能使用可访问快照</x:v>
      </x:c>
    </x:row>
    <x:row r="3173" ht="32" customHeight="1">
      <x:c r="A3173" s="30" t="str">
        <x:v>A037</x:v>
      </x:c>
      <x:c r="B3173" s="30" t="str">
        <x:v>F291</x:v>
      </x:c>
      <x:c r="C3173" s="30" t="str">
        <x:v>message.correlation_id</x:v>
      </x:c>
      <x:c r="D3173" s="30" t="str">
        <x:v>候选输入schema</x:v>
      </x:c>
      <x:c r="E3173" s="30" t="str">
        <x:v>按执行角色权限读取；策略只能使用可访问快照</x:v>
      </x:c>
    </x:row>
    <x:row r="3174" ht="32" customHeight="1">
      <x:c r="A3174" s="30" t="str">
        <x:v>A037</x:v>
      </x:c>
      <x:c r="B3174" s="30" t="str">
        <x:v>F292</x:v>
      </x:c>
      <x:c r="C3174" s="30" t="str">
        <x:v>message.local_availability</x:v>
      </x:c>
      <x:c r="D3174" s="30" t="str">
        <x:v>候选输入schema</x:v>
      </x:c>
      <x:c r="E3174" s="30" t="str">
        <x:v>按执行角色权限读取；策略只能使用可访问快照</x:v>
      </x:c>
    </x:row>
    <x:row r="3175" ht="32" customHeight="1">
      <x:c r="A3175" s="30" t="str">
        <x:v>A037</x:v>
      </x:c>
      <x:c r="B3175" s="30" t="str">
        <x:v>F288</x:v>
      </x:c>
      <x:c r="C3175" s="30" t="str">
        <x:v>message.ack_state</x:v>
      </x:c>
      <x:c r="D3175" s="30" t="str">
        <x:v>直接效果</x:v>
      </x:c>
      <x:c r="E3175" s="30" t="str">
        <x:v>经实际执行/回执提交；不是规划时提前修改</x:v>
      </x:c>
    </x:row>
    <x:row r="3176" ht="32" customHeight="1">
      <x:c r="A3176" s="30" t="str">
        <x:v>A037</x:v>
      </x:c>
      <x:c r="B3176" s="30" t="str">
        <x:v>F289</x:v>
      </x:c>
      <x:c r="C3176" s="30" t="str">
        <x:v>message.retry_count</x:v>
      </x:c>
      <x:c r="D3176" s="30" t="str">
        <x:v>直接效果</x:v>
      </x:c>
      <x:c r="E3176" s="30" t="str">
        <x:v>经实际执行/回执提交；不是规划时提前修改</x:v>
      </x:c>
    </x:row>
    <x:row r="3177" ht="32" customHeight="1">
      <x:c r="A3177" s="30" t="str">
        <x:v>A037</x:v>
      </x:c>
      <x:c r="B3177" s="30" t="str">
        <x:v>F225</x:v>
      </x:c>
      <x:c r="C3177" s="30" t="str">
        <x:v>assignment.delivery_state</x:v>
      </x:c>
      <x:c r="D3177" s="30" t="str">
        <x:v>直接效果</x:v>
      </x:c>
      <x:c r="E3177" s="30" t="str">
        <x:v>经实际执行/回执提交；不是规划时提前修改</x:v>
      </x:c>
    </x:row>
    <x:row r="3178" ht="32" customHeight="1">
      <x:c r="A3178" s="30" t="str">
        <x:v>A038</x:v>
      </x:c>
      <x:c r="B3178" s="30" t="str">
        <x:v>F166</x:v>
      </x:c>
      <x:c r="C3178" s="30" t="str">
        <x:v>observation.observer_id</x:v>
      </x:c>
      <x:c r="D3178" s="30" t="str">
        <x:v>候选输入schema</x:v>
      </x:c>
      <x:c r="E3178" s="30" t="str">
        <x:v>按执行角色权限读取；策略只能使用可访问快照</x:v>
      </x:c>
    </x:row>
    <x:row r="3179" ht="32" customHeight="1">
      <x:c r="A3179" s="30" t="str">
        <x:v>A038</x:v>
      </x:c>
      <x:c r="B3179" s="30" t="str">
        <x:v>F167</x:v>
      </x:c>
      <x:c r="C3179" s="30" t="str">
        <x:v>observation.sensor_id</x:v>
      </x:c>
      <x:c r="D3179" s="30" t="str">
        <x:v>候选输入schema</x:v>
      </x:c>
      <x:c r="E3179" s="30" t="str">
        <x:v>按执行角色权限读取；策略只能使用可访问快照</x:v>
      </x:c>
    </x:row>
    <x:row r="3180" ht="32" customHeight="1">
      <x:c r="A3180" s="30" t="str">
        <x:v>A038</x:v>
      </x:c>
      <x:c r="B3180" s="30" t="str">
        <x:v>F168</x:v>
      </x:c>
      <x:c r="C3180" s="30" t="str">
        <x:v>observation.captured_at_s</x:v>
      </x:c>
      <x:c r="D3180" s="30" t="str">
        <x:v>候选输入schema</x:v>
      </x:c>
      <x:c r="E3180" s="30" t="str">
        <x:v>按执行角色权限读取；策略只能使用可访问快照</x:v>
      </x:c>
    </x:row>
    <x:row r="3181" ht="32" customHeight="1">
      <x:c r="A3181" s="30" t="str">
        <x:v>A038</x:v>
      </x:c>
      <x:c r="B3181" s="30" t="str">
        <x:v>F169</x:v>
      </x:c>
      <x:c r="C3181" s="30" t="str">
        <x:v>observation.pose_estimate</x:v>
      </x:c>
      <x:c r="D3181" s="30" t="str">
        <x:v>候选输入schema</x:v>
      </x:c>
      <x:c r="E3181" s="30" t="str">
        <x:v>按执行角色权限读取；策略只能使用可访问快照</x:v>
      </x:c>
    </x:row>
    <x:row r="3182" ht="32" customHeight="1">
      <x:c r="A3182" s="30" t="str">
        <x:v>A038</x:v>
      </x:c>
      <x:c r="B3182" s="30" t="str">
        <x:v>F170</x:v>
      </x:c>
      <x:c r="C3182" s="30" t="str">
        <x:v>observation.payload_ref</x:v>
      </x:c>
      <x:c r="D3182" s="30" t="str">
        <x:v>候选输入schema</x:v>
      </x:c>
      <x:c r="E3182" s="30" t="str">
        <x:v>按执行角色权限读取；策略只能使用可访问快照</x:v>
      </x:c>
    </x:row>
    <x:row r="3183" ht="32" customHeight="1">
      <x:c r="A3183" s="30" t="str">
        <x:v>A038</x:v>
      </x:c>
      <x:c r="B3183" s="30" t="str">
        <x:v>F171</x:v>
      </x:c>
      <x:c r="C3183" s="30" t="str">
        <x:v>observation.payload_bytes</x:v>
      </x:c>
      <x:c r="D3183" s="30" t="str">
        <x:v>候选输入schema</x:v>
      </x:c>
      <x:c r="E3183" s="30" t="str">
        <x:v>按执行角色权限读取；策略只能使用可访问快照</x:v>
      </x:c>
    </x:row>
    <x:row r="3184" ht="32" customHeight="1">
      <x:c r="A3184" s="30" t="str">
        <x:v>A038</x:v>
      </x:c>
      <x:c r="B3184" s="30" t="str">
        <x:v>F172</x:v>
      </x:c>
      <x:c r="C3184" s="30" t="str">
        <x:v>observation.content_hash</x:v>
      </x:c>
      <x:c r="D3184" s="30" t="str">
        <x:v>候选输入schema</x:v>
      </x:c>
      <x:c r="E3184" s="30" t="str">
        <x:v>按执行角色权限读取；策略只能使用可访问快照</x:v>
      </x:c>
    </x:row>
    <x:row r="3185" ht="32" customHeight="1">
      <x:c r="A3185" s="30" t="str">
        <x:v>A038</x:v>
      </x:c>
      <x:c r="B3185" s="30" t="str">
        <x:v>F173</x:v>
      </x:c>
      <x:c r="C3185" s="30" t="str">
        <x:v>observation.modality</x:v>
      </x:c>
      <x:c r="D3185" s="30" t="str">
        <x:v>候选输入schema</x:v>
      </x:c>
      <x:c r="E3185" s="30" t="str">
        <x:v>按执行角色权限读取；策略只能使用可访问快照</x:v>
      </x:c>
    </x:row>
    <x:row r="3186" ht="32" customHeight="1">
      <x:c r="A3186" s="30" t="str">
        <x:v>A038</x:v>
      </x:c>
      <x:c r="B3186" s="30" t="str">
        <x:v>F174</x:v>
      </x:c>
      <x:c r="C3186" s="30" t="str">
        <x:v>observation.detections</x:v>
      </x:c>
      <x:c r="D3186" s="30" t="str">
        <x:v>候选输入schema</x:v>
      </x:c>
      <x:c r="E3186" s="30" t="str">
        <x:v>按执行角色权限读取；策略只能使用可访问快照</x:v>
      </x:c>
    </x:row>
    <x:row r="3187" ht="32" customHeight="1">
      <x:c r="A3187" s="30" t="str">
        <x:v>A038</x:v>
      </x:c>
      <x:c r="B3187" s="30" t="str">
        <x:v>F175</x:v>
      </x:c>
      <x:c r="C3187" s="30" t="str">
        <x:v>observation.confidence</x:v>
      </x:c>
      <x:c r="D3187" s="30" t="str">
        <x:v>候选输入schema</x:v>
      </x:c>
      <x:c r="E3187" s="30" t="str">
        <x:v>按执行角色权限读取；策略只能使用可访问快照</x:v>
      </x:c>
    </x:row>
    <x:row r="3188" ht="32" customHeight="1">
      <x:c r="A3188" s="30" t="str">
        <x:v>A038</x:v>
      </x:c>
      <x:c r="B3188" s="30" t="str">
        <x:v>F176</x:v>
      </x:c>
      <x:c r="C3188" s="30" t="str">
        <x:v>observation.coverage_estimate</x:v>
      </x:c>
      <x:c r="D3188" s="30" t="str">
        <x:v>候选输入schema</x:v>
      </x:c>
      <x:c r="E3188" s="30" t="str">
        <x:v>按执行角色权限读取；策略只能使用可访问快照</x:v>
      </x:c>
    </x:row>
    <x:row r="3189" ht="32" customHeight="1">
      <x:c r="A3189" s="30" t="str">
        <x:v>A038</x:v>
      </x:c>
      <x:c r="B3189" s="30" t="str">
        <x:v>F177</x:v>
      </x:c>
      <x:c r="C3189" s="30" t="str">
        <x:v>observation.processing_job_id</x:v>
      </x:c>
      <x:c r="D3189" s="30" t="str">
        <x:v>候选输入schema</x:v>
      </x:c>
      <x:c r="E3189" s="30" t="str">
        <x:v>按执行角色权限读取；策略只能使用可访问快照</x:v>
      </x:c>
    </x:row>
    <x:row r="3190" ht="32" customHeight="1">
      <x:c r="A3190" s="30" t="str">
        <x:v>A038</x:v>
      </x:c>
      <x:c r="B3190" s="30" t="str">
        <x:v>F178</x:v>
      </x:c>
      <x:c r="C3190" s="30" t="str">
        <x:v>observation.parent_evidence_ids</x:v>
      </x:c>
      <x:c r="D3190" s="30" t="str">
        <x:v>候选输入schema</x:v>
      </x:c>
      <x:c r="E3190" s="30" t="str">
        <x:v>按执行角色权限读取；策略只能使用可访问快照</x:v>
      </x:c>
    </x:row>
    <x:row r="3191" ht="32" customHeight="1">
      <x:c r="A3191" s="30" t="str">
        <x:v>A038</x:v>
      </x:c>
      <x:c r="B3191" s="30" t="str">
        <x:v>F179</x:v>
      </x:c>
      <x:c r="C3191" s="30" t="str">
        <x:v>observation.valid_until_s</x:v>
      </x:c>
      <x:c r="D3191" s="30" t="str">
        <x:v>候选输入schema</x:v>
      </x:c>
      <x:c r="E3191" s="30" t="str">
        <x:v>按执行角色权限读取；策略只能使用可访问快照</x:v>
      </x:c>
    </x:row>
    <x:row r="3192" ht="32" customHeight="1">
      <x:c r="A3192" s="30" t="str">
        <x:v>A038</x:v>
      </x:c>
      <x:c r="B3192" s="30" t="str">
        <x:v>F180</x:v>
      </x:c>
      <x:c r="C3192" s="30" t="str">
        <x:v>observation.mode</x:v>
      </x:c>
      <x:c r="D3192" s="30" t="str">
        <x:v>候选输入schema</x:v>
      </x:c>
      <x:c r="E3192" s="30" t="str">
        <x:v>按执行角色权限读取；策略只能使用可访问快照</x:v>
      </x:c>
    </x:row>
    <x:row r="3193" ht="32" customHeight="1">
      <x:c r="A3193" s="30" t="str">
        <x:v>A038</x:v>
      </x:c>
      <x:c r="B3193" s="30" t="str">
        <x:v>F181</x:v>
      </x:c>
      <x:c r="C3193" s="30" t="str">
        <x:v>belief.agent_id</x:v>
      </x:c>
      <x:c r="D3193" s="30" t="str">
        <x:v>候选输入schema</x:v>
      </x:c>
      <x:c r="E3193" s="30" t="str">
        <x:v>按执行角色权限读取；策略只能使用可访问快照</x:v>
      </x:c>
    </x:row>
    <x:row r="3194" ht="32" customHeight="1">
      <x:c r="A3194" s="30" t="str">
        <x:v>A038</x:v>
      </x:c>
      <x:c r="B3194" s="30" t="str">
        <x:v>F182</x:v>
      </x:c>
      <x:c r="C3194" s="30" t="str">
        <x:v>belief.entity_ref</x:v>
      </x:c>
      <x:c r="D3194" s="30" t="str">
        <x:v>候选输入schema</x:v>
      </x:c>
      <x:c r="E3194" s="30" t="str">
        <x:v>按执行角色权限读取；策略只能使用可访问快照</x:v>
      </x:c>
    </x:row>
    <x:row r="3195" ht="32" customHeight="1">
      <x:c r="A3195" s="30" t="str">
        <x:v>A038</x:v>
      </x:c>
      <x:c r="B3195" s="30" t="str">
        <x:v>F183</x:v>
      </x:c>
      <x:c r="C3195" s="30" t="str">
        <x:v>belief.estimated_damage</x:v>
      </x:c>
      <x:c r="D3195" s="30" t="str">
        <x:v>候选输入schema</x:v>
      </x:c>
      <x:c r="E3195" s="30" t="str">
        <x:v>按执行角色权限读取；策略只能使用可访问快照</x:v>
      </x:c>
    </x:row>
    <x:row r="3196" ht="32" customHeight="1">
      <x:c r="A3196" s="30" t="str">
        <x:v>A038</x:v>
      </x:c>
      <x:c r="B3196" s="30" t="str">
        <x:v>F184</x:v>
      </x:c>
      <x:c r="C3196" s="30" t="str">
        <x:v>belief.human_presence</x:v>
      </x:c>
      <x:c r="D3196" s="30" t="str">
        <x:v>候选输入schema</x:v>
      </x:c>
      <x:c r="E3196" s="30" t="str">
        <x:v>按执行角色权限读取；策略只能使用可访问快照</x:v>
      </x:c>
    </x:row>
    <x:row r="3197" ht="32" customHeight="1">
      <x:c r="A3197" s="30" t="str">
        <x:v>A038</x:v>
      </x:c>
      <x:c r="B3197" s="30" t="str">
        <x:v>F185</x:v>
      </x:c>
      <x:c r="C3197" s="30" t="str">
        <x:v>belief.estimated_pose</x:v>
      </x:c>
      <x:c r="D3197" s="30" t="str">
        <x:v>候选输入schema</x:v>
      </x:c>
      <x:c r="E3197" s="30" t="str">
        <x:v>按执行角色权限读取；策略只能使用可访问快照</x:v>
      </x:c>
    </x:row>
    <x:row r="3198" ht="32" customHeight="1">
      <x:c r="A3198" s="30" t="str">
        <x:v>A038</x:v>
      </x:c>
      <x:c r="B3198" s="30" t="str">
        <x:v>F186</x:v>
      </x:c>
      <x:c r="C3198" s="30" t="str">
        <x:v>belief.estimated_access</x:v>
      </x:c>
      <x:c r="D3198" s="30" t="str">
        <x:v>候选输入schema</x:v>
      </x:c>
      <x:c r="E3198" s="30" t="str">
        <x:v>按执行角色权限读取；策略只能使用可访问快照</x:v>
      </x:c>
    </x:row>
    <x:row r="3199" ht="32" customHeight="1">
      <x:c r="A3199" s="30" t="str">
        <x:v>A038</x:v>
      </x:c>
      <x:c r="B3199" s="30" t="str">
        <x:v>F187</x:v>
      </x:c>
      <x:c r="C3199" s="30" t="str">
        <x:v>belief.estimated_needs</x:v>
      </x:c>
      <x:c r="D3199" s="30" t="str">
        <x:v>候选输入schema</x:v>
      </x:c>
      <x:c r="E3199" s="30" t="str">
        <x:v>按执行角色权限读取；策略只能使用可访问快照</x:v>
      </x:c>
    </x:row>
    <x:row r="3200" ht="32" customHeight="1">
      <x:c r="A3200" s="30" t="str">
        <x:v>A038</x:v>
      </x:c>
      <x:c r="B3200" s="30" t="str">
        <x:v>F188</x:v>
      </x:c>
      <x:c r="C3200" s="30" t="str">
        <x:v>belief.evidence_ids</x:v>
      </x:c>
      <x:c r="D3200" s="30" t="str">
        <x:v>候选输入schema</x:v>
      </x:c>
      <x:c r="E3200" s="30" t="str">
        <x:v>按执行角色权限读取；策略只能使用可访问快照</x:v>
      </x:c>
    </x:row>
    <x:row r="3201" ht="32" customHeight="1">
      <x:c r="A3201" s="30" t="str">
        <x:v>A038</x:v>
      </x:c>
      <x:c r="B3201" s="30" t="str">
        <x:v>F189</x:v>
      </x:c>
      <x:c r="C3201" s="30" t="str">
        <x:v>belief.source_agent_ids</x:v>
      </x:c>
      <x:c r="D3201" s="30" t="str">
        <x:v>候选输入schema</x:v>
      </x:c>
      <x:c r="E3201" s="30" t="str">
        <x:v>按执行角色权限读取；策略只能使用可访问快照</x:v>
      </x:c>
    </x:row>
    <x:row r="3202" ht="32" customHeight="1">
      <x:c r="A3202" s="30" t="str">
        <x:v>A038</x:v>
      </x:c>
      <x:c r="B3202" s="30" t="str">
        <x:v>F190</x:v>
      </x:c>
      <x:c r="C3202" s="30" t="str">
        <x:v>belief.updated_at_s</x:v>
      </x:c>
      <x:c r="D3202" s="30" t="str">
        <x:v>候选输入schema</x:v>
      </x:c>
      <x:c r="E3202" s="30" t="str">
        <x:v>按执行角色权限读取；策略只能使用可访问快照</x:v>
      </x:c>
    </x:row>
    <x:row r="3203" ht="32" customHeight="1">
      <x:c r="A3203" s="30" t="str">
        <x:v>A038</x:v>
      </x:c>
      <x:c r="B3203" s="30" t="str">
        <x:v>F191</x:v>
      </x:c>
      <x:c r="C3203" s="30" t="str">
        <x:v>belief.staleness_s</x:v>
      </x:c>
      <x:c r="D3203" s="30" t="str">
        <x:v>候选输入schema</x:v>
      </x:c>
      <x:c r="E3203" s="30" t="str">
        <x:v>按执行角色权限读取；策略只能使用可访问快照</x:v>
      </x:c>
    </x:row>
    <x:row r="3204" ht="32" customHeight="1">
      <x:c r="A3204" s="30" t="str">
        <x:v>A038</x:v>
      </x:c>
      <x:c r="B3204" s="30" t="str">
        <x:v>F192</x:v>
      </x:c>
      <x:c r="C3204" s="30" t="str">
        <x:v>belief.conflict_state</x:v>
      </x:c>
      <x:c r="D3204" s="30" t="str">
        <x:v>候选输入schema</x:v>
      </x:c>
      <x:c r="E3204" s="30" t="str">
        <x:v>按执行角色权限读取；策略只能使用可访问快照</x:v>
      </x:c>
    </x:row>
    <x:row r="3205" ht="32" customHeight="1">
      <x:c r="A3205" s="30" t="str">
        <x:v>A038</x:v>
      </x:c>
      <x:c r="B3205" s="30" t="str">
        <x:v>F193</x:v>
      </x:c>
      <x:c r="C3205" s="30" t="str">
        <x:v>belief.team_estimates</x:v>
      </x:c>
      <x:c r="D3205" s="30" t="str">
        <x:v>候选输入schema</x:v>
      </x:c>
      <x:c r="E3205" s="30" t="str">
        <x:v>按执行角色权限读取；策略只能使用可访问快照</x:v>
      </x:c>
    </x:row>
    <x:row r="3206" ht="32" customHeight="1">
      <x:c r="A3206" s="30" t="str">
        <x:v>A038</x:v>
      </x:c>
      <x:c r="B3206" s="30" t="str">
        <x:v>F194</x:v>
      </x:c>
      <x:c r="C3206" s="30" t="str">
        <x:v>belief.search_status</x:v>
      </x:c>
      <x:c r="D3206" s="30" t="str">
        <x:v>候选输入schema</x:v>
      </x:c>
      <x:c r="E3206" s="30" t="str">
        <x:v>按执行角色权限读取；策略只能使用可访问快照</x:v>
      </x:c>
    </x:row>
    <x:row r="3207" ht="32" customHeight="1">
      <x:c r="A3207" s="30" t="str">
        <x:v>A038</x:v>
      </x:c>
      <x:c r="B3207" s="30" t="str">
        <x:v>F195</x:v>
      </x:c>
      <x:c r="C3207" s="30" t="str">
        <x:v>belief.current_goal_context</x:v>
      </x:c>
      <x:c r="D3207" s="30" t="str">
        <x:v>候选输入schema</x:v>
      </x:c>
      <x:c r="E3207" s="30" t="str">
        <x:v>按执行角色权限读取；策略只能使用可访问快照</x:v>
      </x:c>
    </x:row>
    <x:row r="3208" ht="32" customHeight="1">
      <x:c r="A3208" s="30" t="str">
        <x:v>A038</x:v>
      </x:c>
      <x:c r="B3208" s="30" t="str">
        <x:v>F196</x:v>
      </x:c>
      <x:c r="C3208" s="30" t="str">
        <x:v>task.type</x:v>
      </x:c>
      <x:c r="D3208" s="30" t="str">
        <x:v>候选输入schema</x:v>
      </x:c>
      <x:c r="E3208" s="30" t="str">
        <x:v>按执行角色权限读取；策略只能使用可访问快照</x:v>
      </x:c>
    </x:row>
    <x:row r="3209" ht="32" customHeight="1">
      <x:c r="A3209" s="30" t="str">
        <x:v>A038</x:v>
      </x:c>
      <x:c r="B3209" s="30" t="str">
        <x:v>F197</x:v>
      </x:c>
      <x:c r="C3209" s="30" t="str">
        <x:v>task.creator_id</x:v>
      </x:c>
      <x:c r="D3209" s="30" t="str">
        <x:v>候选输入schema</x:v>
      </x:c>
      <x:c r="E3209" s="30" t="str">
        <x:v>按执行角色权限读取；策略只能使用可访问快照</x:v>
      </x:c>
    </x:row>
    <x:row r="3210" ht="32" customHeight="1">
      <x:c r="A3210" s="30" t="str">
        <x:v>A038</x:v>
      </x:c>
      <x:c r="B3210" s="30" t="str">
        <x:v>F198</x:v>
      </x:c>
      <x:c r="C3210" s="30" t="str">
        <x:v>task.target_ref</x:v>
      </x:c>
      <x:c r="D3210" s="30" t="str">
        <x:v>候选输入schema</x:v>
      </x:c>
      <x:c r="E3210" s="30" t="str">
        <x:v>按执行角色权限读取；策略只能使用可访问快照</x:v>
      </x:c>
    </x:row>
    <x:row r="3211" ht="32" customHeight="1">
      <x:c r="A3211" s="30" t="str">
        <x:v>A038</x:v>
      </x:c>
      <x:c r="B3211" s="30" t="str">
        <x:v>F199</x:v>
      </x:c>
      <x:c r="C3211" s="30" t="str">
        <x:v>task.goal_predicate</x:v>
      </x:c>
      <x:c r="D3211" s="30" t="str">
        <x:v>候选输入schema</x:v>
      </x:c>
      <x:c r="E3211" s="30" t="str">
        <x:v>按执行角色权限读取；策略只能使用可访问快照</x:v>
      </x:c>
    </x:row>
    <x:row r="3212" ht="32" customHeight="1">
      <x:c r="A3212" s="30" t="str">
        <x:v>A038</x:v>
      </x:c>
      <x:c r="B3212" s="30" t="str">
        <x:v>F200</x:v>
      </x:c>
      <x:c r="C3212" s="30" t="str">
        <x:v>task.revision</x:v>
      </x:c>
      <x:c r="D3212" s="30" t="str">
        <x:v>候选输入schema</x:v>
      </x:c>
      <x:c r="E3212" s="30" t="str">
        <x:v>按执行角色权限读取；策略只能使用可访问快照</x:v>
      </x:c>
    </x:row>
    <x:row r="3213" ht="32" customHeight="1">
      <x:c r="A3213" s="30" t="str">
        <x:v>A038</x:v>
      </x:c>
      <x:c r="B3213" s="30" t="str">
        <x:v>F201</x:v>
      </x:c>
      <x:c r="C3213" s="30" t="str">
        <x:v>task.status</x:v>
      </x:c>
      <x:c r="D3213" s="30" t="str">
        <x:v>候选输入schema</x:v>
      </x:c>
      <x:c r="E3213" s="30" t="str">
        <x:v>按执行角色权限读取；策略只能使用可访问快照</x:v>
      </x:c>
    </x:row>
    <x:row r="3214" ht="32" customHeight="1">
      <x:c r="A3214" s="30" t="str">
        <x:v>A038</x:v>
      </x:c>
      <x:c r="B3214" s="30" t="str">
        <x:v>F202</x:v>
      </x:c>
      <x:c r="C3214" s="30" t="str">
        <x:v>task.priority</x:v>
      </x:c>
      <x:c r="D3214" s="30" t="str">
        <x:v>候选输入schema</x:v>
      </x:c>
      <x:c r="E3214" s="30" t="str">
        <x:v>按执行角色权限读取；策略只能使用可访问快照</x:v>
      </x:c>
    </x:row>
    <x:row r="3215" ht="32" customHeight="1">
      <x:c r="A3215" s="30" t="str">
        <x:v>A038</x:v>
      </x:c>
      <x:c r="B3215" s="30" t="str">
        <x:v>F203</x:v>
      </x:c>
      <x:c r="C3215" s="30" t="str">
        <x:v>task.deadline_s</x:v>
      </x:c>
      <x:c r="D3215" s="30" t="str">
        <x:v>候选输入schema</x:v>
      </x:c>
      <x:c r="E3215" s="30" t="str">
        <x:v>按执行角色权限读取；策略只能使用可访问快照</x:v>
      </x:c>
    </x:row>
    <x:row r="3216" ht="32" customHeight="1">
      <x:c r="A3216" s="30" t="str">
        <x:v>A038</x:v>
      </x:c>
      <x:c r="B3216" s="30" t="str">
        <x:v>F204</x:v>
      </x:c>
      <x:c r="C3216" s="30" t="str">
        <x:v>task.dependency_ids</x:v>
      </x:c>
      <x:c r="D3216" s="30" t="str">
        <x:v>候选输入schema</x:v>
      </x:c>
      <x:c r="E3216" s="30" t="str">
        <x:v>按执行角色权限读取；策略只能使用可访问快照</x:v>
      </x:c>
    </x:row>
    <x:row r="3217" ht="32" customHeight="1">
      <x:c r="A3217" s="30" t="str">
        <x:v>A038</x:v>
      </x:c>
      <x:c r="B3217" s="30" t="str">
        <x:v>F205</x:v>
      </x:c>
      <x:c r="C3217" s="30" t="str">
        <x:v>task.required_capability_ids</x:v>
      </x:c>
      <x:c r="D3217" s="30" t="str">
        <x:v>候选输入schema</x:v>
      </x:c>
      <x:c r="E3217" s="30" t="str">
        <x:v>按执行角色权限读取；策略只能使用可访问快照</x:v>
      </x:c>
    </x:row>
    <x:row r="3218" ht="32" customHeight="1">
      <x:c r="A3218" s="30" t="str">
        <x:v>A038</x:v>
      </x:c>
      <x:c r="B3218" s="30" t="str">
        <x:v>F206</x:v>
      </x:c>
      <x:c r="C3218" s="30" t="str">
        <x:v>task.resource_budget</x:v>
      </x:c>
      <x:c r="D3218" s="30" t="str">
        <x:v>候选输入schema</x:v>
      </x:c>
      <x:c r="E3218" s="30" t="str">
        <x:v>按执行角色权限读取；策略只能使用可访问快照</x:v>
      </x:c>
    </x:row>
    <x:row r="3219" ht="32" customHeight="1">
      <x:c r="A3219" s="30" t="str">
        <x:v>A038</x:v>
      </x:c>
      <x:c r="B3219" s="30" t="str">
        <x:v>F207</x:v>
      </x:c>
      <x:c r="C3219" s="30" t="str">
        <x:v>task.assigned_to</x:v>
      </x:c>
      <x:c r="D3219" s="30" t="str">
        <x:v>候选输入schema</x:v>
      </x:c>
      <x:c r="E3219" s="30" t="str">
        <x:v>按执行角色权限读取；策略只能使用可访问快照</x:v>
      </x:c>
    </x:row>
    <x:row r="3220" ht="32" customHeight="1">
      <x:c r="A3220" s="30" t="str">
        <x:v>A038</x:v>
      </x:c>
      <x:c r="B3220" s="30" t="str">
        <x:v>F208</x:v>
      </x:c>
      <x:c r="C3220" s="30" t="str">
        <x:v>task.accepted_by</x:v>
      </x:c>
      <x:c r="D3220" s="30" t="str">
        <x:v>候选输入schema</x:v>
      </x:c>
      <x:c r="E3220" s="30" t="str">
        <x:v>按执行角色权限读取；策略只能使用可访问快照</x:v>
      </x:c>
    </x:row>
    <x:row r="3221" ht="32" customHeight="1">
      <x:c r="A3221" s="30" t="str">
        <x:v>A038</x:v>
      </x:c>
      <x:c r="B3221" s="30" t="str">
        <x:v>F209</x:v>
      </x:c>
      <x:c r="C3221" s="30" t="str">
        <x:v>task.commitment_window</x:v>
      </x:c>
      <x:c r="D3221" s="30" t="str">
        <x:v>候选输入schema</x:v>
      </x:c>
      <x:c r="E3221" s="30" t="str">
        <x:v>按执行角色权限读取；策略只能使用可访问快照</x:v>
      </x:c>
    </x:row>
    <x:row r="3222" ht="32" customHeight="1">
      <x:c r="A3222" s="30" t="str">
        <x:v>A038</x:v>
      </x:c>
      <x:c r="B3222" s="30" t="str">
        <x:v>F210</x:v>
      </x:c>
      <x:c r="C3222" s="30" t="str">
        <x:v>task.progress</x:v>
      </x:c>
      <x:c r="D3222" s="30" t="str">
        <x:v>候选输入schema</x:v>
      </x:c>
      <x:c r="E3222" s="30" t="str">
        <x:v>按执行角色权限读取；策略只能使用可访问快照</x:v>
      </x:c>
    </x:row>
    <x:row r="3223" ht="32" customHeight="1">
      <x:c r="A3223" s="30" t="str">
        <x:v>A038</x:v>
      </x:c>
      <x:c r="B3223" s="30" t="str">
        <x:v>F211</x:v>
      </x:c>
      <x:c r="C3223" s="30" t="str">
        <x:v>task.active_action_ids</x:v>
      </x:c>
      <x:c r="D3223" s="30" t="str">
        <x:v>候选输入schema</x:v>
      </x:c>
      <x:c r="E3223" s="30" t="str">
        <x:v>按执行角色权限读取；策略只能使用可访问快照</x:v>
      </x:c>
    </x:row>
    <x:row r="3224" ht="32" customHeight="1">
      <x:c r="A3224" s="30" t="str">
        <x:v>A038</x:v>
      </x:c>
      <x:c r="B3224" s="30" t="str">
        <x:v>F212</x:v>
      </x:c>
      <x:c r="C3224" s="30" t="str">
        <x:v>task.interruptibility</x:v>
      </x:c>
      <x:c r="D3224" s="30" t="str">
        <x:v>候选输入schema</x:v>
      </x:c>
      <x:c r="E3224" s="30" t="str">
        <x:v>按执行角色权限读取；策略只能使用可访问快照</x:v>
      </x:c>
    </x:row>
    <x:row r="3225" ht="32" customHeight="1">
      <x:c r="A3225" s="30" t="str">
        <x:v>A038</x:v>
      </x:c>
      <x:c r="B3225" s="30" t="str">
        <x:v>F213</x:v>
      </x:c>
      <x:c r="C3225" s="30" t="str">
        <x:v>task.original_task_id</x:v>
      </x:c>
      <x:c r="D3225" s="30" t="str">
        <x:v>候选输入schema</x:v>
      </x:c>
      <x:c r="E3225" s="30" t="str">
        <x:v>按执行角色权限读取；策略只能使用可访问快照</x:v>
      </x:c>
    </x:row>
    <x:row r="3226" ht="32" customHeight="1">
      <x:c r="A3226" s="30" t="str">
        <x:v>A038</x:v>
      </x:c>
      <x:c r="B3226" s="30" t="str">
        <x:v>F214</x:v>
      </x:c>
      <x:c r="C3226" s="30" t="str">
        <x:v>task.resume_checkpoint</x:v>
      </x:c>
      <x:c r="D3226" s="30" t="str">
        <x:v>候选输入schema</x:v>
      </x:c>
      <x:c r="E3226" s="30" t="str">
        <x:v>按执行角色权限读取；策略只能使用可访问快照</x:v>
      </x:c>
    </x:row>
    <x:row r="3227" ht="32" customHeight="1">
      <x:c r="A3227" s="30" t="str">
        <x:v>A038</x:v>
      </x:c>
      <x:c r="B3227" s="30" t="str">
        <x:v>F215</x:v>
      </x:c>
      <x:c r="C3227" s="30" t="str">
        <x:v>task.handoff_target_id</x:v>
      </x:c>
      <x:c r="D3227" s="30" t="str">
        <x:v>候选输入schema</x:v>
      </x:c>
      <x:c r="E3227" s="30" t="str">
        <x:v>按执行角色权限读取；策略只能使用可访问快照</x:v>
      </x:c>
    </x:row>
    <x:row r="3228" ht="32" customHeight="1">
      <x:c r="A3228" s="30" t="str">
        <x:v>A038</x:v>
      </x:c>
      <x:c r="B3228" s="30" t="str">
        <x:v>F216</x:v>
      </x:c>
      <x:c r="C3228" s="30" t="str">
        <x:v>task.result_evidence_ids</x:v>
      </x:c>
      <x:c r="D3228" s="30" t="str">
        <x:v>候选输入schema</x:v>
      </x:c>
      <x:c r="E3228" s="30" t="str">
        <x:v>按执行角色权限读取；策略只能使用可访问快照</x:v>
      </x:c>
    </x:row>
    <x:row r="3229" ht="32" customHeight="1">
      <x:c r="A3229" s="30" t="str">
        <x:v>A038</x:v>
      </x:c>
      <x:c r="B3229" s="30" t="str">
        <x:v>F217</x:v>
      </x:c>
      <x:c r="C3229" s="30" t="str">
        <x:v>task.failure_reason</x:v>
      </x:c>
      <x:c r="D3229" s="30" t="str">
        <x:v>候选输入schema</x:v>
      </x:c>
      <x:c r="E3229" s="30" t="str">
        <x:v>按执行角色权限读取；策略只能使用可访问快照</x:v>
      </x:c>
    </x:row>
    <x:row r="3230" ht="32" customHeight="1">
      <x:c r="A3230" s="30" t="str">
        <x:v>A038</x:v>
      </x:c>
      <x:c r="B3230" s="30" t="str">
        <x:v>F218</x:v>
      </x:c>
      <x:c r="C3230" s="30" t="str">
        <x:v>task.last_event_s</x:v>
      </x:c>
      <x:c r="D3230" s="30" t="str">
        <x:v>候选输入schema</x:v>
      </x:c>
      <x:c r="E3230" s="30" t="str">
        <x:v>按执行角色权限读取；策略只能使用可访问快照</x:v>
      </x:c>
    </x:row>
    <x:row r="3231" ht="32" customHeight="1">
      <x:c r="A3231" s="30" t="str">
        <x:v>A038</x:v>
      </x:c>
      <x:c r="B3231" s="30" t="str">
        <x:v>F219</x:v>
      </x:c>
      <x:c r="C3231" s="30" t="str">
        <x:v>task.opportunity_cost</x:v>
      </x:c>
      <x:c r="D3231" s="30" t="str">
        <x:v>候选输入schema</x:v>
      </x:c>
      <x:c r="E3231" s="30" t="str">
        <x:v>按执行角色权限读取；策略只能使用可访问快照</x:v>
      </x:c>
    </x:row>
    <x:row r="3232" ht="32" customHeight="1">
      <x:c r="A3232" s="30" t="str">
        <x:v>A038</x:v>
      </x:c>
      <x:c r="B3232" s="30" t="str">
        <x:v>F293</x:v>
      </x:c>
      <x:c r="C3232" s="30" t="str">
        <x:v>compute.node_id</x:v>
      </x:c>
      <x:c r="D3232" s="30" t="str">
        <x:v>候选输入schema</x:v>
      </x:c>
      <x:c r="E3232" s="30" t="str">
        <x:v>按执行角色权限读取；策略只能使用可访问快照</x:v>
      </x:c>
    </x:row>
    <x:row r="3233" ht="32" customHeight="1">
      <x:c r="A3233" s="30" t="str">
        <x:v>A038</x:v>
      </x:c>
      <x:c r="B3233" s="30" t="str">
        <x:v>F294</x:v>
      </x:c>
      <x:c r="C3233" s="30" t="str">
        <x:v>compute.device_kind</x:v>
      </x:c>
      <x:c r="D3233" s="30" t="str">
        <x:v>候选输入schema</x:v>
      </x:c>
      <x:c r="E3233" s="30" t="str">
        <x:v>按执行角色权限读取；策略只能使用可访问快照</x:v>
      </x:c>
    </x:row>
    <x:row r="3234" ht="32" customHeight="1">
      <x:c r="A3234" s="30" t="str">
        <x:v>A038</x:v>
      </x:c>
      <x:c r="B3234" s="30" t="str">
        <x:v>F295</x:v>
      </x:c>
      <x:c r="C3234" s="30" t="str">
        <x:v>compute.cpu_capacity</x:v>
      </x:c>
      <x:c r="D3234" s="30" t="str">
        <x:v>候选输入schema</x:v>
      </x:c>
      <x:c r="E3234" s="30" t="str">
        <x:v>按执行角色权限读取；策略只能使用可访问快照</x:v>
      </x:c>
    </x:row>
    <x:row r="3235" ht="32" customHeight="1">
      <x:c r="A3235" s="30" t="str">
        <x:v>A038</x:v>
      </x:c>
      <x:c r="B3235" s="30" t="str">
        <x:v>F296</x:v>
      </x:c>
      <x:c r="C3235" s="30" t="str">
        <x:v>compute.accelerator_capacity</x:v>
      </x:c>
      <x:c r="D3235" s="30" t="str">
        <x:v>候选输入schema</x:v>
      </x:c>
      <x:c r="E3235" s="30" t="str">
        <x:v>按执行角色权限读取；策略只能使用可访问快照</x:v>
      </x:c>
    </x:row>
    <x:row r="3236" ht="32" customHeight="1">
      <x:c r="A3236" s="30" t="str">
        <x:v>A038</x:v>
      </x:c>
      <x:c r="B3236" s="30" t="str">
        <x:v>F297</x:v>
      </x:c>
      <x:c r="C3236" s="30" t="str">
        <x:v>compute.memory_capacity_bytes</x:v>
      </x:c>
      <x:c r="D3236" s="30" t="str">
        <x:v>候选输入schema</x:v>
      </x:c>
      <x:c r="E3236" s="30" t="str">
        <x:v>按执行角色权限读取；策略只能使用可访问快照</x:v>
      </x:c>
    </x:row>
    <x:row r="3237" ht="32" customHeight="1">
      <x:c r="A3237" s="30" t="str">
        <x:v>A038</x:v>
      </x:c>
      <x:c r="B3237" s="30" t="str">
        <x:v>F298</x:v>
      </x:c>
      <x:c r="C3237" s="30" t="str">
        <x:v>compute.memory_used_bytes</x:v>
      </x:c>
      <x:c r="D3237" s="30" t="str">
        <x:v>候选输入schema</x:v>
      </x:c>
      <x:c r="E3237" s="30" t="str">
        <x:v>按执行角色权限读取；策略只能使用可访问快照</x:v>
      </x:c>
    </x:row>
    <x:row r="3238" ht="32" customHeight="1">
      <x:c r="A3238" s="30" t="str">
        <x:v>A038</x:v>
      </x:c>
      <x:c r="B3238" s="30" t="str">
        <x:v>F299</x:v>
      </x:c>
      <x:c r="C3238" s="30" t="str">
        <x:v>compute.cpu_allocated</x:v>
      </x:c>
      <x:c r="D3238" s="30" t="str">
        <x:v>候选输入schema</x:v>
      </x:c>
      <x:c r="E3238" s="30" t="str">
        <x:v>按执行角色权限读取；策略只能使用可访问快照</x:v>
      </x:c>
    </x:row>
    <x:row r="3239" ht="32" customHeight="1">
      <x:c r="A3239" s="30" t="str">
        <x:v>A038</x:v>
      </x:c>
      <x:c r="B3239" s="30" t="str">
        <x:v>F300</x:v>
      </x:c>
      <x:c r="C3239" s="30" t="str">
        <x:v>compute.accelerator_allocated</x:v>
      </x:c>
      <x:c r="D3239" s="30" t="str">
        <x:v>候选输入schema</x:v>
      </x:c>
      <x:c r="E3239" s="30" t="str">
        <x:v>按执行角色权限读取；策略只能使用可访问快照</x:v>
      </x:c>
    </x:row>
    <x:row r="3240" ht="32" customHeight="1">
      <x:c r="A3240" s="30" t="str">
        <x:v>A038</x:v>
      </x:c>
      <x:c r="B3240" s="30" t="str">
        <x:v>F301</x:v>
      </x:c>
      <x:c r="C3240" s="30" t="str">
        <x:v>compute.max_concurrency</x:v>
      </x:c>
      <x:c r="D3240" s="30" t="str">
        <x:v>候选输入schema</x:v>
      </x:c>
      <x:c r="E3240" s="30" t="str">
        <x:v>按执行角色权限读取；策略只能使用可访问快照</x:v>
      </x:c>
    </x:row>
    <x:row r="3241" ht="32" customHeight="1">
      <x:c r="A3241" s="30" t="str">
        <x:v>A038</x:v>
      </x:c>
      <x:c r="B3241" s="30" t="str">
        <x:v>F302</x:v>
      </x:c>
      <x:c r="C3241" s="30" t="str">
        <x:v>compute.queue_ids</x:v>
      </x:c>
      <x:c r="D3241" s="30" t="str">
        <x:v>候选输入schema</x:v>
      </x:c>
      <x:c r="E3241" s="30" t="str">
        <x:v>按执行角色权限读取；策略只能使用可访问快照</x:v>
      </x:c>
    </x:row>
    <x:row r="3242" ht="32" customHeight="1">
      <x:c r="A3242" s="30" t="str">
        <x:v>A038</x:v>
      </x:c>
      <x:c r="B3242" s="30" t="str">
        <x:v>F303</x:v>
      </x:c>
      <x:c r="C3242" s="30" t="str">
        <x:v>compute.running_job_ids</x:v>
      </x:c>
      <x:c r="D3242" s="30" t="str">
        <x:v>候选输入schema</x:v>
      </x:c>
      <x:c r="E3242" s="30" t="str">
        <x:v>按执行角色权限读取；策略只能使用可访问快照</x:v>
      </x:c>
    </x:row>
    <x:row r="3243" ht="32" customHeight="1">
      <x:c r="A3243" s="30" t="str">
        <x:v>A038</x:v>
      </x:c>
      <x:c r="B3243" s="30" t="str">
        <x:v>F304</x:v>
      </x:c>
      <x:c r="C3243" s="30" t="str">
        <x:v>compute.availability</x:v>
      </x:c>
      <x:c r="D3243" s="30" t="str">
        <x:v>候选输入schema</x:v>
      </x:c>
      <x:c r="E3243" s="30" t="str">
        <x:v>按执行角色权限读取；策略只能使用可访问快照</x:v>
      </x:c>
    </x:row>
    <x:row r="3244" ht="32" customHeight="1">
      <x:c r="A3244" s="30" t="str">
        <x:v>A038</x:v>
      </x:c>
      <x:c r="B3244" s="30" t="str">
        <x:v>F305</x:v>
      </x:c>
      <x:c r="C3244" s="30" t="str">
        <x:v>compute.power_model</x:v>
      </x:c>
      <x:c r="D3244" s="30" t="str">
        <x:v>候选输入schema</x:v>
      </x:c>
      <x:c r="E3244" s="30" t="str">
        <x:v>按执行角色权限读取；策略只能使用可访问快照</x:v>
      </x:c>
    </x:row>
    <x:row r="3245" ht="32" customHeight="1">
      <x:c r="A3245" s="30" t="str">
        <x:v>A038</x:v>
      </x:c>
      <x:c r="B3245" s="30" t="str">
        <x:v>F306</x:v>
      </x:c>
      <x:c r="C3245" s="30" t="str">
        <x:v>compute.energy_Wh</x:v>
      </x:c>
      <x:c r="D3245" s="30" t="str">
        <x:v>候选输入schema</x:v>
      </x:c>
      <x:c r="E3245" s="30" t="str">
        <x:v>按执行角色权限读取；策略只能使用可访问快照</x:v>
      </x:c>
    </x:row>
    <x:row r="3246" ht="32" customHeight="1">
      <x:c r="A3246" s="30" t="str">
        <x:v>A038</x:v>
      </x:c>
      <x:c r="B3246" s="30" t="str">
        <x:v>F307</x:v>
      </x:c>
      <x:c r="C3246" s="30" t="str">
        <x:v>compute.service_ids</x:v>
      </x:c>
      <x:c r="D3246" s="30" t="str">
        <x:v>候选输入schema</x:v>
      </x:c>
      <x:c r="E3246" s="30" t="str">
        <x:v>按执行角色权限读取；策略只能使用可访问快照</x:v>
      </x:c>
    </x:row>
    <x:row r="3247" ht="32" customHeight="1">
      <x:c r="A3247" s="30" t="str">
        <x:v>A038</x:v>
      </x:c>
      <x:c r="B3247" s="30" t="str">
        <x:v>F308</x:v>
      </x:c>
      <x:c r="C3247" s="30" t="str">
        <x:v>compute.storage_free_bytes</x:v>
      </x:c>
      <x:c r="D3247" s="30" t="str">
        <x:v>候选输入schema</x:v>
      </x:c>
      <x:c r="E3247" s="30" t="str">
        <x:v>按执行角色权限读取；策略只能使用可访问快照</x:v>
      </x:c>
    </x:row>
    <x:row r="3248" ht="32" customHeight="1">
      <x:c r="A3248" s="30" t="str">
        <x:v>A038</x:v>
      </x:c>
      <x:c r="B3248" s="30" t="str">
        <x:v>F309</x:v>
      </x:c>
      <x:c r="C3248" s="30" t="str">
        <x:v>compute.clock_policy</x:v>
      </x:c>
      <x:c r="D3248" s="30" t="str">
        <x:v>候选输入schema</x:v>
      </x:c>
      <x:c r="E3248" s="30" t="str">
        <x:v>按执行角色权限读取；策略只能使用可访问快照</x:v>
      </x:c>
    </x:row>
    <x:row r="3249" ht="32" customHeight="1">
      <x:c r="A3249" s="30" t="str">
        <x:v>A038</x:v>
      </x:c>
      <x:c r="B3249" s="30" t="str">
        <x:v>F310</x:v>
      </x:c>
      <x:c r="C3249" s="30" t="str">
        <x:v>compute.timing_profile_id</x:v>
      </x:c>
      <x:c r="D3249" s="30" t="str">
        <x:v>候选输入schema</x:v>
      </x:c>
      <x:c r="E3249" s="30" t="str">
        <x:v>按执行角色权限读取；策略只能使用可访问快照</x:v>
      </x:c>
    </x:row>
    <x:row r="3250" ht="32" customHeight="1">
      <x:c r="A3250" s="30" t="str">
        <x:v>A038</x:v>
      </x:c>
      <x:c r="B3250" s="30" t="str">
        <x:v>F311</x:v>
      </x:c>
      <x:c r="C3250" s="30" t="str">
        <x:v>compute.temperature_state</x:v>
      </x:c>
      <x:c r="D3250" s="30" t="str">
        <x:v>候选输入schema</x:v>
      </x:c>
      <x:c r="E3250" s="30" t="str">
        <x:v>按执行角色权限读取；策略只能使用可访问快照</x:v>
      </x:c>
    </x:row>
    <x:row r="3251" ht="32" customHeight="1">
      <x:c r="A3251" s="30" t="str">
        <x:v>A038</x:v>
      </x:c>
      <x:c r="B3251" s="30" t="str">
        <x:v>F312</x:v>
      </x:c>
      <x:c r="C3251" s="30" t="str">
        <x:v>compute.network_endpoint</x:v>
      </x:c>
      <x:c r="D3251" s="30" t="str">
        <x:v>候选输入schema</x:v>
      </x:c>
      <x:c r="E3251" s="30" t="str">
        <x:v>按执行角色权限读取；策略只能使用可访问快照</x:v>
      </x:c>
    </x:row>
    <x:row r="3252" ht="32" customHeight="1">
      <x:c r="A3252" s="30" t="str">
        <x:v>A038</x:v>
      </x:c>
      <x:c r="B3252" s="30" t="str">
        <x:v>F329</x:v>
      </x:c>
      <x:c r="C3252" s="30" t="str">
        <x:v>job.requester_id</x:v>
      </x:c>
      <x:c r="D3252" s="30" t="str">
        <x:v>候选输入schema</x:v>
      </x:c>
      <x:c r="E3252" s="30" t="str">
        <x:v>按执行角色权限读取；策略只能使用可访问快照</x:v>
      </x:c>
    </x:row>
    <x:row r="3253" ht="32" customHeight="1">
      <x:c r="A3253" s="30" t="str">
        <x:v>A038</x:v>
      </x:c>
      <x:c r="B3253" s="30" t="str">
        <x:v>F330</x:v>
      </x:c>
      <x:c r="C3253" s="30" t="str">
        <x:v>job.task_ref</x:v>
      </x:c>
      <x:c r="D3253" s="30" t="str">
        <x:v>候选输入schema</x:v>
      </x:c>
      <x:c r="E3253" s="30" t="str">
        <x:v>按执行角色权限读取；策略只能使用可访问快照</x:v>
      </x:c>
    </x:row>
    <x:row r="3254" ht="32" customHeight="1">
      <x:c r="A3254" s="30" t="str">
        <x:v>A038</x:v>
      </x:c>
      <x:c r="B3254" s="30" t="str">
        <x:v>F331</x:v>
      </x:c>
      <x:c r="C3254" s="30" t="str">
        <x:v>job.service_id</x:v>
      </x:c>
      <x:c r="D3254" s="30" t="str">
        <x:v>候选输入schema</x:v>
      </x:c>
      <x:c r="E3254" s="30" t="str">
        <x:v>按执行角色权限读取；策略只能使用可访问快照</x:v>
      </x:c>
    </x:row>
    <x:row r="3255" ht="32" customHeight="1">
      <x:c r="A3255" s="30" t="str">
        <x:v>A038</x:v>
      </x:c>
      <x:c r="B3255" s="30" t="str">
        <x:v>F332</x:v>
      </x:c>
      <x:c r="C3255" s="30" t="str">
        <x:v>job.input_evidence_ids</x:v>
      </x:c>
      <x:c r="D3255" s="30" t="str">
        <x:v>候选输入schema</x:v>
      </x:c>
      <x:c r="E3255" s="30" t="str">
        <x:v>按执行角色权限读取；策略只能使用可访问快照</x:v>
      </x:c>
    </x:row>
    <x:row r="3256" ht="32" customHeight="1">
      <x:c r="A3256" s="30" t="str">
        <x:v>A038</x:v>
      </x:c>
      <x:c r="B3256" s="30" t="str">
        <x:v>F333</x:v>
      </x:c>
      <x:c r="C3256" s="30" t="str">
        <x:v>job.input_bytes</x:v>
      </x:c>
      <x:c r="D3256" s="30" t="str">
        <x:v>候选输入schema</x:v>
      </x:c>
      <x:c r="E3256" s="30" t="str">
        <x:v>按执行角色权限读取；策略只能使用可访问快照</x:v>
      </x:c>
    </x:row>
    <x:row r="3257" ht="32" customHeight="1">
      <x:c r="A3257" s="30" t="str">
        <x:v>A038</x:v>
      </x:c>
      <x:c r="B3257" s="30" t="str">
        <x:v>F334</x:v>
      </x:c>
      <x:c r="C3257" s="30" t="str">
        <x:v>job.input_tokens</x:v>
      </x:c>
      <x:c r="D3257" s="30" t="str">
        <x:v>候选输入schema</x:v>
      </x:c>
      <x:c r="E3257" s="30" t="str">
        <x:v>按执行角色权限读取；策略只能使用可访问快照</x:v>
      </x:c>
    </x:row>
    <x:row r="3258" ht="32" customHeight="1">
      <x:c r="A3258" s="30" t="str">
        <x:v>A038</x:v>
      </x:c>
      <x:c r="B3258" s="30" t="str">
        <x:v>F335</x:v>
      </x:c>
      <x:c r="C3258" s="30" t="str">
        <x:v>job.output_tokens</x:v>
      </x:c>
      <x:c r="D3258" s="30" t="str">
        <x:v>候选输入schema</x:v>
      </x:c>
      <x:c r="E3258" s="30" t="str">
        <x:v>按执行角色权限读取；策略只能使用可访问快照</x:v>
      </x:c>
    </x:row>
    <x:row r="3259" ht="32" customHeight="1">
      <x:c r="A3259" s="30" t="str">
        <x:v>A038</x:v>
      </x:c>
      <x:c r="B3259" s="30" t="str">
        <x:v>F336</x:v>
      </x:c>
      <x:c r="C3259" s="30" t="str">
        <x:v>job.status</x:v>
      </x:c>
      <x:c r="D3259" s="30" t="str">
        <x:v>候选输入schema</x:v>
      </x:c>
      <x:c r="E3259" s="30" t="str">
        <x:v>按执行角色权限读取；策略只能使用可访问快照</x:v>
      </x:c>
    </x:row>
    <x:row r="3260" ht="32" customHeight="1">
      <x:c r="A3260" s="30" t="str">
        <x:v>A038</x:v>
      </x:c>
      <x:c r="B3260" s="30" t="str">
        <x:v>F337</x:v>
      </x:c>
      <x:c r="C3260" s="30" t="str">
        <x:v>job.queue_enter_s</x:v>
      </x:c>
      <x:c r="D3260" s="30" t="str">
        <x:v>候选输入schema</x:v>
      </x:c>
      <x:c r="E3260" s="30" t="str">
        <x:v>按执行角色权限读取；策略只能使用可访问快照</x:v>
      </x:c>
    </x:row>
    <x:row r="3261" ht="32" customHeight="1">
      <x:c r="A3261" s="30" t="str">
        <x:v>A038</x:v>
      </x:c>
      <x:c r="B3261" s="30" t="str">
        <x:v>F338</x:v>
      </x:c>
      <x:c r="C3261" s="30" t="str">
        <x:v>job.start_s</x:v>
      </x:c>
      <x:c r="D3261" s="30" t="str">
        <x:v>候选输入schema</x:v>
      </x:c>
      <x:c r="E3261" s="30" t="str">
        <x:v>按执行角色权限读取；策略只能使用可访问快照</x:v>
      </x:c>
    </x:row>
    <x:row r="3262" ht="32" customHeight="1">
      <x:c r="A3262" s="30" t="str">
        <x:v>A038</x:v>
      </x:c>
      <x:c r="B3262" s="30" t="str">
        <x:v>F339</x:v>
      </x:c>
      <x:c r="C3262" s="30" t="str">
        <x:v>job.finish_s</x:v>
      </x:c>
      <x:c r="D3262" s="30" t="str">
        <x:v>候选输入schema</x:v>
      </x:c>
      <x:c r="E3262" s="30" t="str">
        <x:v>按执行角色权限读取；策略只能使用可访问快照</x:v>
      </x:c>
    </x:row>
    <x:row r="3263" ht="32" customHeight="1">
      <x:c r="A3263" s="30" t="str">
        <x:v>A038</x:v>
      </x:c>
      <x:c r="B3263" s="30" t="str">
        <x:v>F340</x:v>
      </x:c>
      <x:c r="C3263" s="30" t="str">
        <x:v>job.deadline_s</x:v>
      </x:c>
      <x:c r="D3263" s="30" t="str">
        <x:v>候选输入schema</x:v>
      </x:c>
      <x:c r="E3263" s="30" t="str">
        <x:v>按执行角色权限读取；策略只能使用可访问快照</x:v>
      </x:c>
    </x:row>
    <x:row r="3264" ht="32" customHeight="1">
      <x:c r="A3264" s="30" t="str">
        <x:v>A038</x:v>
      </x:c>
      <x:c r="B3264" s="30" t="str">
        <x:v>F341</x:v>
      </x:c>
      <x:c r="C3264" s="30" t="str">
        <x:v>job.cpu_request</x:v>
      </x:c>
      <x:c r="D3264" s="30" t="str">
        <x:v>候选输入schema</x:v>
      </x:c>
      <x:c r="E3264" s="30" t="str">
        <x:v>按执行角色权限读取；策略只能使用可访问快照</x:v>
      </x:c>
    </x:row>
    <x:row r="3265" ht="32" customHeight="1">
      <x:c r="A3265" s="30" t="str">
        <x:v>A038</x:v>
      </x:c>
      <x:c r="B3265" s="30" t="str">
        <x:v>F342</x:v>
      </x:c>
      <x:c r="C3265" s="30" t="str">
        <x:v>job.memory_request_bytes</x:v>
      </x:c>
      <x:c r="D3265" s="30" t="str">
        <x:v>候选输入schema</x:v>
      </x:c>
      <x:c r="E3265" s="30" t="str">
        <x:v>按执行角色权限读取；策略只能使用可访问快照</x:v>
      </x:c>
    </x:row>
    <x:row r="3266" ht="32" customHeight="1">
      <x:c r="A3266" s="30" t="str">
        <x:v>A038</x:v>
      </x:c>
      <x:c r="B3266" s="30" t="str">
        <x:v>F343</x:v>
      </x:c>
      <x:c r="C3266" s="30" t="str">
        <x:v>job.prefill_s</x:v>
      </x:c>
      <x:c r="D3266" s="30" t="str">
        <x:v>候选输入schema</x:v>
      </x:c>
      <x:c r="E3266" s="30" t="str">
        <x:v>按执行角色权限读取；策略只能使用可访问快照</x:v>
      </x:c>
    </x:row>
    <x:row r="3267" ht="32" customHeight="1">
      <x:c r="A3267" s="30" t="str">
        <x:v>A038</x:v>
      </x:c>
      <x:c r="B3267" s="30" t="str">
        <x:v>F344</x:v>
      </x:c>
      <x:c r="C3267" s="30" t="str">
        <x:v>job.decode_s</x:v>
      </x:c>
      <x:c r="D3267" s="30" t="str">
        <x:v>候选输入schema</x:v>
      </x:c>
      <x:c r="E3267" s="30" t="str">
        <x:v>按执行角色权限读取；策略只能使用可访问快照</x:v>
      </x:c>
    </x:row>
    <x:row r="3268" ht="32" customHeight="1">
      <x:c r="A3268" s="30" t="str">
        <x:v>A038</x:v>
      </x:c>
      <x:c r="B3268" s="30" t="str">
        <x:v>F345</x:v>
      </x:c>
      <x:c r="C3268" s="30" t="str">
        <x:v>job.wall_time_s</x:v>
      </x:c>
      <x:c r="D3268" s="30" t="str">
        <x:v>候选输入schema</x:v>
      </x:c>
      <x:c r="E3268" s="30" t="str">
        <x:v>按执行角色权限读取；策略只能使用可访问快照</x:v>
      </x:c>
    </x:row>
    <x:row r="3269" ht="32" customHeight="1">
      <x:c r="A3269" s="30" t="str">
        <x:v>A038</x:v>
      </x:c>
      <x:c r="B3269" s="30" t="str">
        <x:v>F346</x:v>
      </x:c>
      <x:c r="C3269" s="30" t="str">
        <x:v>job.result_ref</x:v>
      </x:c>
      <x:c r="D3269" s="30" t="str">
        <x:v>候选输入schema</x:v>
      </x:c>
      <x:c r="E3269" s="30" t="str">
        <x:v>按执行角色权限读取；策略只能使用可访问快照</x:v>
      </x:c>
    </x:row>
    <x:row r="3270" ht="32" customHeight="1">
      <x:c r="A3270" s="30" t="str">
        <x:v>A038</x:v>
      </x:c>
      <x:c r="B3270" s="30" t="str">
        <x:v>F347</x:v>
      </x:c>
      <x:c r="C3270" s="30" t="str">
        <x:v>job.checkpoint_ref</x:v>
      </x:c>
      <x:c r="D3270" s="30" t="str">
        <x:v>候选输入schema</x:v>
      </x:c>
      <x:c r="E3270" s="30" t="str">
        <x:v>按执行角色权限读取；策略只能使用可访问快照</x:v>
      </x:c>
    </x:row>
    <x:row r="3271" ht="32" customHeight="1">
      <x:c r="A3271" s="30" t="str">
        <x:v>A038</x:v>
      </x:c>
      <x:c r="B3271" s="30" t="str">
        <x:v>F348</x:v>
      </x:c>
      <x:c r="C3271" s="30" t="str">
        <x:v>job.failure_reason</x:v>
      </x:c>
      <x:c r="D3271" s="30" t="str">
        <x:v>候选输入schema</x:v>
      </x:c>
      <x:c r="E3271" s="30" t="str">
        <x:v>按执行角色权限读取；策略只能使用可访问快照</x:v>
      </x:c>
    </x:row>
    <x:row r="3272" ht="32" customHeight="1">
      <x:c r="A3272" s="30" t="str">
        <x:v>A038</x:v>
      </x:c>
      <x:c r="B3272" s="30" t="str">
        <x:v>F349</x:v>
      </x:c>
      <x:c r="C3272" s="30" t="str">
        <x:v>cache.owner_id</x:v>
      </x:c>
      <x:c r="D3272" s="30" t="str">
        <x:v>候选输入schema</x:v>
      </x:c>
      <x:c r="E3272" s="30" t="str">
        <x:v>按执行角色权限读取；策略只能使用可访问快照</x:v>
      </x:c>
    </x:row>
    <x:row r="3273" ht="32" customHeight="1">
      <x:c r="A3273" s="30" t="str">
        <x:v>A038</x:v>
      </x:c>
      <x:c r="B3273" s="30" t="str">
        <x:v>F350</x:v>
      </x:c>
      <x:c r="C3273" s="30" t="str">
        <x:v>cache.kind</x:v>
      </x:c>
      <x:c r="D3273" s="30" t="str">
        <x:v>候选输入schema</x:v>
      </x:c>
      <x:c r="E3273" s="30" t="str">
        <x:v>按执行角色权限读取；策略只能使用可访问快照</x:v>
      </x:c>
    </x:row>
    <x:row r="3274" ht="32" customHeight="1">
      <x:c r="A3274" s="30" t="str">
        <x:v>A038</x:v>
      </x:c>
      <x:c r="B3274" s="30" t="str">
        <x:v>F351</x:v>
      </x:c>
      <x:c r="C3274" s="30" t="str">
        <x:v>cache.model_version</x:v>
      </x:c>
      <x:c r="D3274" s="30" t="str">
        <x:v>候选输入schema</x:v>
      </x:c>
      <x:c r="E3274" s="30" t="str">
        <x:v>按执行角色权限读取；策略只能使用可访问快照</x:v>
      </x:c>
    </x:row>
    <x:row r="3275" ht="32" customHeight="1">
      <x:c r="A3275" s="30" t="str">
        <x:v>A038</x:v>
      </x:c>
      <x:c r="B3275" s="30" t="str">
        <x:v>F352</x:v>
      </x:c>
      <x:c r="C3275" s="30" t="str">
        <x:v>cache.content_ids</x:v>
      </x:c>
      <x:c r="D3275" s="30" t="str">
        <x:v>候选输入schema</x:v>
      </x:c>
      <x:c r="E3275" s="30" t="str">
        <x:v>按执行角色权限读取；策略只能使用可访问快照</x:v>
      </x:c>
    </x:row>
    <x:row r="3276" ht="32" customHeight="1">
      <x:c r="A3276" s="30" t="str">
        <x:v>A038</x:v>
      </x:c>
      <x:c r="B3276" s="30" t="str">
        <x:v>F353</x:v>
      </x:c>
      <x:c r="C3276" s="30" t="str">
        <x:v>cache.size_bytes</x:v>
      </x:c>
      <x:c r="D3276" s="30" t="str">
        <x:v>候选输入schema</x:v>
      </x:c>
      <x:c r="E3276" s="30" t="str">
        <x:v>按执行角色权限读取；策略只能使用可访问快照</x:v>
      </x:c>
    </x:row>
    <x:row r="3277" ht="32" customHeight="1">
      <x:c r="A3277" s="30" t="str">
        <x:v>A038</x:v>
      </x:c>
      <x:c r="B3277" s="30" t="str">
        <x:v>F354</x:v>
      </x:c>
      <x:c r="C3277" s="30" t="str">
        <x:v>cache.location</x:v>
      </x:c>
      <x:c r="D3277" s="30" t="str">
        <x:v>候选输入schema</x:v>
      </x:c>
      <x:c r="E3277" s="30" t="str">
        <x:v>按执行角色权限读取；策略只能使用可访问快照</x:v>
      </x:c>
    </x:row>
    <x:row r="3278" ht="32" customHeight="1">
      <x:c r="A3278" s="30" t="str">
        <x:v>A038</x:v>
      </x:c>
      <x:c r="B3278" s="30" t="str">
        <x:v>F355</x:v>
      </x:c>
      <x:c r="C3278" s="30" t="str">
        <x:v>cache.valid_until_s</x:v>
      </x:c>
      <x:c r="D3278" s="30" t="str">
        <x:v>候选输入schema</x:v>
      </x:c>
      <x:c r="E3278" s="30" t="str">
        <x:v>按执行角色权限读取；策略只能使用可访问快照</x:v>
      </x:c>
    </x:row>
    <x:row r="3279" ht="32" customHeight="1">
      <x:c r="A3279" s="30" t="str">
        <x:v>A038</x:v>
      </x:c>
      <x:c r="B3279" s="30" t="str">
        <x:v>F356</x:v>
      </x:c>
      <x:c r="C3279" s="30" t="str">
        <x:v>cache.reuse_compatible</x:v>
      </x:c>
      <x:c r="D3279" s="30" t="str">
        <x:v>候选输入schema</x:v>
      </x:c>
      <x:c r="E3279" s="30" t="str">
        <x:v>按执行角色权限读取；策略只能使用可访问快照</x:v>
      </x:c>
    </x:row>
    <x:row r="3280" ht="32" customHeight="1">
      <x:c r="A3280" s="30" t="str">
        <x:v>A038</x:v>
      </x:c>
      <x:c r="B3280" s="30" t="str">
        <x:v>F357</x:v>
      </x:c>
      <x:c r="C3280" s="30" t="str">
        <x:v>cache.hit_count</x:v>
      </x:c>
      <x:c r="D3280" s="30" t="str">
        <x:v>候选输入schema</x:v>
      </x:c>
      <x:c r="E3280" s="30" t="str">
        <x:v>按执行角色权限读取；策略只能使用可访问快照</x:v>
      </x:c>
    </x:row>
    <x:row r="3281" ht="32" customHeight="1">
      <x:c r="A3281" s="30" t="str">
        <x:v>A038</x:v>
      </x:c>
      <x:c r="B3281" s="30" t="str">
        <x:v>F358</x:v>
      </x:c>
      <x:c r="C3281" s="30" t="str">
        <x:v>cache.eviction_state</x:v>
      </x:c>
      <x:c r="D3281" s="30" t="str">
        <x:v>候选输入schema</x:v>
      </x:c>
      <x:c r="E3281" s="30" t="str">
        <x:v>按执行角色权限读取；策略只能使用可访问快照</x:v>
      </x:c>
    </x:row>
    <x:row r="3282" ht="32" customHeight="1">
      <x:c r="A3282" s="30" t="str">
        <x:v>A038</x:v>
      </x:c>
      <x:c r="B3282" s="30" t="str">
        <x:v>F357</x:v>
      </x:c>
      <x:c r="C3282" s="30" t="str">
        <x:v>cache.hit_count</x:v>
      </x:c>
      <x:c r="D3282" s="30" t="str">
        <x:v>直接效果</x:v>
      </x:c>
      <x:c r="E3282" s="30" t="str">
        <x:v>经实际执行/回执提交；不是规划时提前修改</x:v>
      </x:c>
    </x:row>
    <x:row r="3283" ht="32" customHeight="1">
      <x:c r="A3283" s="30" t="str">
        <x:v>A038</x:v>
      </x:c>
      <x:c r="B3283" s="30" t="str">
        <x:v>F178</x:v>
      </x:c>
      <x:c r="C3283" s="30" t="str">
        <x:v>observation.parent_evidence_ids</x:v>
      </x:c>
      <x:c r="D3283" s="30" t="str">
        <x:v>直接效果</x:v>
      </x:c>
      <x:c r="E3283" s="30" t="str">
        <x:v>经实际执行/回执提交；不是规划时提前修改</x:v>
      </x:c>
    </x:row>
    <x:row r="3284" ht="32" customHeight="1">
      <x:c r="A3284" s="30" t="str">
        <x:v>A039</x:v>
      </x:c>
      <x:c r="B3284" s="30" t="str">
        <x:v>F166</x:v>
      </x:c>
      <x:c r="C3284" s="30" t="str">
        <x:v>observation.observer_id</x:v>
      </x:c>
      <x:c r="D3284" s="30" t="str">
        <x:v>候选输入schema</x:v>
      </x:c>
      <x:c r="E3284" s="30" t="str">
        <x:v>按执行角色权限读取；策略只能使用可访问快照</x:v>
      </x:c>
    </x:row>
    <x:row r="3285" ht="32" customHeight="1">
      <x:c r="A3285" s="30" t="str">
        <x:v>A039</x:v>
      </x:c>
      <x:c r="B3285" s="30" t="str">
        <x:v>F167</x:v>
      </x:c>
      <x:c r="C3285" s="30" t="str">
        <x:v>observation.sensor_id</x:v>
      </x:c>
      <x:c r="D3285" s="30" t="str">
        <x:v>候选输入schema</x:v>
      </x:c>
      <x:c r="E3285" s="30" t="str">
        <x:v>按执行角色权限读取；策略只能使用可访问快照</x:v>
      </x:c>
    </x:row>
    <x:row r="3286" ht="32" customHeight="1">
      <x:c r="A3286" s="30" t="str">
        <x:v>A039</x:v>
      </x:c>
      <x:c r="B3286" s="30" t="str">
        <x:v>F168</x:v>
      </x:c>
      <x:c r="C3286" s="30" t="str">
        <x:v>observation.captured_at_s</x:v>
      </x:c>
      <x:c r="D3286" s="30" t="str">
        <x:v>候选输入schema</x:v>
      </x:c>
      <x:c r="E3286" s="30" t="str">
        <x:v>按执行角色权限读取；策略只能使用可访问快照</x:v>
      </x:c>
    </x:row>
    <x:row r="3287" ht="32" customHeight="1">
      <x:c r="A3287" s="30" t="str">
        <x:v>A039</x:v>
      </x:c>
      <x:c r="B3287" s="30" t="str">
        <x:v>F169</x:v>
      </x:c>
      <x:c r="C3287" s="30" t="str">
        <x:v>observation.pose_estimate</x:v>
      </x:c>
      <x:c r="D3287" s="30" t="str">
        <x:v>候选输入schema</x:v>
      </x:c>
      <x:c r="E3287" s="30" t="str">
        <x:v>按执行角色权限读取；策略只能使用可访问快照</x:v>
      </x:c>
    </x:row>
    <x:row r="3288" ht="32" customHeight="1">
      <x:c r="A3288" s="30" t="str">
        <x:v>A039</x:v>
      </x:c>
      <x:c r="B3288" s="30" t="str">
        <x:v>F170</x:v>
      </x:c>
      <x:c r="C3288" s="30" t="str">
        <x:v>observation.payload_ref</x:v>
      </x:c>
      <x:c r="D3288" s="30" t="str">
        <x:v>候选输入schema</x:v>
      </x:c>
      <x:c r="E3288" s="30" t="str">
        <x:v>按执行角色权限读取；策略只能使用可访问快照</x:v>
      </x:c>
    </x:row>
    <x:row r="3289" ht="32" customHeight="1">
      <x:c r="A3289" s="30" t="str">
        <x:v>A039</x:v>
      </x:c>
      <x:c r="B3289" s="30" t="str">
        <x:v>F171</x:v>
      </x:c>
      <x:c r="C3289" s="30" t="str">
        <x:v>observation.payload_bytes</x:v>
      </x:c>
      <x:c r="D3289" s="30" t="str">
        <x:v>候选输入schema</x:v>
      </x:c>
      <x:c r="E3289" s="30" t="str">
        <x:v>按执行角色权限读取；策略只能使用可访问快照</x:v>
      </x:c>
    </x:row>
    <x:row r="3290" ht="32" customHeight="1">
      <x:c r="A3290" s="30" t="str">
        <x:v>A039</x:v>
      </x:c>
      <x:c r="B3290" s="30" t="str">
        <x:v>F172</x:v>
      </x:c>
      <x:c r="C3290" s="30" t="str">
        <x:v>observation.content_hash</x:v>
      </x:c>
      <x:c r="D3290" s="30" t="str">
        <x:v>候选输入schema</x:v>
      </x:c>
      <x:c r="E3290" s="30" t="str">
        <x:v>按执行角色权限读取；策略只能使用可访问快照</x:v>
      </x:c>
    </x:row>
    <x:row r="3291" ht="32" customHeight="1">
      <x:c r="A3291" s="30" t="str">
        <x:v>A039</x:v>
      </x:c>
      <x:c r="B3291" s="30" t="str">
        <x:v>F173</x:v>
      </x:c>
      <x:c r="C3291" s="30" t="str">
        <x:v>observation.modality</x:v>
      </x:c>
      <x:c r="D3291" s="30" t="str">
        <x:v>候选输入schema</x:v>
      </x:c>
      <x:c r="E3291" s="30" t="str">
        <x:v>按执行角色权限读取；策略只能使用可访问快照</x:v>
      </x:c>
    </x:row>
    <x:row r="3292" ht="32" customHeight="1">
      <x:c r="A3292" s="30" t="str">
        <x:v>A039</x:v>
      </x:c>
      <x:c r="B3292" s="30" t="str">
        <x:v>F174</x:v>
      </x:c>
      <x:c r="C3292" s="30" t="str">
        <x:v>observation.detections</x:v>
      </x:c>
      <x:c r="D3292" s="30" t="str">
        <x:v>候选输入schema</x:v>
      </x:c>
      <x:c r="E3292" s="30" t="str">
        <x:v>按执行角色权限读取；策略只能使用可访问快照</x:v>
      </x:c>
    </x:row>
    <x:row r="3293" ht="32" customHeight="1">
      <x:c r="A3293" s="30" t="str">
        <x:v>A039</x:v>
      </x:c>
      <x:c r="B3293" s="30" t="str">
        <x:v>F175</x:v>
      </x:c>
      <x:c r="C3293" s="30" t="str">
        <x:v>observation.confidence</x:v>
      </x:c>
      <x:c r="D3293" s="30" t="str">
        <x:v>候选输入schema</x:v>
      </x:c>
      <x:c r="E3293" s="30" t="str">
        <x:v>按执行角色权限读取；策略只能使用可访问快照</x:v>
      </x:c>
    </x:row>
    <x:row r="3294" ht="32" customHeight="1">
      <x:c r="A3294" s="30" t="str">
        <x:v>A039</x:v>
      </x:c>
      <x:c r="B3294" s="30" t="str">
        <x:v>F176</x:v>
      </x:c>
      <x:c r="C3294" s="30" t="str">
        <x:v>observation.coverage_estimate</x:v>
      </x:c>
      <x:c r="D3294" s="30" t="str">
        <x:v>候选输入schema</x:v>
      </x:c>
      <x:c r="E3294" s="30" t="str">
        <x:v>按执行角色权限读取；策略只能使用可访问快照</x:v>
      </x:c>
    </x:row>
    <x:row r="3295" ht="32" customHeight="1">
      <x:c r="A3295" s="30" t="str">
        <x:v>A039</x:v>
      </x:c>
      <x:c r="B3295" s="30" t="str">
        <x:v>F177</x:v>
      </x:c>
      <x:c r="C3295" s="30" t="str">
        <x:v>observation.processing_job_id</x:v>
      </x:c>
      <x:c r="D3295" s="30" t="str">
        <x:v>候选输入schema</x:v>
      </x:c>
      <x:c r="E3295" s="30" t="str">
        <x:v>按执行角色权限读取；策略只能使用可访问快照</x:v>
      </x:c>
    </x:row>
    <x:row r="3296" ht="32" customHeight="1">
      <x:c r="A3296" s="30" t="str">
        <x:v>A039</x:v>
      </x:c>
      <x:c r="B3296" s="30" t="str">
        <x:v>F178</x:v>
      </x:c>
      <x:c r="C3296" s="30" t="str">
        <x:v>observation.parent_evidence_ids</x:v>
      </x:c>
      <x:c r="D3296" s="30" t="str">
        <x:v>候选输入schema</x:v>
      </x:c>
      <x:c r="E3296" s="30" t="str">
        <x:v>按执行角色权限读取；策略只能使用可访问快照</x:v>
      </x:c>
    </x:row>
    <x:row r="3297" ht="32" customHeight="1">
      <x:c r="A3297" s="30" t="str">
        <x:v>A039</x:v>
      </x:c>
      <x:c r="B3297" s="30" t="str">
        <x:v>F179</x:v>
      </x:c>
      <x:c r="C3297" s="30" t="str">
        <x:v>observation.valid_until_s</x:v>
      </x:c>
      <x:c r="D3297" s="30" t="str">
        <x:v>候选输入schema</x:v>
      </x:c>
      <x:c r="E3297" s="30" t="str">
        <x:v>按执行角色权限读取；策略只能使用可访问快照</x:v>
      </x:c>
    </x:row>
    <x:row r="3298" ht="32" customHeight="1">
      <x:c r="A3298" s="30" t="str">
        <x:v>A039</x:v>
      </x:c>
      <x:c r="B3298" s="30" t="str">
        <x:v>F180</x:v>
      </x:c>
      <x:c r="C3298" s="30" t="str">
        <x:v>observation.mode</x:v>
      </x:c>
      <x:c r="D3298" s="30" t="str">
        <x:v>候选输入schema</x:v>
      </x:c>
      <x:c r="E3298" s="30" t="str">
        <x:v>按执行角色权限读取；策略只能使用可访问快照</x:v>
      </x:c>
    </x:row>
    <x:row r="3299" ht="32" customHeight="1">
      <x:c r="A3299" s="30" t="str">
        <x:v>A039</x:v>
      </x:c>
      <x:c r="B3299" s="30" t="str">
        <x:v>F293</x:v>
      </x:c>
      <x:c r="C3299" s="30" t="str">
        <x:v>compute.node_id</x:v>
      </x:c>
      <x:c r="D3299" s="30" t="str">
        <x:v>候选输入schema</x:v>
      </x:c>
      <x:c r="E3299" s="30" t="str">
        <x:v>按执行角色权限读取；策略只能使用可访问快照</x:v>
      </x:c>
    </x:row>
    <x:row r="3300" ht="32" customHeight="1">
      <x:c r="A3300" s="30" t="str">
        <x:v>A039</x:v>
      </x:c>
      <x:c r="B3300" s="30" t="str">
        <x:v>F294</x:v>
      </x:c>
      <x:c r="C3300" s="30" t="str">
        <x:v>compute.device_kind</x:v>
      </x:c>
      <x:c r="D3300" s="30" t="str">
        <x:v>候选输入schema</x:v>
      </x:c>
      <x:c r="E3300" s="30" t="str">
        <x:v>按执行角色权限读取；策略只能使用可访问快照</x:v>
      </x:c>
    </x:row>
    <x:row r="3301" ht="32" customHeight="1">
      <x:c r="A3301" s="30" t="str">
        <x:v>A039</x:v>
      </x:c>
      <x:c r="B3301" s="30" t="str">
        <x:v>F295</x:v>
      </x:c>
      <x:c r="C3301" s="30" t="str">
        <x:v>compute.cpu_capacity</x:v>
      </x:c>
      <x:c r="D3301" s="30" t="str">
        <x:v>候选输入schema</x:v>
      </x:c>
      <x:c r="E3301" s="30" t="str">
        <x:v>按执行角色权限读取；策略只能使用可访问快照</x:v>
      </x:c>
    </x:row>
    <x:row r="3302" ht="32" customHeight="1">
      <x:c r="A3302" s="30" t="str">
        <x:v>A039</x:v>
      </x:c>
      <x:c r="B3302" s="30" t="str">
        <x:v>F296</x:v>
      </x:c>
      <x:c r="C3302" s="30" t="str">
        <x:v>compute.accelerator_capacity</x:v>
      </x:c>
      <x:c r="D3302" s="30" t="str">
        <x:v>候选输入schema</x:v>
      </x:c>
      <x:c r="E3302" s="30" t="str">
        <x:v>按执行角色权限读取；策略只能使用可访问快照</x:v>
      </x:c>
    </x:row>
    <x:row r="3303" ht="32" customHeight="1">
      <x:c r="A3303" s="30" t="str">
        <x:v>A039</x:v>
      </x:c>
      <x:c r="B3303" s="30" t="str">
        <x:v>F297</x:v>
      </x:c>
      <x:c r="C3303" s="30" t="str">
        <x:v>compute.memory_capacity_bytes</x:v>
      </x:c>
      <x:c r="D3303" s="30" t="str">
        <x:v>候选输入schema</x:v>
      </x:c>
      <x:c r="E3303" s="30" t="str">
        <x:v>按执行角色权限读取；策略只能使用可访问快照</x:v>
      </x:c>
    </x:row>
    <x:row r="3304" ht="32" customHeight="1">
      <x:c r="A3304" s="30" t="str">
        <x:v>A039</x:v>
      </x:c>
      <x:c r="B3304" s="30" t="str">
        <x:v>F298</x:v>
      </x:c>
      <x:c r="C3304" s="30" t="str">
        <x:v>compute.memory_used_bytes</x:v>
      </x:c>
      <x:c r="D3304" s="30" t="str">
        <x:v>候选输入schema</x:v>
      </x:c>
      <x:c r="E3304" s="30" t="str">
        <x:v>按执行角色权限读取；策略只能使用可访问快照</x:v>
      </x:c>
    </x:row>
    <x:row r="3305" ht="32" customHeight="1">
      <x:c r="A3305" s="30" t="str">
        <x:v>A039</x:v>
      </x:c>
      <x:c r="B3305" s="30" t="str">
        <x:v>F299</x:v>
      </x:c>
      <x:c r="C3305" s="30" t="str">
        <x:v>compute.cpu_allocated</x:v>
      </x:c>
      <x:c r="D3305" s="30" t="str">
        <x:v>候选输入schema</x:v>
      </x:c>
      <x:c r="E3305" s="30" t="str">
        <x:v>按执行角色权限读取；策略只能使用可访问快照</x:v>
      </x:c>
    </x:row>
    <x:row r="3306" ht="32" customHeight="1">
      <x:c r="A3306" s="30" t="str">
        <x:v>A039</x:v>
      </x:c>
      <x:c r="B3306" s="30" t="str">
        <x:v>F300</x:v>
      </x:c>
      <x:c r="C3306" s="30" t="str">
        <x:v>compute.accelerator_allocated</x:v>
      </x:c>
      <x:c r="D3306" s="30" t="str">
        <x:v>候选输入schema</x:v>
      </x:c>
      <x:c r="E3306" s="30" t="str">
        <x:v>按执行角色权限读取；策略只能使用可访问快照</x:v>
      </x:c>
    </x:row>
    <x:row r="3307" ht="32" customHeight="1">
      <x:c r="A3307" s="30" t="str">
        <x:v>A039</x:v>
      </x:c>
      <x:c r="B3307" s="30" t="str">
        <x:v>F301</x:v>
      </x:c>
      <x:c r="C3307" s="30" t="str">
        <x:v>compute.max_concurrency</x:v>
      </x:c>
      <x:c r="D3307" s="30" t="str">
        <x:v>候选输入schema</x:v>
      </x:c>
      <x:c r="E3307" s="30" t="str">
        <x:v>按执行角色权限读取；策略只能使用可访问快照</x:v>
      </x:c>
    </x:row>
    <x:row r="3308" ht="32" customHeight="1">
      <x:c r="A3308" s="30" t="str">
        <x:v>A039</x:v>
      </x:c>
      <x:c r="B3308" s="30" t="str">
        <x:v>F302</x:v>
      </x:c>
      <x:c r="C3308" s="30" t="str">
        <x:v>compute.queue_ids</x:v>
      </x:c>
      <x:c r="D3308" s="30" t="str">
        <x:v>候选输入schema</x:v>
      </x:c>
      <x:c r="E3308" s="30" t="str">
        <x:v>按执行角色权限读取；策略只能使用可访问快照</x:v>
      </x:c>
    </x:row>
    <x:row r="3309" ht="32" customHeight="1">
      <x:c r="A3309" s="30" t="str">
        <x:v>A039</x:v>
      </x:c>
      <x:c r="B3309" s="30" t="str">
        <x:v>F303</x:v>
      </x:c>
      <x:c r="C3309" s="30" t="str">
        <x:v>compute.running_job_ids</x:v>
      </x:c>
      <x:c r="D3309" s="30" t="str">
        <x:v>候选输入schema</x:v>
      </x:c>
      <x:c r="E3309" s="30" t="str">
        <x:v>按执行角色权限读取；策略只能使用可访问快照</x:v>
      </x:c>
    </x:row>
    <x:row r="3310" ht="32" customHeight="1">
      <x:c r="A3310" s="30" t="str">
        <x:v>A039</x:v>
      </x:c>
      <x:c r="B3310" s="30" t="str">
        <x:v>F304</x:v>
      </x:c>
      <x:c r="C3310" s="30" t="str">
        <x:v>compute.availability</x:v>
      </x:c>
      <x:c r="D3310" s="30" t="str">
        <x:v>候选输入schema</x:v>
      </x:c>
      <x:c r="E3310" s="30" t="str">
        <x:v>按执行角色权限读取；策略只能使用可访问快照</x:v>
      </x:c>
    </x:row>
    <x:row r="3311" ht="32" customHeight="1">
      <x:c r="A3311" s="30" t="str">
        <x:v>A039</x:v>
      </x:c>
      <x:c r="B3311" s="30" t="str">
        <x:v>F305</x:v>
      </x:c>
      <x:c r="C3311" s="30" t="str">
        <x:v>compute.power_model</x:v>
      </x:c>
      <x:c r="D3311" s="30" t="str">
        <x:v>候选输入schema</x:v>
      </x:c>
      <x:c r="E3311" s="30" t="str">
        <x:v>按执行角色权限读取；策略只能使用可访问快照</x:v>
      </x:c>
    </x:row>
    <x:row r="3312" ht="32" customHeight="1">
      <x:c r="A3312" s="30" t="str">
        <x:v>A039</x:v>
      </x:c>
      <x:c r="B3312" s="30" t="str">
        <x:v>F306</x:v>
      </x:c>
      <x:c r="C3312" s="30" t="str">
        <x:v>compute.energy_Wh</x:v>
      </x:c>
      <x:c r="D3312" s="30" t="str">
        <x:v>候选输入schema</x:v>
      </x:c>
      <x:c r="E3312" s="30" t="str">
        <x:v>按执行角色权限读取；策略只能使用可访问快照</x:v>
      </x:c>
    </x:row>
    <x:row r="3313" ht="32" customHeight="1">
      <x:c r="A3313" s="30" t="str">
        <x:v>A039</x:v>
      </x:c>
      <x:c r="B3313" s="30" t="str">
        <x:v>F307</x:v>
      </x:c>
      <x:c r="C3313" s="30" t="str">
        <x:v>compute.service_ids</x:v>
      </x:c>
      <x:c r="D3313" s="30" t="str">
        <x:v>候选输入schema</x:v>
      </x:c>
      <x:c r="E3313" s="30" t="str">
        <x:v>按执行角色权限读取；策略只能使用可访问快照</x:v>
      </x:c>
    </x:row>
    <x:row r="3314" ht="32" customHeight="1">
      <x:c r="A3314" s="30" t="str">
        <x:v>A039</x:v>
      </x:c>
      <x:c r="B3314" s="30" t="str">
        <x:v>F308</x:v>
      </x:c>
      <x:c r="C3314" s="30" t="str">
        <x:v>compute.storage_free_bytes</x:v>
      </x:c>
      <x:c r="D3314" s="30" t="str">
        <x:v>候选输入schema</x:v>
      </x:c>
      <x:c r="E3314" s="30" t="str">
        <x:v>按执行角色权限读取；策略只能使用可访问快照</x:v>
      </x:c>
    </x:row>
    <x:row r="3315" ht="32" customHeight="1">
      <x:c r="A3315" s="30" t="str">
        <x:v>A039</x:v>
      </x:c>
      <x:c r="B3315" s="30" t="str">
        <x:v>F309</x:v>
      </x:c>
      <x:c r="C3315" s="30" t="str">
        <x:v>compute.clock_policy</x:v>
      </x:c>
      <x:c r="D3315" s="30" t="str">
        <x:v>候选输入schema</x:v>
      </x:c>
      <x:c r="E3315" s="30" t="str">
        <x:v>按执行角色权限读取；策略只能使用可访问快照</x:v>
      </x:c>
    </x:row>
    <x:row r="3316" ht="32" customHeight="1">
      <x:c r="A3316" s="30" t="str">
        <x:v>A039</x:v>
      </x:c>
      <x:c r="B3316" s="30" t="str">
        <x:v>F310</x:v>
      </x:c>
      <x:c r="C3316" s="30" t="str">
        <x:v>compute.timing_profile_id</x:v>
      </x:c>
      <x:c r="D3316" s="30" t="str">
        <x:v>候选输入schema</x:v>
      </x:c>
      <x:c r="E3316" s="30" t="str">
        <x:v>按执行角色权限读取；策略只能使用可访问快照</x:v>
      </x:c>
    </x:row>
    <x:row r="3317" ht="32" customHeight="1">
      <x:c r="A3317" s="30" t="str">
        <x:v>A039</x:v>
      </x:c>
      <x:c r="B3317" s="30" t="str">
        <x:v>F311</x:v>
      </x:c>
      <x:c r="C3317" s="30" t="str">
        <x:v>compute.temperature_state</x:v>
      </x:c>
      <x:c r="D3317" s="30" t="str">
        <x:v>候选输入schema</x:v>
      </x:c>
      <x:c r="E3317" s="30" t="str">
        <x:v>按执行角色权限读取；策略只能使用可访问快照</x:v>
      </x:c>
    </x:row>
    <x:row r="3318" ht="32" customHeight="1">
      <x:c r="A3318" s="30" t="str">
        <x:v>A039</x:v>
      </x:c>
      <x:c r="B3318" s="30" t="str">
        <x:v>F312</x:v>
      </x:c>
      <x:c r="C3318" s="30" t="str">
        <x:v>compute.network_endpoint</x:v>
      </x:c>
      <x:c r="D3318" s="30" t="str">
        <x:v>候选输入schema</x:v>
      </x:c>
      <x:c r="E3318" s="30" t="str">
        <x:v>按执行角色权限读取；策略只能使用可访问快照</x:v>
      </x:c>
    </x:row>
    <x:row r="3319" ht="32" customHeight="1">
      <x:c r="A3319" s="30" t="str">
        <x:v>A039</x:v>
      </x:c>
      <x:c r="B3319" s="30" t="str">
        <x:v>F313</x:v>
      </x:c>
      <x:c r="C3319" s="30" t="str">
        <x:v>service.kind</x:v>
      </x:c>
      <x:c r="D3319" s="30" t="str">
        <x:v>候选输入schema</x:v>
      </x:c>
      <x:c r="E3319" s="30" t="str">
        <x:v>按执行角色权限读取；策略只能使用可访问快照</x:v>
      </x:c>
    </x:row>
    <x:row r="3320" ht="32" customHeight="1">
      <x:c r="A3320" s="30" t="str">
        <x:v>A039</x:v>
      </x:c>
      <x:c r="B3320" s="30" t="str">
        <x:v>F314</x:v>
      </x:c>
      <x:c r="C3320" s="30" t="str">
        <x:v>service.model_id</x:v>
      </x:c>
      <x:c r="D3320" s="30" t="str">
        <x:v>候选输入schema</x:v>
      </x:c>
      <x:c r="E3320" s="30" t="str">
        <x:v>按执行角色权限读取；策略只能使用可访问快照</x:v>
      </x:c>
    </x:row>
    <x:row r="3321" ht="32" customHeight="1">
      <x:c r="A3321" s="30" t="str">
        <x:v>A039</x:v>
      </x:c>
      <x:c r="B3321" s="30" t="str">
        <x:v>F315</x:v>
      </x:c>
      <x:c r="C3321" s="30" t="str">
        <x:v>service.version</x:v>
      </x:c>
      <x:c r="D3321" s="30" t="str">
        <x:v>候选输入schema</x:v>
      </x:c>
      <x:c r="E3321" s="30" t="str">
        <x:v>按执行角色权限读取；策略只能使用可访问快照</x:v>
      </x:c>
    </x:row>
    <x:row r="3322" ht="32" customHeight="1">
      <x:c r="A3322" s="30" t="str">
        <x:v>A039</x:v>
      </x:c>
      <x:c r="B3322" s="30" t="str">
        <x:v>F316</x:v>
      </x:c>
      <x:c r="C3322" s="30" t="str">
        <x:v>service.host_id</x:v>
      </x:c>
      <x:c r="D3322" s="30" t="str">
        <x:v>候选输入schema</x:v>
      </x:c>
      <x:c r="E3322" s="30" t="str">
        <x:v>按执行角色权限读取；策略只能使用可访问快照</x:v>
      </x:c>
    </x:row>
    <x:row r="3323" ht="32" customHeight="1">
      <x:c r="A3323" s="30" t="str">
        <x:v>A039</x:v>
      </x:c>
      <x:c r="B3323" s="30" t="str">
        <x:v>F317</x:v>
      </x:c>
      <x:c r="C3323" s="30" t="str">
        <x:v>service.status</x:v>
      </x:c>
      <x:c r="D3323" s="30" t="str">
        <x:v>候选输入schema</x:v>
      </x:c>
      <x:c r="E3323" s="30" t="str">
        <x:v>按执行角色权限读取；策略只能使用可访问快照</x:v>
      </x:c>
    </x:row>
    <x:row r="3324" ht="32" customHeight="1">
      <x:c r="A3324" s="30" t="str">
        <x:v>A039</x:v>
      </x:c>
      <x:c r="B3324" s="30" t="str">
        <x:v>F318</x:v>
      </x:c>
      <x:c r="C3324" s="30" t="str">
        <x:v>service.input_schema</x:v>
      </x:c>
      <x:c r="D3324" s="30" t="str">
        <x:v>候选输入schema</x:v>
      </x:c>
      <x:c r="E3324" s="30" t="str">
        <x:v>按执行角色权限读取；策略只能使用可访问快照</x:v>
      </x:c>
    </x:row>
    <x:row r="3325" ht="32" customHeight="1">
      <x:c r="A3325" s="30" t="str">
        <x:v>A039</x:v>
      </x:c>
      <x:c r="B3325" s="30" t="str">
        <x:v>F319</x:v>
      </x:c>
      <x:c r="C3325" s="30" t="str">
        <x:v>service.output_schema</x:v>
      </x:c>
      <x:c r="D3325" s="30" t="str">
        <x:v>候选输入schema</x:v>
      </x:c>
      <x:c r="E3325" s="30" t="str">
        <x:v>按执行角色权限读取；策略只能使用可访问快照</x:v>
      </x:c>
    </x:row>
    <x:row r="3326" ht="32" customHeight="1">
      <x:c r="A3326" s="30" t="str">
        <x:v>A039</x:v>
      </x:c>
      <x:c r="B3326" s="30" t="str">
        <x:v>F320</x:v>
      </x:c>
      <x:c r="C3326" s="30" t="str">
        <x:v>service.precision</x:v>
      </x:c>
      <x:c r="D3326" s="30" t="str">
        <x:v>候选输入schema</x:v>
      </x:c>
      <x:c r="E3326" s="30" t="str">
        <x:v>按执行角色权限读取；策略只能使用可访问快照</x:v>
      </x:c>
    </x:row>
    <x:row r="3327" ht="32" customHeight="1">
      <x:c r="A3327" s="30" t="str">
        <x:v>A039</x:v>
      </x:c>
      <x:c r="B3327" s="30" t="str">
        <x:v>F321</x:v>
      </x:c>
      <x:c r="C3327" s="30" t="str">
        <x:v>service.weights_bytes</x:v>
      </x:c>
      <x:c r="D3327" s="30" t="str">
        <x:v>候选输入schema</x:v>
      </x:c>
      <x:c r="E3327" s="30" t="str">
        <x:v>按执行角色权限读取；策略只能使用可访问快照</x:v>
      </x:c>
    </x:row>
    <x:row r="3328" ht="32" customHeight="1">
      <x:c r="A3328" s="30" t="str">
        <x:v>A039</x:v>
      </x:c>
      <x:c r="B3328" s="30" t="str">
        <x:v>F322</x:v>
      </x:c>
      <x:c r="C3328" s="30" t="str">
        <x:v>service.working_memory_bytes</x:v>
      </x:c>
      <x:c r="D3328" s="30" t="str">
        <x:v>候选输入schema</x:v>
      </x:c>
      <x:c r="E3328" s="30" t="str">
        <x:v>按执行角色权限读取；策略只能使用可访问快照</x:v>
      </x:c>
    </x:row>
    <x:row r="3329" ht="32" customHeight="1">
      <x:c r="A3329" s="30" t="str">
        <x:v>A039</x:v>
      </x:c>
      <x:c r="B3329" s="30" t="str">
        <x:v>F323</x:v>
      </x:c>
      <x:c r="C3329" s="30" t="str">
        <x:v>service.load_latency_profile</x:v>
      </x:c>
      <x:c r="D3329" s="30" t="str">
        <x:v>候选输入schema</x:v>
      </x:c>
      <x:c r="E3329" s="30" t="str">
        <x:v>按执行角色权限读取；策略只能使用可访问快照</x:v>
      </x:c>
    </x:row>
    <x:row r="3330" ht="32" customHeight="1">
      <x:c r="A3330" s="30" t="str">
        <x:v>A039</x:v>
      </x:c>
      <x:c r="B3330" s="30" t="str">
        <x:v>F324</x:v>
      </x:c>
      <x:c r="C3330" s="30" t="str">
        <x:v>service.batch_policy</x:v>
      </x:c>
      <x:c r="D3330" s="30" t="str">
        <x:v>候选输入schema</x:v>
      </x:c>
      <x:c r="E3330" s="30" t="str">
        <x:v>按执行角色权限读取；策略只能使用可访问快照</x:v>
      </x:c>
    </x:row>
    <x:row r="3331" ht="32" customHeight="1">
      <x:c r="A3331" s="30" t="str">
        <x:v>A039</x:v>
      </x:c>
      <x:c r="B3331" s="30" t="str">
        <x:v>F325</x:v>
      </x:c>
      <x:c r="C3331" s="30" t="str">
        <x:v>service.context_limit</x:v>
      </x:c>
      <x:c r="D3331" s="30" t="str">
        <x:v>候选输入schema</x:v>
      </x:c>
      <x:c r="E3331" s="30" t="str">
        <x:v>按执行角色权限读取；策略只能使用可访问快照</x:v>
      </x:c>
    </x:row>
    <x:row r="3332" ht="32" customHeight="1">
      <x:c r="A3332" s="30" t="str">
        <x:v>A039</x:v>
      </x:c>
      <x:c r="B3332" s="30" t="str">
        <x:v>F326</x:v>
      </x:c>
      <x:c r="C3332" s="30" t="str">
        <x:v>service.quality_profile</x:v>
      </x:c>
      <x:c r="D3332" s="30" t="str">
        <x:v>候选输入schema</x:v>
      </x:c>
      <x:c r="E3332" s="30" t="str">
        <x:v>按执行角色权限读取；策略只能使用可访问快照</x:v>
      </x:c>
    </x:row>
    <x:row r="3333" ht="32" customHeight="1">
      <x:c r="A3333" s="30" t="str">
        <x:v>A039</x:v>
      </x:c>
      <x:c r="B3333" s="30" t="str">
        <x:v>F327</x:v>
      </x:c>
      <x:c r="C3333" s="30" t="str">
        <x:v>service.compatible_representations</x:v>
      </x:c>
      <x:c r="D3333" s="30" t="str">
        <x:v>候选输入schema</x:v>
      </x:c>
      <x:c r="E3333" s="30" t="str">
        <x:v>按执行角色权限读取；策略只能使用可访问快照</x:v>
      </x:c>
    </x:row>
    <x:row r="3334" ht="32" customHeight="1">
      <x:c r="A3334" s="30" t="str">
        <x:v>A039</x:v>
      </x:c>
      <x:c r="B3334" s="30" t="str">
        <x:v>F328</x:v>
      </x:c>
      <x:c r="C3334" s="30" t="str">
        <x:v>service.licence_scope</x:v>
      </x:c>
      <x:c r="D3334" s="30" t="str">
        <x:v>候选输入schema</x:v>
      </x:c>
      <x:c r="E3334" s="30" t="str">
        <x:v>按执行角色权限读取；策略只能使用可访问快照</x:v>
      </x:c>
    </x:row>
    <x:row r="3335" ht="32" customHeight="1">
      <x:c r="A3335" s="30" t="str">
        <x:v>A039</x:v>
      </x:c>
      <x:c r="B3335" s="30" t="str">
        <x:v>F329</x:v>
      </x:c>
      <x:c r="C3335" s="30" t="str">
        <x:v>job.requester_id</x:v>
      </x:c>
      <x:c r="D3335" s="30" t="str">
        <x:v>候选输入schema</x:v>
      </x:c>
      <x:c r="E3335" s="30" t="str">
        <x:v>按执行角色权限读取；策略只能使用可访问快照</x:v>
      </x:c>
    </x:row>
    <x:row r="3336" ht="32" customHeight="1">
      <x:c r="A3336" s="30" t="str">
        <x:v>A039</x:v>
      </x:c>
      <x:c r="B3336" s="30" t="str">
        <x:v>F330</x:v>
      </x:c>
      <x:c r="C3336" s="30" t="str">
        <x:v>job.task_ref</x:v>
      </x:c>
      <x:c r="D3336" s="30" t="str">
        <x:v>候选输入schema</x:v>
      </x:c>
      <x:c r="E3336" s="30" t="str">
        <x:v>按执行角色权限读取；策略只能使用可访问快照</x:v>
      </x:c>
    </x:row>
    <x:row r="3337" ht="32" customHeight="1">
      <x:c r="A3337" s="30" t="str">
        <x:v>A039</x:v>
      </x:c>
      <x:c r="B3337" s="30" t="str">
        <x:v>F331</x:v>
      </x:c>
      <x:c r="C3337" s="30" t="str">
        <x:v>job.service_id</x:v>
      </x:c>
      <x:c r="D3337" s="30" t="str">
        <x:v>候选输入schema</x:v>
      </x:c>
      <x:c r="E3337" s="30" t="str">
        <x:v>按执行角色权限读取；策略只能使用可访问快照</x:v>
      </x:c>
    </x:row>
    <x:row r="3338" ht="32" customHeight="1">
      <x:c r="A3338" s="30" t="str">
        <x:v>A039</x:v>
      </x:c>
      <x:c r="B3338" s="30" t="str">
        <x:v>F332</x:v>
      </x:c>
      <x:c r="C3338" s="30" t="str">
        <x:v>job.input_evidence_ids</x:v>
      </x:c>
      <x:c r="D3338" s="30" t="str">
        <x:v>候选输入schema</x:v>
      </x:c>
      <x:c r="E3338" s="30" t="str">
        <x:v>按执行角色权限读取；策略只能使用可访问快照</x:v>
      </x:c>
    </x:row>
    <x:row r="3339" ht="32" customHeight="1">
      <x:c r="A3339" s="30" t="str">
        <x:v>A039</x:v>
      </x:c>
      <x:c r="B3339" s="30" t="str">
        <x:v>F333</x:v>
      </x:c>
      <x:c r="C3339" s="30" t="str">
        <x:v>job.input_bytes</x:v>
      </x:c>
      <x:c r="D3339" s="30" t="str">
        <x:v>候选输入schema</x:v>
      </x:c>
      <x:c r="E3339" s="30" t="str">
        <x:v>按执行角色权限读取；策略只能使用可访问快照</x:v>
      </x:c>
    </x:row>
    <x:row r="3340" ht="32" customHeight="1">
      <x:c r="A3340" s="30" t="str">
        <x:v>A039</x:v>
      </x:c>
      <x:c r="B3340" s="30" t="str">
        <x:v>F334</x:v>
      </x:c>
      <x:c r="C3340" s="30" t="str">
        <x:v>job.input_tokens</x:v>
      </x:c>
      <x:c r="D3340" s="30" t="str">
        <x:v>候选输入schema</x:v>
      </x:c>
      <x:c r="E3340" s="30" t="str">
        <x:v>按执行角色权限读取；策略只能使用可访问快照</x:v>
      </x:c>
    </x:row>
    <x:row r="3341" ht="32" customHeight="1">
      <x:c r="A3341" s="30" t="str">
        <x:v>A039</x:v>
      </x:c>
      <x:c r="B3341" s="30" t="str">
        <x:v>F335</x:v>
      </x:c>
      <x:c r="C3341" s="30" t="str">
        <x:v>job.output_tokens</x:v>
      </x:c>
      <x:c r="D3341" s="30" t="str">
        <x:v>候选输入schema</x:v>
      </x:c>
      <x:c r="E3341" s="30" t="str">
        <x:v>按执行角色权限读取；策略只能使用可访问快照</x:v>
      </x:c>
    </x:row>
    <x:row r="3342" ht="32" customHeight="1">
      <x:c r="A3342" s="30" t="str">
        <x:v>A039</x:v>
      </x:c>
      <x:c r="B3342" s="30" t="str">
        <x:v>F336</x:v>
      </x:c>
      <x:c r="C3342" s="30" t="str">
        <x:v>job.status</x:v>
      </x:c>
      <x:c r="D3342" s="30" t="str">
        <x:v>候选输入schema</x:v>
      </x:c>
      <x:c r="E3342" s="30" t="str">
        <x:v>按执行角色权限读取；策略只能使用可访问快照</x:v>
      </x:c>
    </x:row>
    <x:row r="3343" ht="32" customHeight="1">
      <x:c r="A3343" s="30" t="str">
        <x:v>A039</x:v>
      </x:c>
      <x:c r="B3343" s="30" t="str">
        <x:v>F337</x:v>
      </x:c>
      <x:c r="C3343" s="30" t="str">
        <x:v>job.queue_enter_s</x:v>
      </x:c>
      <x:c r="D3343" s="30" t="str">
        <x:v>候选输入schema</x:v>
      </x:c>
      <x:c r="E3343" s="30" t="str">
        <x:v>按执行角色权限读取；策略只能使用可访问快照</x:v>
      </x:c>
    </x:row>
    <x:row r="3344" ht="32" customHeight="1">
      <x:c r="A3344" s="30" t="str">
        <x:v>A039</x:v>
      </x:c>
      <x:c r="B3344" s="30" t="str">
        <x:v>F338</x:v>
      </x:c>
      <x:c r="C3344" s="30" t="str">
        <x:v>job.start_s</x:v>
      </x:c>
      <x:c r="D3344" s="30" t="str">
        <x:v>候选输入schema</x:v>
      </x:c>
      <x:c r="E3344" s="30" t="str">
        <x:v>按执行角色权限读取；策略只能使用可访问快照</x:v>
      </x:c>
    </x:row>
    <x:row r="3345" ht="32" customHeight="1">
      <x:c r="A3345" s="30" t="str">
        <x:v>A039</x:v>
      </x:c>
      <x:c r="B3345" s="30" t="str">
        <x:v>F339</x:v>
      </x:c>
      <x:c r="C3345" s="30" t="str">
        <x:v>job.finish_s</x:v>
      </x:c>
      <x:c r="D3345" s="30" t="str">
        <x:v>候选输入schema</x:v>
      </x:c>
      <x:c r="E3345" s="30" t="str">
        <x:v>按执行角色权限读取；策略只能使用可访问快照</x:v>
      </x:c>
    </x:row>
    <x:row r="3346" ht="32" customHeight="1">
      <x:c r="A3346" s="30" t="str">
        <x:v>A039</x:v>
      </x:c>
      <x:c r="B3346" s="30" t="str">
        <x:v>F340</x:v>
      </x:c>
      <x:c r="C3346" s="30" t="str">
        <x:v>job.deadline_s</x:v>
      </x:c>
      <x:c r="D3346" s="30" t="str">
        <x:v>候选输入schema</x:v>
      </x:c>
      <x:c r="E3346" s="30" t="str">
        <x:v>按执行角色权限读取；策略只能使用可访问快照</x:v>
      </x:c>
    </x:row>
    <x:row r="3347" ht="32" customHeight="1">
      <x:c r="A3347" s="30" t="str">
        <x:v>A039</x:v>
      </x:c>
      <x:c r="B3347" s="30" t="str">
        <x:v>F341</x:v>
      </x:c>
      <x:c r="C3347" s="30" t="str">
        <x:v>job.cpu_request</x:v>
      </x:c>
      <x:c r="D3347" s="30" t="str">
        <x:v>候选输入schema</x:v>
      </x:c>
      <x:c r="E3347" s="30" t="str">
        <x:v>按执行角色权限读取；策略只能使用可访问快照</x:v>
      </x:c>
    </x:row>
    <x:row r="3348" ht="32" customHeight="1">
      <x:c r="A3348" s="30" t="str">
        <x:v>A039</x:v>
      </x:c>
      <x:c r="B3348" s="30" t="str">
        <x:v>F342</x:v>
      </x:c>
      <x:c r="C3348" s="30" t="str">
        <x:v>job.memory_request_bytes</x:v>
      </x:c>
      <x:c r="D3348" s="30" t="str">
        <x:v>候选输入schema</x:v>
      </x:c>
      <x:c r="E3348" s="30" t="str">
        <x:v>按执行角色权限读取；策略只能使用可访问快照</x:v>
      </x:c>
    </x:row>
    <x:row r="3349" ht="32" customHeight="1">
      <x:c r="A3349" s="30" t="str">
        <x:v>A039</x:v>
      </x:c>
      <x:c r="B3349" s="30" t="str">
        <x:v>F343</x:v>
      </x:c>
      <x:c r="C3349" s="30" t="str">
        <x:v>job.prefill_s</x:v>
      </x:c>
      <x:c r="D3349" s="30" t="str">
        <x:v>候选输入schema</x:v>
      </x:c>
      <x:c r="E3349" s="30" t="str">
        <x:v>按执行角色权限读取；策略只能使用可访问快照</x:v>
      </x:c>
    </x:row>
    <x:row r="3350" ht="32" customHeight="1">
      <x:c r="A3350" s="30" t="str">
        <x:v>A039</x:v>
      </x:c>
      <x:c r="B3350" s="30" t="str">
        <x:v>F344</x:v>
      </x:c>
      <x:c r="C3350" s="30" t="str">
        <x:v>job.decode_s</x:v>
      </x:c>
      <x:c r="D3350" s="30" t="str">
        <x:v>候选输入schema</x:v>
      </x:c>
      <x:c r="E3350" s="30" t="str">
        <x:v>按执行角色权限读取；策略只能使用可访问快照</x:v>
      </x:c>
    </x:row>
    <x:row r="3351" ht="32" customHeight="1">
      <x:c r="A3351" s="30" t="str">
        <x:v>A039</x:v>
      </x:c>
      <x:c r="B3351" s="30" t="str">
        <x:v>F345</x:v>
      </x:c>
      <x:c r="C3351" s="30" t="str">
        <x:v>job.wall_time_s</x:v>
      </x:c>
      <x:c r="D3351" s="30" t="str">
        <x:v>候选输入schema</x:v>
      </x:c>
      <x:c r="E3351" s="30" t="str">
        <x:v>按执行角色权限读取；策略只能使用可访问快照</x:v>
      </x:c>
    </x:row>
    <x:row r="3352" ht="32" customHeight="1">
      <x:c r="A3352" s="30" t="str">
        <x:v>A039</x:v>
      </x:c>
      <x:c r="B3352" s="30" t="str">
        <x:v>F346</x:v>
      </x:c>
      <x:c r="C3352" s="30" t="str">
        <x:v>job.result_ref</x:v>
      </x:c>
      <x:c r="D3352" s="30" t="str">
        <x:v>候选输入schema</x:v>
      </x:c>
      <x:c r="E3352" s="30" t="str">
        <x:v>按执行角色权限读取；策略只能使用可访问快照</x:v>
      </x:c>
    </x:row>
    <x:row r="3353" ht="32" customHeight="1">
      <x:c r="A3353" s="30" t="str">
        <x:v>A039</x:v>
      </x:c>
      <x:c r="B3353" s="30" t="str">
        <x:v>F347</x:v>
      </x:c>
      <x:c r="C3353" s="30" t="str">
        <x:v>job.checkpoint_ref</x:v>
      </x:c>
      <x:c r="D3353" s="30" t="str">
        <x:v>候选输入schema</x:v>
      </x:c>
      <x:c r="E3353" s="30" t="str">
        <x:v>按执行角色权限读取；策略只能使用可访问快照</x:v>
      </x:c>
    </x:row>
    <x:row r="3354" ht="32" customHeight="1">
      <x:c r="A3354" s="30" t="str">
        <x:v>A039</x:v>
      </x:c>
      <x:c r="B3354" s="30" t="str">
        <x:v>F348</x:v>
      </x:c>
      <x:c r="C3354" s="30" t="str">
        <x:v>job.failure_reason</x:v>
      </x:c>
      <x:c r="D3354" s="30" t="str">
        <x:v>候选输入schema</x:v>
      </x:c>
      <x:c r="E3354" s="30" t="str">
        <x:v>按执行角色权限读取；策略只能使用可访问快照</x:v>
      </x:c>
    </x:row>
    <x:row r="3355" ht="32" customHeight="1">
      <x:c r="A3355" s="30" t="str">
        <x:v>A039</x:v>
      </x:c>
      <x:c r="B3355" s="30" t="str">
        <x:v>F349</x:v>
      </x:c>
      <x:c r="C3355" s="30" t="str">
        <x:v>cache.owner_id</x:v>
      </x:c>
      <x:c r="D3355" s="30" t="str">
        <x:v>候选输入schema</x:v>
      </x:c>
      <x:c r="E3355" s="30" t="str">
        <x:v>按执行角色权限读取；策略只能使用可访问快照</x:v>
      </x:c>
    </x:row>
    <x:row r="3356" ht="32" customHeight="1">
      <x:c r="A3356" s="30" t="str">
        <x:v>A039</x:v>
      </x:c>
      <x:c r="B3356" s="30" t="str">
        <x:v>F350</x:v>
      </x:c>
      <x:c r="C3356" s="30" t="str">
        <x:v>cache.kind</x:v>
      </x:c>
      <x:c r="D3356" s="30" t="str">
        <x:v>候选输入schema</x:v>
      </x:c>
      <x:c r="E3356" s="30" t="str">
        <x:v>按执行角色权限读取；策略只能使用可访问快照</x:v>
      </x:c>
    </x:row>
    <x:row r="3357" ht="32" customHeight="1">
      <x:c r="A3357" s="30" t="str">
        <x:v>A039</x:v>
      </x:c>
      <x:c r="B3357" s="30" t="str">
        <x:v>F351</x:v>
      </x:c>
      <x:c r="C3357" s="30" t="str">
        <x:v>cache.model_version</x:v>
      </x:c>
      <x:c r="D3357" s="30" t="str">
        <x:v>候选输入schema</x:v>
      </x:c>
      <x:c r="E3357" s="30" t="str">
        <x:v>按执行角色权限读取；策略只能使用可访问快照</x:v>
      </x:c>
    </x:row>
    <x:row r="3358" ht="32" customHeight="1">
      <x:c r="A3358" s="30" t="str">
        <x:v>A039</x:v>
      </x:c>
      <x:c r="B3358" s="30" t="str">
        <x:v>F352</x:v>
      </x:c>
      <x:c r="C3358" s="30" t="str">
        <x:v>cache.content_ids</x:v>
      </x:c>
      <x:c r="D3358" s="30" t="str">
        <x:v>候选输入schema</x:v>
      </x:c>
      <x:c r="E3358" s="30" t="str">
        <x:v>按执行角色权限读取；策略只能使用可访问快照</x:v>
      </x:c>
    </x:row>
    <x:row r="3359" ht="32" customHeight="1">
      <x:c r="A3359" s="30" t="str">
        <x:v>A039</x:v>
      </x:c>
      <x:c r="B3359" s="30" t="str">
        <x:v>F353</x:v>
      </x:c>
      <x:c r="C3359" s="30" t="str">
        <x:v>cache.size_bytes</x:v>
      </x:c>
      <x:c r="D3359" s="30" t="str">
        <x:v>候选输入schema</x:v>
      </x:c>
      <x:c r="E3359" s="30" t="str">
        <x:v>按执行角色权限读取；策略只能使用可访问快照</x:v>
      </x:c>
    </x:row>
    <x:row r="3360" ht="32" customHeight="1">
      <x:c r="A3360" s="30" t="str">
        <x:v>A039</x:v>
      </x:c>
      <x:c r="B3360" s="30" t="str">
        <x:v>F354</x:v>
      </x:c>
      <x:c r="C3360" s="30" t="str">
        <x:v>cache.location</x:v>
      </x:c>
      <x:c r="D3360" s="30" t="str">
        <x:v>候选输入schema</x:v>
      </x:c>
      <x:c r="E3360" s="30" t="str">
        <x:v>按执行角色权限读取；策略只能使用可访问快照</x:v>
      </x:c>
    </x:row>
    <x:row r="3361" ht="32" customHeight="1">
      <x:c r="A3361" s="30" t="str">
        <x:v>A039</x:v>
      </x:c>
      <x:c r="B3361" s="30" t="str">
        <x:v>F355</x:v>
      </x:c>
      <x:c r="C3361" s="30" t="str">
        <x:v>cache.valid_until_s</x:v>
      </x:c>
      <x:c r="D3361" s="30" t="str">
        <x:v>候选输入schema</x:v>
      </x:c>
      <x:c r="E3361" s="30" t="str">
        <x:v>按执行角色权限读取；策略只能使用可访问快照</x:v>
      </x:c>
    </x:row>
    <x:row r="3362" ht="32" customHeight="1">
      <x:c r="A3362" s="30" t="str">
        <x:v>A039</x:v>
      </x:c>
      <x:c r="B3362" s="30" t="str">
        <x:v>F356</x:v>
      </x:c>
      <x:c r="C3362" s="30" t="str">
        <x:v>cache.reuse_compatible</x:v>
      </x:c>
      <x:c r="D3362" s="30" t="str">
        <x:v>候选输入schema</x:v>
      </x:c>
      <x:c r="E3362" s="30" t="str">
        <x:v>按执行角色权限读取；策略只能使用可访问快照</x:v>
      </x:c>
    </x:row>
    <x:row r="3363" ht="32" customHeight="1">
      <x:c r="A3363" s="30" t="str">
        <x:v>A039</x:v>
      </x:c>
      <x:c r="B3363" s="30" t="str">
        <x:v>F357</x:v>
      </x:c>
      <x:c r="C3363" s="30" t="str">
        <x:v>cache.hit_count</x:v>
      </x:c>
      <x:c r="D3363" s="30" t="str">
        <x:v>候选输入schema</x:v>
      </x:c>
      <x:c r="E3363" s="30" t="str">
        <x:v>按执行角色权限读取；策略只能使用可访问快照</x:v>
      </x:c>
    </x:row>
    <x:row r="3364" ht="32" customHeight="1">
      <x:c r="A3364" s="30" t="str">
        <x:v>A039</x:v>
      </x:c>
      <x:c r="B3364" s="30" t="str">
        <x:v>F358</x:v>
      </x:c>
      <x:c r="C3364" s="30" t="str">
        <x:v>cache.eviction_state</x:v>
      </x:c>
      <x:c r="D3364" s="30" t="str">
        <x:v>候选输入schema</x:v>
      </x:c>
      <x:c r="E3364" s="30" t="str">
        <x:v>按执行角色权限读取；策略只能使用可访问快照</x:v>
      </x:c>
    </x:row>
    <x:row r="3365" ht="32" customHeight="1">
      <x:c r="A3365" s="30" t="str">
        <x:v>A039</x:v>
      </x:c>
      <x:c r="B3365" s="30" t="str">
        <x:v>F170</x:v>
      </x:c>
      <x:c r="C3365" s="30" t="str">
        <x:v>observation.payload_ref</x:v>
      </x:c>
      <x:c r="D3365" s="30" t="str">
        <x:v>直接效果</x:v>
      </x:c>
      <x:c r="E3365" s="30" t="str">
        <x:v>经实际执行/回执提交；不是规划时提前修改</x:v>
      </x:c>
    </x:row>
    <x:row r="3366" ht="32" customHeight="1">
      <x:c r="A3366" s="30" t="str">
        <x:v>A039</x:v>
      </x:c>
      <x:c r="B3366" s="30" t="str">
        <x:v>F171</x:v>
      </x:c>
      <x:c r="C3366" s="30" t="str">
        <x:v>observation.payload_bytes</x:v>
      </x:c>
      <x:c r="D3366" s="30" t="str">
        <x:v>直接效果</x:v>
      </x:c>
      <x:c r="E3366" s="30" t="str">
        <x:v>经实际执行/回执提交；不是规划时提前修改</x:v>
      </x:c>
    </x:row>
    <x:row r="3367" ht="32" customHeight="1">
      <x:c r="A3367" s="30" t="str">
        <x:v>A039</x:v>
      </x:c>
      <x:c r="B3367" s="30" t="str">
        <x:v>F172</x:v>
      </x:c>
      <x:c r="C3367" s="30" t="str">
        <x:v>observation.content_hash</x:v>
      </x:c>
      <x:c r="D3367" s="30" t="str">
        <x:v>直接效果</x:v>
      </x:c>
      <x:c r="E3367" s="30" t="str">
        <x:v>经实际执行/回执提交；不是规划时提前修改</x:v>
      </x:c>
    </x:row>
    <x:row r="3368" ht="32" customHeight="1">
      <x:c r="A3368" s="30" t="str">
        <x:v>A039</x:v>
      </x:c>
      <x:c r="B3368" s="30" t="str">
        <x:v>F178</x:v>
      </x:c>
      <x:c r="C3368" s="30" t="str">
        <x:v>observation.parent_evidence_ids</x:v>
      </x:c>
      <x:c r="D3368" s="30" t="str">
        <x:v>直接效果</x:v>
      </x:c>
      <x:c r="E3368" s="30" t="str">
        <x:v>经实际执行/回执提交；不是规划时提前修改</x:v>
      </x:c>
    </x:row>
    <x:row r="3369" ht="32" customHeight="1">
      <x:c r="A3369" s="30" t="str">
        <x:v>A040</x:v>
      </x:c>
      <x:c r="B3369" s="30" t="str">
        <x:v>F166</x:v>
      </x:c>
      <x:c r="C3369" s="30" t="str">
        <x:v>observation.observer_id</x:v>
      </x:c>
      <x:c r="D3369" s="30" t="str">
        <x:v>候选输入schema</x:v>
      </x:c>
      <x:c r="E3369" s="30" t="str">
        <x:v>按执行角色权限读取；策略只能使用可访问快照</x:v>
      </x:c>
    </x:row>
    <x:row r="3370" ht="32" customHeight="1">
      <x:c r="A3370" s="30" t="str">
        <x:v>A040</x:v>
      </x:c>
      <x:c r="B3370" s="30" t="str">
        <x:v>F167</x:v>
      </x:c>
      <x:c r="C3370" s="30" t="str">
        <x:v>observation.sensor_id</x:v>
      </x:c>
      <x:c r="D3370" s="30" t="str">
        <x:v>候选输入schema</x:v>
      </x:c>
      <x:c r="E3370" s="30" t="str">
        <x:v>按执行角色权限读取；策略只能使用可访问快照</x:v>
      </x:c>
    </x:row>
    <x:row r="3371" ht="32" customHeight="1">
      <x:c r="A3371" s="30" t="str">
        <x:v>A040</x:v>
      </x:c>
      <x:c r="B3371" s="30" t="str">
        <x:v>F168</x:v>
      </x:c>
      <x:c r="C3371" s="30" t="str">
        <x:v>observation.captured_at_s</x:v>
      </x:c>
      <x:c r="D3371" s="30" t="str">
        <x:v>候选输入schema</x:v>
      </x:c>
      <x:c r="E3371" s="30" t="str">
        <x:v>按执行角色权限读取；策略只能使用可访问快照</x:v>
      </x:c>
    </x:row>
    <x:row r="3372" ht="32" customHeight="1">
      <x:c r="A3372" s="30" t="str">
        <x:v>A040</x:v>
      </x:c>
      <x:c r="B3372" s="30" t="str">
        <x:v>F169</x:v>
      </x:c>
      <x:c r="C3372" s="30" t="str">
        <x:v>observation.pose_estimate</x:v>
      </x:c>
      <x:c r="D3372" s="30" t="str">
        <x:v>候选输入schema</x:v>
      </x:c>
      <x:c r="E3372" s="30" t="str">
        <x:v>按执行角色权限读取；策略只能使用可访问快照</x:v>
      </x:c>
    </x:row>
    <x:row r="3373" ht="32" customHeight="1">
      <x:c r="A3373" s="30" t="str">
        <x:v>A040</x:v>
      </x:c>
      <x:c r="B3373" s="30" t="str">
        <x:v>F170</x:v>
      </x:c>
      <x:c r="C3373" s="30" t="str">
        <x:v>observation.payload_ref</x:v>
      </x:c>
      <x:c r="D3373" s="30" t="str">
        <x:v>候选输入schema</x:v>
      </x:c>
      <x:c r="E3373" s="30" t="str">
        <x:v>按执行角色权限读取；策略只能使用可访问快照</x:v>
      </x:c>
    </x:row>
    <x:row r="3374" ht="32" customHeight="1">
      <x:c r="A3374" s="30" t="str">
        <x:v>A040</x:v>
      </x:c>
      <x:c r="B3374" s="30" t="str">
        <x:v>F171</x:v>
      </x:c>
      <x:c r="C3374" s="30" t="str">
        <x:v>observation.payload_bytes</x:v>
      </x:c>
      <x:c r="D3374" s="30" t="str">
        <x:v>候选输入schema</x:v>
      </x:c>
      <x:c r="E3374" s="30" t="str">
        <x:v>按执行角色权限读取；策略只能使用可访问快照</x:v>
      </x:c>
    </x:row>
    <x:row r="3375" ht="32" customHeight="1">
      <x:c r="A3375" s="30" t="str">
        <x:v>A040</x:v>
      </x:c>
      <x:c r="B3375" s="30" t="str">
        <x:v>F172</x:v>
      </x:c>
      <x:c r="C3375" s="30" t="str">
        <x:v>observation.content_hash</x:v>
      </x:c>
      <x:c r="D3375" s="30" t="str">
        <x:v>候选输入schema</x:v>
      </x:c>
      <x:c r="E3375" s="30" t="str">
        <x:v>按执行角色权限读取；策略只能使用可访问快照</x:v>
      </x:c>
    </x:row>
    <x:row r="3376" ht="32" customHeight="1">
      <x:c r="A3376" s="30" t="str">
        <x:v>A040</x:v>
      </x:c>
      <x:c r="B3376" s="30" t="str">
        <x:v>F173</x:v>
      </x:c>
      <x:c r="C3376" s="30" t="str">
        <x:v>observation.modality</x:v>
      </x:c>
      <x:c r="D3376" s="30" t="str">
        <x:v>候选输入schema</x:v>
      </x:c>
      <x:c r="E3376" s="30" t="str">
        <x:v>按执行角色权限读取；策略只能使用可访问快照</x:v>
      </x:c>
    </x:row>
    <x:row r="3377" ht="32" customHeight="1">
      <x:c r="A3377" s="30" t="str">
        <x:v>A040</x:v>
      </x:c>
      <x:c r="B3377" s="30" t="str">
        <x:v>F174</x:v>
      </x:c>
      <x:c r="C3377" s="30" t="str">
        <x:v>observation.detections</x:v>
      </x:c>
      <x:c r="D3377" s="30" t="str">
        <x:v>候选输入schema</x:v>
      </x:c>
      <x:c r="E3377" s="30" t="str">
        <x:v>按执行角色权限读取；策略只能使用可访问快照</x:v>
      </x:c>
    </x:row>
    <x:row r="3378" ht="32" customHeight="1">
      <x:c r="A3378" s="30" t="str">
        <x:v>A040</x:v>
      </x:c>
      <x:c r="B3378" s="30" t="str">
        <x:v>F175</x:v>
      </x:c>
      <x:c r="C3378" s="30" t="str">
        <x:v>observation.confidence</x:v>
      </x:c>
      <x:c r="D3378" s="30" t="str">
        <x:v>候选输入schema</x:v>
      </x:c>
      <x:c r="E3378" s="30" t="str">
        <x:v>按执行角色权限读取；策略只能使用可访问快照</x:v>
      </x:c>
    </x:row>
    <x:row r="3379" ht="32" customHeight="1">
      <x:c r="A3379" s="30" t="str">
        <x:v>A040</x:v>
      </x:c>
      <x:c r="B3379" s="30" t="str">
        <x:v>F176</x:v>
      </x:c>
      <x:c r="C3379" s="30" t="str">
        <x:v>observation.coverage_estimate</x:v>
      </x:c>
      <x:c r="D3379" s="30" t="str">
        <x:v>候选输入schema</x:v>
      </x:c>
      <x:c r="E3379" s="30" t="str">
        <x:v>按执行角色权限读取；策略只能使用可访问快照</x:v>
      </x:c>
    </x:row>
    <x:row r="3380" ht="32" customHeight="1">
      <x:c r="A3380" s="30" t="str">
        <x:v>A040</x:v>
      </x:c>
      <x:c r="B3380" s="30" t="str">
        <x:v>F177</x:v>
      </x:c>
      <x:c r="C3380" s="30" t="str">
        <x:v>observation.processing_job_id</x:v>
      </x:c>
      <x:c r="D3380" s="30" t="str">
        <x:v>候选输入schema</x:v>
      </x:c>
      <x:c r="E3380" s="30" t="str">
        <x:v>按执行角色权限读取；策略只能使用可访问快照</x:v>
      </x:c>
    </x:row>
    <x:row r="3381" ht="32" customHeight="1">
      <x:c r="A3381" s="30" t="str">
        <x:v>A040</x:v>
      </x:c>
      <x:c r="B3381" s="30" t="str">
        <x:v>F178</x:v>
      </x:c>
      <x:c r="C3381" s="30" t="str">
        <x:v>observation.parent_evidence_ids</x:v>
      </x:c>
      <x:c r="D3381" s="30" t="str">
        <x:v>候选输入schema</x:v>
      </x:c>
      <x:c r="E3381" s="30" t="str">
        <x:v>按执行角色权限读取；策略只能使用可访问快照</x:v>
      </x:c>
    </x:row>
    <x:row r="3382" ht="32" customHeight="1">
      <x:c r="A3382" s="30" t="str">
        <x:v>A040</x:v>
      </x:c>
      <x:c r="B3382" s="30" t="str">
        <x:v>F179</x:v>
      </x:c>
      <x:c r="C3382" s="30" t="str">
        <x:v>observation.valid_until_s</x:v>
      </x:c>
      <x:c r="D3382" s="30" t="str">
        <x:v>候选输入schema</x:v>
      </x:c>
      <x:c r="E3382" s="30" t="str">
        <x:v>按执行角色权限读取；策略只能使用可访问快照</x:v>
      </x:c>
    </x:row>
    <x:row r="3383" ht="32" customHeight="1">
      <x:c r="A3383" s="30" t="str">
        <x:v>A040</x:v>
      </x:c>
      <x:c r="B3383" s="30" t="str">
        <x:v>F180</x:v>
      </x:c>
      <x:c r="C3383" s="30" t="str">
        <x:v>observation.mode</x:v>
      </x:c>
      <x:c r="D3383" s="30" t="str">
        <x:v>候选输入schema</x:v>
      </x:c>
      <x:c r="E3383" s="30" t="str">
        <x:v>按执行角色权限读取；策略只能使用可访问快照</x:v>
      </x:c>
    </x:row>
    <x:row r="3384" ht="32" customHeight="1">
      <x:c r="A3384" s="30" t="str">
        <x:v>A040</x:v>
      </x:c>
      <x:c r="B3384" s="30" t="str">
        <x:v>F181</x:v>
      </x:c>
      <x:c r="C3384" s="30" t="str">
        <x:v>belief.agent_id</x:v>
      </x:c>
      <x:c r="D3384" s="30" t="str">
        <x:v>候选输入schema</x:v>
      </x:c>
      <x:c r="E3384" s="30" t="str">
        <x:v>按执行角色权限读取；策略只能使用可访问快照</x:v>
      </x:c>
    </x:row>
    <x:row r="3385" ht="32" customHeight="1">
      <x:c r="A3385" s="30" t="str">
        <x:v>A040</x:v>
      </x:c>
      <x:c r="B3385" s="30" t="str">
        <x:v>F182</x:v>
      </x:c>
      <x:c r="C3385" s="30" t="str">
        <x:v>belief.entity_ref</x:v>
      </x:c>
      <x:c r="D3385" s="30" t="str">
        <x:v>候选输入schema</x:v>
      </x:c>
      <x:c r="E3385" s="30" t="str">
        <x:v>按执行角色权限读取；策略只能使用可访问快照</x:v>
      </x:c>
    </x:row>
    <x:row r="3386" ht="32" customHeight="1">
      <x:c r="A3386" s="30" t="str">
        <x:v>A040</x:v>
      </x:c>
      <x:c r="B3386" s="30" t="str">
        <x:v>F183</x:v>
      </x:c>
      <x:c r="C3386" s="30" t="str">
        <x:v>belief.estimated_damage</x:v>
      </x:c>
      <x:c r="D3386" s="30" t="str">
        <x:v>候选输入schema</x:v>
      </x:c>
      <x:c r="E3386" s="30" t="str">
        <x:v>按执行角色权限读取；策略只能使用可访问快照</x:v>
      </x:c>
    </x:row>
    <x:row r="3387" ht="32" customHeight="1">
      <x:c r="A3387" s="30" t="str">
        <x:v>A040</x:v>
      </x:c>
      <x:c r="B3387" s="30" t="str">
        <x:v>F184</x:v>
      </x:c>
      <x:c r="C3387" s="30" t="str">
        <x:v>belief.human_presence</x:v>
      </x:c>
      <x:c r="D3387" s="30" t="str">
        <x:v>候选输入schema</x:v>
      </x:c>
      <x:c r="E3387" s="30" t="str">
        <x:v>按执行角色权限读取；策略只能使用可访问快照</x:v>
      </x:c>
    </x:row>
    <x:row r="3388" ht="32" customHeight="1">
      <x:c r="A3388" s="30" t="str">
        <x:v>A040</x:v>
      </x:c>
      <x:c r="B3388" s="30" t="str">
        <x:v>F185</x:v>
      </x:c>
      <x:c r="C3388" s="30" t="str">
        <x:v>belief.estimated_pose</x:v>
      </x:c>
      <x:c r="D3388" s="30" t="str">
        <x:v>候选输入schema</x:v>
      </x:c>
      <x:c r="E3388" s="30" t="str">
        <x:v>按执行角色权限读取；策略只能使用可访问快照</x:v>
      </x:c>
    </x:row>
    <x:row r="3389" ht="32" customHeight="1">
      <x:c r="A3389" s="30" t="str">
        <x:v>A040</x:v>
      </x:c>
      <x:c r="B3389" s="30" t="str">
        <x:v>F186</x:v>
      </x:c>
      <x:c r="C3389" s="30" t="str">
        <x:v>belief.estimated_access</x:v>
      </x:c>
      <x:c r="D3389" s="30" t="str">
        <x:v>候选输入schema</x:v>
      </x:c>
      <x:c r="E3389" s="30" t="str">
        <x:v>按执行角色权限读取；策略只能使用可访问快照</x:v>
      </x:c>
    </x:row>
    <x:row r="3390" ht="32" customHeight="1">
      <x:c r="A3390" s="30" t="str">
        <x:v>A040</x:v>
      </x:c>
      <x:c r="B3390" s="30" t="str">
        <x:v>F187</x:v>
      </x:c>
      <x:c r="C3390" s="30" t="str">
        <x:v>belief.estimated_needs</x:v>
      </x:c>
      <x:c r="D3390" s="30" t="str">
        <x:v>候选输入schema</x:v>
      </x:c>
      <x:c r="E3390" s="30" t="str">
        <x:v>按执行角色权限读取；策略只能使用可访问快照</x:v>
      </x:c>
    </x:row>
    <x:row r="3391" ht="32" customHeight="1">
      <x:c r="A3391" s="30" t="str">
        <x:v>A040</x:v>
      </x:c>
      <x:c r="B3391" s="30" t="str">
        <x:v>F188</x:v>
      </x:c>
      <x:c r="C3391" s="30" t="str">
        <x:v>belief.evidence_ids</x:v>
      </x:c>
      <x:c r="D3391" s="30" t="str">
        <x:v>候选输入schema</x:v>
      </x:c>
      <x:c r="E3391" s="30" t="str">
        <x:v>按执行角色权限读取；策略只能使用可访问快照</x:v>
      </x:c>
    </x:row>
    <x:row r="3392" ht="32" customHeight="1">
      <x:c r="A3392" s="30" t="str">
        <x:v>A040</x:v>
      </x:c>
      <x:c r="B3392" s="30" t="str">
        <x:v>F189</x:v>
      </x:c>
      <x:c r="C3392" s="30" t="str">
        <x:v>belief.source_agent_ids</x:v>
      </x:c>
      <x:c r="D3392" s="30" t="str">
        <x:v>候选输入schema</x:v>
      </x:c>
      <x:c r="E3392" s="30" t="str">
        <x:v>按执行角色权限读取；策略只能使用可访问快照</x:v>
      </x:c>
    </x:row>
    <x:row r="3393" ht="32" customHeight="1">
      <x:c r="A3393" s="30" t="str">
        <x:v>A040</x:v>
      </x:c>
      <x:c r="B3393" s="30" t="str">
        <x:v>F190</x:v>
      </x:c>
      <x:c r="C3393" s="30" t="str">
        <x:v>belief.updated_at_s</x:v>
      </x:c>
      <x:c r="D3393" s="30" t="str">
        <x:v>候选输入schema</x:v>
      </x:c>
      <x:c r="E3393" s="30" t="str">
        <x:v>按执行角色权限读取；策略只能使用可访问快照</x:v>
      </x:c>
    </x:row>
    <x:row r="3394" ht="32" customHeight="1">
      <x:c r="A3394" s="30" t="str">
        <x:v>A040</x:v>
      </x:c>
      <x:c r="B3394" s="30" t="str">
        <x:v>F191</x:v>
      </x:c>
      <x:c r="C3394" s="30" t="str">
        <x:v>belief.staleness_s</x:v>
      </x:c>
      <x:c r="D3394" s="30" t="str">
        <x:v>候选输入schema</x:v>
      </x:c>
      <x:c r="E3394" s="30" t="str">
        <x:v>按执行角色权限读取；策略只能使用可访问快照</x:v>
      </x:c>
    </x:row>
    <x:row r="3395" ht="32" customHeight="1">
      <x:c r="A3395" s="30" t="str">
        <x:v>A040</x:v>
      </x:c>
      <x:c r="B3395" s="30" t="str">
        <x:v>F192</x:v>
      </x:c>
      <x:c r="C3395" s="30" t="str">
        <x:v>belief.conflict_state</x:v>
      </x:c>
      <x:c r="D3395" s="30" t="str">
        <x:v>候选输入schema</x:v>
      </x:c>
      <x:c r="E3395" s="30" t="str">
        <x:v>按执行角色权限读取；策略只能使用可访问快照</x:v>
      </x:c>
    </x:row>
    <x:row r="3396" ht="32" customHeight="1">
      <x:c r="A3396" s="30" t="str">
        <x:v>A040</x:v>
      </x:c>
      <x:c r="B3396" s="30" t="str">
        <x:v>F193</x:v>
      </x:c>
      <x:c r="C3396" s="30" t="str">
        <x:v>belief.team_estimates</x:v>
      </x:c>
      <x:c r="D3396" s="30" t="str">
        <x:v>候选输入schema</x:v>
      </x:c>
      <x:c r="E3396" s="30" t="str">
        <x:v>按执行角色权限读取；策略只能使用可访问快照</x:v>
      </x:c>
    </x:row>
    <x:row r="3397" ht="32" customHeight="1">
      <x:c r="A3397" s="30" t="str">
        <x:v>A040</x:v>
      </x:c>
      <x:c r="B3397" s="30" t="str">
        <x:v>F194</x:v>
      </x:c>
      <x:c r="C3397" s="30" t="str">
        <x:v>belief.search_status</x:v>
      </x:c>
      <x:c r="D3397" s="30" t="str">
        <x:v>候选输入schema</x:v>
      </x:c>
      <x:c r="E3397" s="30" t="str">
        <x:v>按执行角色权限读取；策略只能使用可访问快照</x:v>
      </x:c>
    </x:row>
    <x:row r="3398" ht="32" customHeight="1">
      <x:c r="A3398" s="30" t="str">
        <x:v>A040</x:v>
      </x:c>
      <x:c r="B3398" s="30" t="str">
        <x:v>F195</x:v>
      </x:c>
      <x:c r="C3398" s="30" t="str">
        <x:v>belief.current_goal_context</x:v>
      </x:c>
      <x:c r="D3398" s="30" t="str">
        <x:v>候选输入schema</x:v>
      </x:c>
      <x:c r="E3398" s="30" t="str">
        <x:v>按执行角色权限读取；策略只能使用可访问快照</x:v>
      </x:c>
    </x:row>
    <x:row r="3399" ht="32" customHeight="1">
      <x:c r="A3399" s="30" t="str">
        <x:v>A040</x:v>
      </x:c>
      <x:c r="B3399" s="30" t="str">
        <x:v>F293</x:v>
      </x:c>
      <x:c r="C3399" s="30" t="str">
        <x:v>compute.node_id</x:v>
      </x:c>
      <x:c r="D3399" s="30" t="str">
        <x:v>候选输入schema</x:v>
      </x:c>
      <x:c r="E3399" s="30" t="str">
        <x:v>按执行角色权限读取；策略只能使用可访问快照</x:v>
      </x:c>
    </x:row>
    <x:row r="3400" ht="32" customHeight="1">
      <x:c r="A3400" s="30" t="str">
        <x:v>A040</x:v>
      </x:c>
      <x:c r="B3400" s="30" t="str">
        <x:v>F294</x:v>
      </x:c>
      <x:c r="C3400" s="30" t="str">
        <x:v>compute.device_kind</x:v>
      </x:c>
      <x:c r="D3400" s="30" t="str">
        <x:v>候选输入schema</x:v>
      </x:c>
      <x:c r="E3400" s="30" t="str">
        <x:v>按执行角色权限读取；策略只能使用可访问快照</x:v>
      </x:c>
    </x:row>
    <x:row r="3401" ht="32" customHeight="1">
      <x:c r="A3401" s="30" t="str">
        <x:v>A040</x:v>
      </x:c>
      <x:c r="B3401" s="30" t="str">
        <x:v>F295</x:v>
      </x:c>
      <x:c r="C3401" s="30" t="str">
        <x:v>compute.cpu_capacity</x:v>
      </x:c>
      <x:c r="D3401" s="30" t="str">
        <x:v>候选输入schema</x:v>
      </x:c>
      <x:c r="E3401" s="30" t="str">
        <x:v>按执行角色权限读取；策略只能使用可访问快照</x:v>
      </x:c>
    </x:row>
    <x:row r="3402" ht="32" customHeight="1">
      <x:c r="A3402" s="30" t="str">
        <x:v>A040</x:v>
      </x:c>
      <x:c r="B3402" s="30" t="str">
        <x:v>F296</x:v>
      </x:c>
      <x:c r="C3402" s="30" t="str">
        <x:v>compute.accelerator_capacity</x:v>
      </x:c>
      <x:c r="D3402" s="30" t="str">
        <x:v>候选输入schema</x:v>
      </x:c>
      <x:c r="E3402" s="30" t="str">
        <x:v>按执行角色权限读取；策略只能使用可访问快照</x:v>
      </x:c>
    </x:row>
    <x:row r="3403" ht="32" customHeight="1">
      <x:c r="A3403" s="30" t="str">
        <x:v>A040</x:v>
      </x:c>
      <x:c r="B3403" s="30" t="str">
        <x:v>F297</x:v>
      </x:c>
      <x:c r="C3403" s="30" t="str">
        <x:v>compute.memory_capacity_bytes</x:v>
      </x:c>
      <x:c r="D3403" s="30" t="str">
        <x:v>候选输入schema</x:v>
      </x:c>
      <x:c r="E3403" s="30" t="str">
        <x:v>按执行角色权限读取；策略只能使用可访问快照</x:v>
      </x:c>
    </x:row>
    <x:row r="3404" ht="32" customHeight="1">
      <x:c r="A3404" s="30" t="str">
        <x:v>A040</x:v>
      </x:c>
      <x:c r="B3404" s="30" t="str">
        <x:v>F298</x:v>
      </x:c>
      <x:c r="C3404" s="30" t="str">
        <x:v>compute.memory_used_bytes</x:v>
      </x:c>
      <x:c r="D3404" s="30" t="str">
        <x:v>候选输入schema</x:v>
      </x:c>
      <x:c r="E3404" s="30" t="str">
        <x:v>按执行角色权限读取；策略只能使用可访问快照</x:v>
      </x:c>
    </x:row>
    <x:row r="3405" ht="32" customHeight="1">
      <x:c r="A3405" s="30" t="str">
        <x:v>A040</x:v>
      </x:c>
      <x:c r="B3405" s="30" t="str">
        <x:v>F299</x:v>
      </x:c>
      <x:c r="C3405" s="30" t="str">
        <x:v>compute.cpu_allocated</x:v>
      </x:c>
      <x:c r="D3405" s="30" t="str">
        <x:v>候选输入schema</x:v>
      </x:c>
      <x:c r="E3405" s="30" t="str">
        <x:v>按执行角色权限读取；策略只能使用可访问快照</x:v>
      </x:c>
    </x:row>
    <x:row r="3406" ht="32" customHeight="1">
      <x:c r="A3406" s="30" t="str">
        <x:v>A040</x:v>
      </x:c>
      <x:c r="B3406" s="30" t="str">
        <x:v>F300</x:v>
      </x:c>
      <x:c r="C3406" s="30" t="str">
        <x:v>compute.accelerator_allocated</x:v>
      </x:c>
      <x:c r="D3406" s="30" t="str">
        <x:v>候选输入schema</x:v>
      </x:c>
      <x:c r="E3406" s="30" t="str">
        <x:v>按执行角色权限读取；策略只能使用可访问快照</x:v>
      </x:c>
    </x:row>
    <x:row r="3407" ht="32" customHeight="1">
      <x:c r="A3407" s="30" t="str">
        <x:v>A040</x:v>
      </x:c>
      <x:c r="B3407" s="30" t="str">
        <x:v>F301</x:v>
      </x:c>
      <x:c r="C3407" s="30" t="str">
        <x:v>compute.max_concurrency</x:v>
      </x:c>
      <x:c r="D3407" s="30" t="str">
        <x:v>候选输入schema</x:v>
      </x:c>
      <x:c r="E3407" s="30" t="str">
        <x:v>按执行角色权限读取；策略只能使用可访问快照</x:v>
      </x:c>
    </x:row>
    <x:row r="3408" ht="32" customHeight="1">
      <x:c r="A3408" s="30" t="str">
        <x:v>A040</x:v>
      </x:c>
      <x:c r="B3408" s="30" t="str">
        <x:v>F302</x:v>
      </x:c>
      <x:c r="C3408" s="30" t="str">
        <x:v>compute.queue_ids</x:v>
      </x:c>
      <x:c r="D3408" s="30" t="str">
        <x:v>候选输入schema</x:v>
      </x:c>
      <x:c r="E3408" s="30" t="str">
        <x:v>按执行角色权限读取；策略只能使用可访问快照</x:v>
      </x:c>
    </x:row>
    <x:row r="3409" ht="32" customHeight="1">
      <x:c r="A3409" s="30" t="str">
        <x:v>A040</x:v>
      </x:c>
      <x:c r="B3409" s="30" t="str">
        <x:v>F303</x:v>
      </x:c>
      <x:c r="C3409" s="30" t="str">
        <x:v>compute.running_job_ids</x:v>
      </x:c>
      <x:c r="D3409" s="30" t="str">
        <x:v>候选输入schema</x:v>
      </x:c>
      <x:c r="E3409" s="30" t="str">
        <x:v>按执行角色权限读取；策略只能使用可访问快照</x:v>
      </x:c>
    </x:row>
    <x:row r="3410" ht="32" customHeight="1">
      <x:c r="A3410" s="30" t="str">
        <x:v>A040</x:v>
      </x:c>
      <x:c r="B3410" s="30" t="str">
        <x:v>F304</x:v>
      </x:c>
      <x:c r="C3410" s="30" t="str">
        <x:v>compute.availability</x:v>
      </x:c>
      <x:c r="D3410" s="30" t="str">
        <x:v>候选输入schema</x:v>
      </x:c>
      <x:c r="E3410" s="30" t="str">
        <x:v>按执行角色权限读取；策略只能使用可访问快照</x:v>
      </x:c>
    </x:row>
    <x:row r="3411" ht="32" customHeight="1">
      <x:c r="A3411" s="30" t="str">
        <x:v>A040</x:v>
      </x:c>
      <x:c r="B3411" s="30" t="str">
        <x:v>F305</x:v>
      </x:c>
      <x:c r="C3411" s="30" t="str">
        <x:v>compute.power_model</x:v>
      </x:c>
      <x:c r="D3411" s="30" t="str">
        <x:v>候选输入schema</x:v>
      </x:c>
      <x:c r="E3411" s="30" t="str">
        <x:v>按执行角色权限读取；策略只能使用可访问快照</x:v>
      </x:c>
    </x:row>
    <x:row r="3412" ht="32" customHeight="1">
      <x:c r="A3412" s="30" t="str">
        <x:v>A040</x:v>
      </x:c>
      <x:c r="B3412" s="30" t="str">
        <x:v>F306</x:v>
      </x:c>
      <x:c r="C3412" s="30" t="str">
        <x:v>compute.energy_Wh</x:v>
      </x:c>
      <x:c r="D3412" s="30" t="str">
        <x:v>候选输入schema</x:v>
      </x:c>
      <x:c r="E3412" s="30" t="str">
        <x:v>按执行角色权限读取；策略只能使用可访问快照</x:v>
      </x:c>
    </x:row>
    <x:row r="3413" ht="32" customHeight="1">
      <x:c r="A3413" s="30" t="str">
        <x:v>A040</x:v>
      </x:c>
      <x:c r="B3413" s="30" t="str">
        <x:v>F307</x:v>
      </x:c>
      <x:c r="C3413" s="30" t="str">
        <x:v>compute.service_ids</x:v>
      </x:c>
      <x:c r="D3413" s="30" t="str">
        <x:v>候选输入schema</x:v>
      </x:c>
      <x:c r="E3413" s="30" t="str">
        <x:v>按执行角色权限读取；策略只能使用可访问快照</x:v>
      </x:c>
    </x:row>
    <x:row r="3414" ht="32" customHeight="1">
      <x:c r="A3414" s="30" t="str">
        <x:v>A040</x:v>
      </x:c>
      <x:c r="B3414" s="30" t="str">
        <x:v>F308</x:v>
      </x:c>
      <x:c r="C3414" s="30" t="str">
        <x:v>compute.storage_free_bytes</x:v>
      </x:c>
      <x:c r="D3414" s="30" t="str">
        <x:v>候选输入schema</x:v>
      </x:c>
      <x:c r="E3414" s="30" t="str">
        <x:v>按执行角色权限读取；策略只能使用可访问快照</x:v>
      </x:c>
    </x:row>
    <x:row r="3415" ht="32" customHeight="1">
      <x:c r="A3415" s="30" t="str">
        <x:v>A040</x:v>
      </x:c>
      <x:c r="B3415" s="30" t="str">
        <x:v>F309</x:v>
      </x:c>
      <x:c r="C3415" s="30" t="str">
        <x:v>compute.clock_policy</x:v>
      </x:c>
      <x:c r="D3415" s="30" t="str">
        <x:v>候选输入schema</x:v>
      </x:c>
      <x:c r="E3415" s="30" t="str">
        <x:v>按执行角色权限读取；策略只能使用可访问快照</x:v>
      </x:c>
    </x:row>
    <x:row r="3416" ht="32" customHeight="1">
      <x:c r="A3416" s="30" t="str">
        <x:v>A040</x:v>
      </x:c>
      <x:c r="B3416" s="30" t="str">
        <x:v>F310</x:v>
      </x:c>
      <x:c r="C3416" s="30" t="str">
        <x:v>compute.timing_profile_id</x:v>
      </x:c>
      <x:c r="D3416" s="30" t="str">
        <x:v>候选输入schema</x:v>
      </x:c>
      <x:c r="E3416" s="30" t="str">
        <x:v>按执行角色权限读取；策略只能使用可访问快照</x:v>
      </x:c>
    </x:row>
    <x:row r="3417" ht="32" customHeight="1">
      <x:c r="A3417" s="30" t="str">
        <x:v>A040</x:v>
      </x:c>
      <x:c r="B3417" s="30" t="str">
        <x:v>F311</x:v>
      </x:c>
      <x:c r="C3417" s="30" t="str">
        <x:v>compute.temperature_state</x:v>
      </x:c>
      <x:c r="D3417" s="30" t="str">
        <x:v>候选输入schema</x:v>
      </x:c>
      <x:c r="E3417" s="30" t="str">
        <x:v>按执行角色权限读取；策略只能使用可访问快照</x:v>
      </x:c>
    </x:row>
    <x:row r="3418" ht="32" customHeight="1">
      <x:c r="A3418" s="30" t="str">
        <x:v>A040</x:v>
      </x:c>
      <x:c r="B3418" s="30" t="str">
        <x:v>F312</x:v>
      </x:c>
      <x:c r="C3418" s="30" t="str">
        <x:v>compute.network_endpoint</x:v>
      </x:c>
      <x:c r="D3418" s="30" t="str">
        <x:v>候选输入schema</x:v>
      </x:c>
      <x:c r="E3418" s="30" t="str">
        <x:v>按执行角色权限读取；策略只能使用可访问快照</x:v>
      </x:c>
    </x:row>
    <x:row r="3419" ht="32" customHeight="1">
      <x:c r="A3419" s="30" t="str">
        <x:v>A040</x:v>
      </x:c>
      <x:c r="B3419" s="30" t="str">
        <x:v>F329</x:v>
      </x:c>
      <x:c r="C3419" s="30" t="str">
        <x:v>job.requester_id</x:v>
      </x:c>
      <x:c r="D3419" s="30" t="str">
        <x:v>候选输入schema</x:v>
      </x:c>
      <x:c r="E3419" s="30" t="str">
        <x:v>按执行角色权限读取；策略只能使用可访问快照</x:v>
      </x:c>
    </x:row>
    <x:row r="3420" ht="32" customHeight="1">
      <x:c r="A3420" s="30" t="str">
        <x:v>A040</x:v>
      </x:c>
      <x:c r="B3420" s="30" t="str">
        <x:v>F330</x:v>
      </x:c>
      <x:c r="C3420" s="30" t="str">
        <x:v>job.task_ref</x:v>
      </x:c>
      <x:c r="D3420" s="30" t="str">
        <x:v>候选输入schema</x:v>
      </x:c>
      <x:c r="E3420" s="30" t="str">
        <x:v>按执行角色权限读取；策略只能使用可访问快照</x:v>
      </x:c>
    </x:row>
    <x:row r="3421" ht="32" customHeight="1">
      <x:c r="A3421" s="30" t="str">
        <x:v>A040</x:v>
      </x:c>
      <x:c r="B3421" s="30" t="str">
        <x:v>F331</x:v>
      </x:c>
      <x:c r="C3421" s="30" t="str">
        <x:v>job.service_id</x:v>
      </x:c>
      <x:c r="D3421" s="30" t="str">
        <x:v>候选输入schema</x:v>
      </x:c>
      <x:c r="E3421" s="30" t="str">
        <x:v>按执行角色权限读取；策略只能使用可访问快照</x:v>
      </x:c>
    </x:row>
    <x:row r="3422" ht="32" customHeight="1">
      <x:c r="A3422" s="30" t="str">
        <x:v>A040</x:v>
      </x:c>
      <x:c r="B3422" s="30" t="str">
        <x:v>F332</x:v>
      </x:c>
      <x:c r="C3422" s="30" t="str">
        <x:v>job.input_evidence_ids</x:v>
      </x:c>
      <x:c r="D3422" s="30" t="str">
        <x:v>候选输入schema</x:v>
      </x:c>
      <x:c r="E3422" s="30" t="str">
        <x:v>按执行角色权限读取；策略只能使用可访问快照</x:v>
      </x:c>
    </x:row>
    <x:row r="3423" ht="32" customHeight="1">
      <x:c r="A3423" s="30" t="str">
        <x:v>A040</x:v>
      </x:c>
      <x:c r="B3423" s="30" t="str">
        <x:v>F333</x:v>
      </x:c>
      <x:c r="C3423" s="30" t="str">
        <x:v>job.input_bytes</x:v>
      </x:c>
      <x:c r="D3423" s="30" t="str">
        <x:v>候选输入schema</x:v>
      </x:c>
      <x:c r="E3423" s="30" t="str">
        <x:v>按执行角色权限读取；策略只能使用可访问快照</x:v>
      </x:c>
    </x:row>
    <x:row r="3424" ht="32" customHeight="1">
      <x:c r="A3424" s="30" t="str">
        <x:v>A040</x:v>
      </x:c>
      <x:c r="B3424" s="30" t="str">
        <x:v>F334</x:v>
      </x:c>
      <x:c r="C3424" s="30" t="str">
        <x:v>job.input_tokens</x:v>
      </x:c>
      <x:c r="D3424" s="30" t="str">
        <x:v>候选输入schema</x:v>
      </x:c>
      <x:c r="E3424" s="30" t="str">
        <x:v>按执行角色权限读取；策略只能使用可访问快照</x:v>
      </x:c>
    </x:row>
    <x:row r="3425" ht="32" customHeight="1">
      <x:c r="A3425" s="30" t="str">
        <x:v>A040</x:v>
      </x:c>
      <x:c r="B3425" s="30" t="str">
        <x:v>F335</x:v>
      </x:c>
      <x:c r="C3425" s="30" t="str">
        <x:v>job.output_tokens</x:v>
      </x:c>
      <x:c r="D3425" s="30" t="str">
        <x:v>候选输入schema</x:v>
      </x:c>
      <x:c r="E3425" s="30" t="str">
        <x:v>按执行角色权限读取；策略只能使用可访问快照</x:v>
      </x:c>
    </x:row>
    <x:row r="3426" ht="32" customHeight="1">
      <x:c r="A3426" s="30" t="str">
        <x:v>A040</x:v>
      </x:c>
      <x:c r="B3426" s="30" t="str">
        <x:v>F336</x:v>
      </x:c>
      <x:c r="C3426" s="30" t="str">
        <x:v>job.status</x:v>
      </x:c>
      <x:c r="D3426" s="30" t="str">
        <x:v>候选输入schema</x:v>
      </x:c>
      <x:c r="E3426" s="30" t="str">
        <x:v>按执行角色权限读取；策略只能使用可访问快照</x:v>
      </x:c>
    </x:row>
    <x:row r="3427" ht="32" customHeight="1">
      <x:c r="A3427" s="30" t="str">
        <x:v>A040</x:v>
      </x:c>
      <x:c r="B3427" s="30" t="str">
        <x:v>F337</x:v>
      </x:c>
      <x:c r="C3427" s="30" t="str">
        <x:v>job.queue_enter_s</x:v>
      </x:c>
      <x:c r="D3427" s="30" t="str">
        <x:v>候选输入schema</x:v>
      </x:c>
      <x:c r="E3427" s="30" t="str">
        <x:v>按执行角色权限读取；策略只能使用可访问快照</x:v>
      </x:c>
    </x:row>
    <x:row r="3428" ht="32" customHeight="1">
      <x:c r="A3428" s="30" t="str">
        <x:v>A040</x:v>
      </x:c>
      <x:c r="B3428" s="30" t="str">
        <x:v>F338</x:v>
      </x:c>
      <x:c r="C3428" s="30" t="str">
        <x:v>job.start_s</x:v>
      </x:c>
      <x:c r="D3428" s="30" t="str">
        <x:v>候选输入schema</x:v>
      </x:c>
      <x:c r="E3428" s="30" t="str">
        <x:v>按执行角色权限读取；策略只能使用可访问快照</x:v>
      </x:c>
    </x:row>
    <x:row r="3429" ht="32" customHeight="1">
      <x:c r="A3429" s="30" t="str">
        <x:v>A040</x:v>
      </x:c>
      <x:c r="B3429" s="30" t="str">
        <x:v>F339</x:v>
      </x:c>
      <x:c r="C3429" s="30" t="str">
        <x:v>job.finish_s</x:v>
      </x:c>
      <x:c r="D3429" s="30" t="str">
        <x:v>候选输入schema</x:v>
      </x:c>
      <x:c r="E3429" s="30" t="str">
        <x:v>按执行角色权限读取；策略只能使用可访问快照</x:v>
      </x:c>
    </x:row>
    <x:row r="3430" ht="32" customHeight="1">
      <x:c r="A3430" s="30" t="str">
        <x:v>A040</x:v>
      </x:c>
      <x:c r="B3430" s="30" t="str">
        <x:v>F340</x:v>
      </x:c>
      <x:c r="C3430" s="30" t="str">
        <x:v>job.deadline_s</x:v>
      </x:c>
      <x:c r="D3430" s="30" t="str">
        <x:v>候选输入schema</x:v>
      </x:c>
      <x:c r="E3430" s="30" t="str">
        <x:v>按执行角色权限读取；策略只能使用可访问快照</x:v>
      </x:c>
    </x:row>
    <x:row r="3431" ht="32" customHeight="1">
      <x:c r="A3431" s="30" t="str">
        <x:v>A040</x:v>
      </x:c>
      <x:c r="B3431" s="30" t="str">
        <x:v>F341</x:v>
      </x:c>
      <x:c r="C3431" s="30" t="str">
        <x:v>job.cpu_request</x:v>
      </x:c>
      <x:c r="D3431" s="30" t="str">
        <x:v>候选输入schema</x:v>
      </x:c>
      <x:c r="E3431" s="30" t="str">
        <x:v>按执行角色权限读取；策略只能使用可访问快照</x:v>
      </x:c>
    </x:row>
    <x:row r="3432" ht="32" customHeight="1">
      <x:c r="A3432" s="30" t="str">
        <x:v>A040</x:v>
      </x:c>
      <x:c r="B3432" s="30" t="str">
        <x:v>F342</x:v>
      </x:c>
      <x:c r="C3432" s="30" t="str">
        <x:v>job.memory_request_bytes</x:v>
      </x:c>
      <x:c r="D3432" s="30" t="str">
        <x:v>候选输入schema</x:v>
      </x:c>
      <x:c r="E3432" s="30" t="str">
        <x:v>按执行角色权限读取；策略只能使用可访问快照</x:v>
      </x:c>
    </x:row>
    <x:row r="3433" ht="32" customHeight="1">
      <x:c r="A3433" s="30" t="str">
        <x:v>A040</x:v>
      </x:c>
      <x:c r="B3433" s="30" t="str">
        <x:v>F343</x:v>
      </x:c>
      <x:c r="C3433" s="30" t="str">
        <x:v>job.prefill_s</x:v>
      </x:c>
      <x:c r="D3433" s="30" t="str">
        <x:v>候选输入schema</x:v>
      </x:c>
      <x:c r="E3433" s="30" t="str">
        <x:v>按执行角色权限读取；策略只能使用可访问快照</x:v>
      </x:c>
    </x:row>
    <x:row r="3434" ht="32" customHeight="1">
      <x:c r="A3434" s="30" t="str">
        <x:v>A040</x:v>
      </x:c>
      <x:c r="B3434" s="30" t="str">
        <x:v>F344</x:v>
      </x:c>
      <x:c r="C3434" s="30" t="str">
        <x:v>job.decode_s</x:v>
      </x:c>
      <x:c r="D3434" s="30" t="str">
        <x:v>候选输入schema</x:v>
      </x:c>
      <x:c r="E3434" s="30" t="str">
        <x:v>按执行角色权限读取；策略只能使用可访问快照</x:v>
      </x:c>
    </x:row>
    <x:row r="3435" ht="32" customHeight="1">
      <x:c r="A3435" s="30" t="str">
        <x:v>A040</x:v>
      </x:c>
      <x:c r="B3435" s="30" t="str">
        <x:v>F345</x:v>
      </x:c>
      <x:c r="C3435" s="30" t="str">
        <x:v>job.wall_time_s</x:v>
      </x:c>
      <x:c r="D3435" s="30" t="str">
        <x:v>候选输入schema</x:v>
      </x:c>
      <x:c r="E3435" s="30" t="str">
        <x:v>按执行角色权限读取；策略只能使用可访问快照</x:v>
      </x:c>
    </x:row>
    <x:row r="3436" ht="32" customHeight="1">
      <x:c r="A3436" s="30" t="str">
        <x:v>A040</x:v>
      </x:c>
      <x:c r="B3436" s="30" t="str">
        <x:v>F346</x:v>
      </x:c>
      <x:c r="C3436" s="30" t="str">
        <x:v>job.result_ref</x:v>
      </x:c>
      <x:c r="D3436" s="30" t="str">
        <x:v>候选输入schema</x:v>
      </x:c>
      <x:c r="E3436" s="30" t="str">
        <x:v>按执行角色权限读取；策略只能使用可访问快照</x:v>
      </x:c>
    </x:row>
    <x:row r="3437" ht="32" customHeight="1">
      <x:c r="A3437" s="30" t="str">
        <x:v>A040</x:v>
      </x:c>
      <x:c r="B3437" s="30" t="str">
        <x:v>F347</x:v>
      </x:c>
      <x:c r="C3437" s="30" t="str">
        <x:v>job.checkpoint_ref</x:v>
      </x:c>
      <x:c r="D3437" s="30" t="str">
        <x:v>候选输入schema</x:v>
      </x:c>
      <x:c r="E3437" s="30" t="str">
        <x:v>按执行角色权限读取；策略只能使用可访问快照</x:v>
      </x:c>
    </x:row>
    <x:row r="3438" ht="32" customHeight="1">
      <x:c r="A3438" s="30" t="str">
        <x:v>A040</x:v>
      </x:c>
      <x:c r="B3438" s="30" t="str">
        <x:v>F348</x:v>
      </x:c>
      <x:c r="C3438" s="30" t="str">
        <x:v>job.failure_reason</x:v>
      </x:c>
      <x:c r="D3438" s="30" t="str">
        <x:v>候选输入schema</x:v>
      </x:c>
      <x:c r="E3438" s="30" t="str">
        <x:v>按执行角色权限读取；策略只能使用可访问快照</x:v>
      </x:c>
    </x:row>
    <x:row r="3439" ht="32" customHeight="1">
      <x:c r="A3439" s="30" t="str">
        <x:v>A040</x:v>
      </x:c>
      <x:c r="B3439" s="30" t="str">
        <x:v>F349</x:v>
      </x:c>
      <x:c r="C3439" s="30" t="str">
        <x:v>cache.owner_id</x:v>
      </x:c>
      <x:c r="D3439" s="30" t="str">
        <x:v>候选输入schema</x:v>
      </x:c>
      <x:c r="E3439" s="30" t="str">
        <x:v>按执行角色权限读取；策略只能使用可访问快照</x:v>
      </x:c>
    </x:row>
    <x:row r="3440" ht="32" customHeight="1">
      <x:c r="A3440" s="30" t="str">
        <x:v>A040</x:v>
      </x:c>
      <x:c r="B3440" s="30" t="str">
        <x:v>F350</x:v>
      </x:c>
      <x:c r="C3440" s="30" t="str">
        <x:v>cache.kind</x:v>
      </x:c>
      <x:c r="D3440" s="30" t="str">
        <x:v>候选输入schema</x:v>
      </x:c>
      <x:c r="E3440" s="30" t="str">
        <x:v>按执行角色权限读取；策略只能使用可访问快照</x:v>
      </x:c>
    </x:row>
    <x:row r="3441" ht="32" customHeight="1">
      <x:c r="A3441" s="30" t="str">
        <x:v>A040</x:v>
      </x:c>
      <x:c r="B3441" s="30" t="str">
        <x:v>F351</x:v>
      </x:c>
      <x:c r="C3441" s="30" t="str">
        <x:v>cache.model_version</x:v>
      </x:c>
      <x:c r="D3441" s="30" t="str">
        <x:v>候选输入schema</x:v>
      </x:c>
      <x:c r="E3441" s="30" t="str">
        <x:v>按执行角色权限读取；策略只能使用可访问快照</x:v>
      </x:c>
    </x:row>
    <x:row r="3442" ht="32" customHeight="1">
      <x:c r="A3442" s="30" t="str">
        <x:v>A040</x:v>
      </x:c>
      <x:c r="B3442" s="30" t="str">
        <x:v>F352</x:v>
      </x:c>
      <x:c r="C3442" s="30" t="str">
        <x:v>cache.content_ids</x:v>
      </x:c>
      <x:c r="D3442" s="30" t="str">
        <x:v>候选输入schema</x:v>
      </x:c>
      <x:c r="E3442" s="30" t="str">
        <x:v>按执行角色权限读取；策略只能使用可访问快照</x:v>
      </x:c>
    </x:row>
    <x:row r="3443" ht="32" customHeight="1">
      <x:c r="A3443" s="30" t="str">
        <x:v>A040</x:v>
      </x:c>
      <x:c r="B3443" s="30" t="str">
        <x:v>F353</x:v>
      </x:c>
      <x:c r="C3443" s="30" t="str">
        <x:v>cache.size_bytes</x:v>
      </x:c>
      <x:c r="D3443" s="30" t="str">
        <x:v>候选输入schema</x:v>
      </x:c>
      <x:c r="E3443" s="30" t="str">
        <x:v>按执行角色权限读取；策略只能使用可访问快照</x:v>
      </x:c>
    </x:row>
    <x:row r="3444" ht="32" customHeight="1">
      <x:c r="A3444" s="30" t="str">
        <x:v>A040</x:v>
      </x:c>
      <x:c r="B3444" s="30" t="str">
        <x:v>F354</x:v>
      </x:c>
      <x:c r="C3444" s="30" t="str">
        <x:v>cache.location</x:v>
      </x:c>
      <x:c r="D3444" s="30" t="str">
        <x:v>候选输入schema</x:v>
      </x:c>
      <x:c r="E3444" s="30" t="str">
        <x:v>按执行角色权限读取；策略只能使用可访问快照</x:v>
      </x:c>
    </x:row>
    <x:row r="3445" ht="32" customHeight="1">
      <x:c r="A3445" s="30" t="str">
        <x:v>A040</x:v>
      </x:c>
      <x:c r="B3445" s="30" t="str">
        <x:v>F355</x:v>
      </x:c>
      <x:c r="C3445" s="30" t="str">
        <x:v>cache.valid_until_s</x:v>
      </x:c>
      <x:c r="D3445" s="30" t="str">
        <x:v>候选输入schema</x:v>
      </x:c>
      <x:c r="E3445" s="30" t="str">
        <x:v>按执行角色权限读取；策略只能使用可访问快照</x:v>
      </x:c>
    </x:row>
    <x:row r="3446" ht="32" customHeight="1">
      <x:c r="A3446" s="30" t="str">
        <x:v>A040</x:v>
      </x:c>
      <x:c r="B3446" s="30" t="str">
        <x:v>F356</x:v>
      </x:c>
      <x:c r="C3446" s="30" t="str">
        <x:v>cache.reuse_compatible</x:v>
      </x:c>
      <x:c r="D3446" s="30" t="str">
        <x:v>候选输入schema</x:v>
      </x:c>
      <x:c r="E3446" s="30" t="str">
        <x:v>按执行角色权限读取；策略只能使用可访问快照</x:v>
      </x:c>
    </x:row>
    <x:row r="3447" ht="32" customHeight="1">
      <x:c r="A3447" s="30" t="str">
        <x:v>A040</x:v>
      </x:c>
      <x:c r="B3447" s="30" t="str">
        <x:v>F357</x:v>
      </x:c>
      <x:c r="C3447" s="30" t="str">
        <x:v>cache.hit_count</x:v>
      </x:c>
      <x:c r="D3447" s="30" t="str">
        <x:v>候选输入schema</x:v>
      </x:c>
      <x:c r="E3447" s="30" t="str">
        <x:v>按执行角色权限读取；策略只能使用可访问快照</x:v>
      </x:c>
    </x:row>
    <x:row r="3448" ht="32" customHeight="1">
      <x:c r="A3448" s="30" t="str">
        <x:v>A040</x:v>
      </x:c>
      <x:c r="B3448" s="30" t="str">
        <x:v>F358</x:v>
      </x:c>
      <x:c r="C3448" s="30" t="str">
        <x:v>cache.eviction_state</x:v>
      </x:c>
      <x:c r="D3448" s="30" t="str">
        <x:v>候选输入schema</x:v>
      </x:c>
      <x:c r="E3448" s="30" t="str">
        <x:v>按执行角色权限读取；策略只能使用可访问快照</x:v>
      </x:c>
    </x:row>
    <x:row r="3449" ht="32" customHeight="1">
      <x:c r="A3449" s="30" t="str">
        <x:v>A040</x:v>
      </x:c>
      <x:c r="B3449" s="30" t="str">
        <x:v>F192</x:v>
      </x:c>
      <x:c r="C3449" s="30" t="str">
        <x:v>belief.conflict_state</x:v>
      </x:c>
      <x:c r="D3449" s="30" t="str">
        <x:v>直接效果</x:v>
      </x:c>
      <x:c r="E3449" s="30" t="str">
        <x:v>经实际执行/回执提交；不是规划时提前修改</x:v>
      </x:c>
    </x:row>
    <x:row r="3450" ht="32" customHeight="1">
      <x:c r="A3450" s="30" t="str">
        <x:v>A040</x:v>
      </x:c>
      <x:c r="B3450" s="30" t="str">
        <x:v>F185</x:v>
      </x:c>
      <x:c r="C3450" s="30" t="str">
        <x:v>belief.estimated_pose</x:v>
      </x:c>
      <x:c r="D3450" s="30" t="str">
        <x:v>直接效果</x:v>
      </x:c>
      <x:c r="E3450" s="30" t="str">
        <x:v>经实际执行/回执提交；不是规划时提前修改</x:v>
      </x:c>
    </x:row>
    <x:row r="3451" ht="32" customHeight="1">
      <x:c r="A3451" s="30" t="str">
        <x:v>A040</x:v>
      </x:c>
      <x:c r="B3451" s="30" t="str">
        <x:v>F183</x:v>
      </x:c>
      <x:c r="C3451" s="30" t="str">
        <x:v>belief.estimated_damage</x:v>
      </x:c>
      <x:c r="D3451" s="30" t="str">
        <x:v>直接效果</x:v>
      </x:c>
      <x:c r="E3451" s="30" t="str">
        <x:v>经实际执行/回执提交；不是规划时提前修改</x:v>
      </x:c>
    </x:row>
    <x:row r="3452" ht="32" customHeight="1">
      <x:c r="A3452" s="30" t="str">
        <x:v>A040</x:v>
      </x:c>
      <x:c r="B3452" s="30" t="str">
        <x:v>F184</x:v>
      </x:c>
      <x:c r="C3452" s="30" t="str">
        <x:v>belief.human_presence</x:v>
      </x:c>
      <x:c r="D3452" s="30" t="str">
        <x:v>直接效果</x:v>
      </x:c>
      <x:c r="E3452" s="30" t="str">
        <x:v>经实际执行/回执提交；不是规划时提前修改</x:v>
      </x:c>
    </x:row>
    <x:row r="3453" ht="32" customHeight="1">
      <x:c r="A3453" s="30" t="str">
        <x:v>A041</x:v>
      </x:c>
      <x:c r="B3453" s="30" t="str">
        <x:v>F166</x:v>
      </x:c>
      <x:c r="C3453" s="30" t="str">
        <x:v>observation.observer_id</x:v>
      </x:c>
      <x:c r="D3453" s="30" t="str">
        <x:v>候选输入schema</x:v>
      </x:c>
      <x:c r="E3453" s="30" t="str">
        <x:v>按执行角色权限读取；策略只能使用可访问快照</x:v>
      </x:c>
    </x:row>
    <x:row r="3454" ht="32" customHeight="1">
      <x:c r="A3454" s="30" t="str">
        <x:v>A041</x:v>
      </x:c>
      <x:c r="B3454" s="30" t="str">
        <x:v>F167</x:v>
      </x:c>
      <x:c r="C3454" s="30" t="str">
        <x:v>observation.sensor_id</x:v>
      </x:c>
      <x:c r="D3454" s="30" t="str">
        <x:v>候选输入schema</x:v>
      </x:c>
      <x:c r="E3454" s="30" t="str">
        <x:v>按执行角色权限读取；策略只能使用可访问快照</x:v>
      </x:c>
    </x:row>
    <x:row r="3455" ht="32" customHeight="1">
      <x:c r="A3455" s="30" t="str">
        <x:v>A041</x:v>
      </x:c>
      <x:c r="B3455" s="30" t="str">
        <x:v>F168</x:v>
      </x:c>
      <x:c r="C3455" s="30" t="str">
        <x:v>observation.captured_at_s</x:v>
      </x:c>
      <x:c r="D3455" s="30" t="str">
        <x:v>候选输入schema</x:v>
      </x:c>
      <x:c r="E3455" s="30" t="str">
        <x:v>按执行角色权限读取；策略只能使用可访问快照</x:v>
      </x:c>
    </x:row>
    <x:row r="3456" ht="32" customHeight="1">
      <x:c r="A3456" s="30" t="str">
        <x:v>A041</x:v>
      </x:c>
      <x:c r="B3456" s="30" t="str">
        <x:v>F169</x:v>
      </x:c>
      <x:c r="C3456" s="30" t="str">
        <x:v>observation.pose_estimate</x:v>
      </x:c>
      <x:c r="D3456" s="30" t="str">
        <x:v>候选输入schema</x:v>
      </x:c>
      <x:c r="E3456" s="30" t="str">
        <x:v>按执行角色权限读取；策略只能使用可访问快照</x:v>
      </x:c>
    </x:row>
    <x:row r="3457" ht="32" customHeight="1">
      <x:c r="A3457" s="30" t="str">
        <x:v>A041</x:v>
      </x:c>
      <x:c r="B3457" s="30" t="str">
        <x:v>F170</x:v>
      </x:c>
      <x:c r="C3457" s="30" t="str">
        <x:v>observation.payload_ref</x:v>
      </x:c>
      <x:c r="D3457" s="30" t="str">
        <x:v>候选输入schema</x:v>
      </x:c>
      <x:c r="E3457" s="30" t="str">
        <x:v>按执行角色权限读取；策略只能使用可访问快照</x:v>
      </x:c>
    </x:row>
    <x:row r="3458" ht="32" customHeight="1">
      <x:c r="A3458" s="30" t="str">
        <x:v>A041</x:v>
      </x:c>
      <x:c r="B3458" s="30" t="str">
        <x:v>F171</x:v>
      </x:c>
      <x:c r="C3458" s="30" t="str">
        <x:v>observation.payload_bytes</x:v>
      </x:c>
      <x:c r="D3458" s="30" t="str">
        <x:v>候选输入schema</x:v>
      </x:c>
      <x:c r="E3458" s="30" t="str">
        <x:v>按执行角色权限读取；策略只能使用可访问快照</x:v>
      </x:c>
    </x:row>
    <x:row r="3459" ht="32" customHeight="1">
      <x:c r="A3459" s="30" t="str">
        <x:v>A041</x:v>
      </x:c>
      <x:c r="B3459" s="30" t="str">
        <x:v>F172</x:v>
      </x:c>
      <x:c r="C3459" s="30" t="str">
        <x:v>observation.content_hash</x:v>
      </x:c>
      <x:c r="D3459" s="30" t="str">
        <x:v>候选输入schema</x:v>
      </x:c>
      <x:c r="E3459" s="30" t="str">
        <x:v>按执行角色权限读取；策略只能使用可访问快照</x:v>
      </x:c>
    </x:row>
    <x:row r="3460" ht="32" customHeight="1">
      <x:c r="A3460" s="30" t="str">
        <x:v>A041</x:v>
      </x:c>
      <x:c r="B3460" s="30" t="str">
        <x:v>F173</x:v>
      </x:c>
      <x:c r="C3460" s="30" t="str">
        <x:v>observation.modality</x:v>
      </x:c>
      <x:c r="D3460" s="30" t="str">
        <x:v>候选输入schema</x:v>
      </x:c>
      <x:c r="E3460" s="30" t="str">
        <x:v>按执行角色权限读取；策略只能使用可访问快照</x:v>
      </x:c>
    </x:row>
    <x:row r="3461" ht="32" customHeight="1">
      <x:c r="A3461" s="30" t="str">
        <x:v>A041</x:v>
      </x:c>
      <x:c r="B3461" s="30" t="str">
        <x:v>F174</x:v>
      </x:c>
      <x:c r="C3461" s="30" t="str">
        <x:v>observation.detections</x:v>
      </x:c>
      <x:c r="D3461" s="30" t="str">
        <x:v>候选输入schema</x:v>
      </x:c>
      <x:c r="E3461" s="30" t="str">
        <x:v>按执行角色权限读取；策略只能使用可访问快照</x:v>
      </x:c>
    </x:row>
    <x:row r="3462" ht="32" customHeight="1">
      <x:c r="A3462" s="30" t="str">
        <x:v>A041</x:v>
      </x:c>
      <x:c r="B3462" s="30" t="str">
        <x:v>F175</x:v>
      </x:c>
      <x:c r="C3462" s="30" t="str">
        <x:v>observation.confidence</x:v>
      </x:c>
      <x:c r="D3462" s="30" t="str">
        <x:v>候选输入schema</x:v>
      </x:c>
      <x:c r="E3462" s="30" t="str">
        <x:v>按执行角色权限读取；策略只能使用可访问快照</x:v>
      </x:c>
    </x:row>
    <x:row r="3463" ht="32" customHeight="1">
      <x:c r="A3463" s="30" t="str">
        <x:v>A041</x:v>
      </x:c>
      <x:c r="B3463" s="30" t="str">
        <x:v>F176</x:v>
      </x:c>
      <x:c r="C3463" s="30" t="str">
        <x:v>observation.coverage_estimate</x:v>
      </x:c>
      <x:c r="D3463" s="30" t="str">
        <x:v>候选输入schema</x:v>
      </x:c>
      <x:c r="E3463" s="30" t="str">
        <x:v>按执行角色权限读取；策略只能使用可访问快照</x:v>
      </x:c>
    </x:row>
    <x:row r="3464" ht="32" customHeight="1">
      <x:c r="A3464" s="30" t="str">
        <x:v>A041</x:v>
      </x:c>
      <x:c r="B3464" s="30" t="str">
        <x:v>F177</x:v>
      </x:c>
      <x:c r="C3464" s="30" t="str">
        <x:v>observation.processing_job_id</x:v>
      </x:c>
      <x:c r="D3464" s="30" t="str">
        <x:v>候选输入schema</x:v>
      </x:c>
      <x:c r="E3464" s="30" t="str">
        <x:v>按执行角色权限读取；策略只能使用可访问快照</x:v>
      </x:c>
    </x:row>
    <x:row r="3465" ht="32" customHeight="1">
      <x:c r="A3465" s="30" t="str">
        <x:v>A041</x:v>
      </x:c>
      <x:c r="B3465" s="30" t="str">
        <x:v>F178</x:v>
      </x:c>
      <x:c r="C3465" s="30" t="str">
        <x:v>observation.parent_evidence_ids</x:v>
      </x:c>
      <x:c r="D3465" s="30" t="str">
        <x:v>候选输入schema</x:v>
      </x:c>
      <x:c r="E3465" s="30" t="str">
        <x:v>按执行角色权限读取；策略只能使用可访问快照</x:v>
      </x:c>
    </x:row>
    <x:row r="3466" ht="32" customHeight="1">
      <x:c r="A3466" s="30" t="str">
        <x:v>A041</x:v>
      </x:c>
      <x:c r="B3466" s="30" t="str">
        <x:v>F179</x:v>
      </x:c>
      <x:c r="C3466" s="30" t="str">
        <x:v>observation.valid_until_s</x:v>
      </x:c>
      <x:c r="D3466" s="30" t="str">
        <x:v>候选输入schema</x:v>
      </x:c>
      <x:c r="E3466" s="30" t="str">
        <x:v>按执行角色权限读取；策略只能使用可访问快照</x:v>
      </x:c>
    </x:row>
    <x:row r="3467" ht="32" customHeight="1">
      <x:c r="A3467" s="30" t="str">
        <x:v>A041</x:v>
      </x:c>
      <x:c r="B3467" s="30" t="str">
        <x:v>F180</x:v>
      </x:c>
      <x:c r="C3467" s="30" t="str">
        <x:v>observation.mode</x:v>
      </x:c>
      <x:c r="D3467" s="30" t="str">
        <x:v>候选输入schema</x:v>
      </x:c>
      <x:c r="E3467" s="30" t="str">
        <x:v>按执行角色权限读取；策略只能使用可访问快照</x:v>
      </x:c>
    </x:row>
    <x:row r="3468" ht="32" customHeight="1">
      <x:c r="A3468" s="30" t="str">
        <x:v>A041</x:v>
      </x:c>
      <x:c r="B3468" s="30" t="str">
        <x:v>F181</x:v>
      </x:c>
      <x:c r="C3468" s="30" t="str">
        <x:v>belief.agent_id</x:v>
      </x:c>
      <x:c r="D3468" s="30" t="str">
        <x:v>候选输入schema</x:v>
      </x:c>
      <x:c r="E3468" s="30" t="str">
        <x:v>按执行角色权限读取；策略只能使用可访问快照</x:v>
      </x:c>
    </x:row>
    <x:row r="3469" ht="32" customHeight="1">
      <x:c r="A3469" s="30" t="str">
        <x:v>A041</x:v>
      </x:c>
      <x:c r="B3469" s="30" t="str">
        <x:v>F182</x:v>
      </x:c>
      <x:c r="C3469" s="30" t="str">
        <x:v>belief.entity_ref</x:v>
      </x:c>
      <x:c r="D3469" s="30" t="str">
        <x:v>候选输入schema</x:v>
      </x:c>
      <x:c r="E3469" s="30" t="str">
        <x:v>按执行角色权限读取；策略只能使用可访问快照</x:v>
      </x:c>
    </x:row>
    <x:row r="3470" ht="32" customHeight="1">
      <x:c r="A3470" s="30" t="str">
        <x:v>A041</x:v>
      </x:c>
      <x:c r="B3470" s="30" t="str">
        <x:v>F183</x:v>
      </x:c>
      <x:c r="C3470" s="30" t="str">
        <x:v>belief.estimated_damage</x:v>
      </x:c>
      <x:c r="D3470" s="30" t="str">
        <x:v>候选输入schema</x:v>
      </x:c>
      <x:c r="E3470" s="30" t="str">
        <x:v>按执行角色权限读取；策略只能使用可访问快照</x:v>
      </x:c>
    </x:row>
    <x:row r="3471" ht="32" customHeight="1">
      <x:c r="A3471" s="30" t="str">
        <x:v>A041</x:v>
      </x:c>
      <x:c r="B3471" s="30" t="str">
        <x:v>F184</x:v>
      </x:c>
      <x:c r="C3471" s="30" t="str">
        <x:v>belief.human_presence</x:v>
      </x:c>
      <x:c r="D3471" s="30" t="str">
        <x:v>候选输入schema</x:v>
      </x:c>
      <x:c r="E3471" s="30" t="str">
        <x:v>按执行角色权限读取；策略只能使用可访问快照</x:v>
      </x:c>
    </x:row>
    <x:row r="3472" ht="32" customHeight="1">
      <x:c r="A3472" s="30" t="str">
        <x:v>A041</x:v>
      </x:c>
      <x:c r="B3472" s="30" t="str">
        <x:v>F185</x:v>
      </x:c>
      <x:c r="C3472" s="30" t="str">
        <x:v>belief.estimated_pose</x:v>
      </x:c>
      <x:c r="D3472" s="30" t="str">
        <x:v>候选输入schema</x:v>
      </x:c>
      <x:c r="E3472" s="30" t="str">
        <x:v>按执行角色权限读取；策略只能使用可访问快照</x:v>
      </x:c>
    </x:row>
    <x:row r="3473" ht="32" customHeight="1">
      <x:c r="A3473" s="30" t="str">
        <x:v>A041</x:v>
      </x:c>
      <x:c r="B3473" s="30" t="str">
        <x:v>F186</x:v>
      </x:c>
      <x:c r="C3473" s="30" t="str">
        <x:v>belief.estimated_access</x:v>
      </x:c>
      <x:c r="D3473" s="30" t="str">
        <x:v>候选输入schema</x:v>
      </x:c>
      <x:c r="E3473" s="30" t="str">
        <x:v>按执行角色权限读取；策略只能使用可访问快照</x:v>
      </x:c>
    </x:row>
    <x:row r="3474" ht="32" customHeight="1">
      <x:c r="A3474" s="30" t="str">
        <x:v>A041</x:v>
      </x:c>
      <x:c r="B3474" s="30" t="str">
        <x:v>F187</x:v>
      </x:c>
      <x:c r="C3474" s="30" t="str">
        <x:v>belief.estimated_needs</x:v>
      </x:c>
      <x:c r="D3474" s="30" t="str">
        <x:v>候选输入schema</x:v>
      </x:c>
      <x:c r="E3474" s="30" t="str">
        <x:v>按执行角色权限读取；策略只能使用可访问快照</x:v>
      </x:c>
    </x:row>
    <x:row r="3475" ht="32" customHeight="1">
      <x:c r="A3475" s="30" t="str">
        <x:v>A041</x:v>
      </x:c>
      <x:c r="B3475" s="30" t="str">
        <x:v>F188</x:v>
      </x:c>
      <x:c r="C3475" s="30" t="str">
        <x:v>belief.evidence_ids</x:v>
      </x:c>
      <x:c r="D3475" s="30" t="str">
        <x:v>候选输入schema</x:v>
      </x:c>
      <x:c r="E3475" s="30" t="str">
        <x:v>按执行角色权限读取；策略只能使用可访问快照</x:v>
      </x:c>
    </x:row>
    <x:row r="3476" ht="32" customHeight="1">
      <x:c r="A3476" s="30" t="str">
        <x:v>A041</x:v>
      </x:c>
      <x:c r="B3476" s="30" t="str">
        <x:v>F189</x:v>
      </x:c>
      <x:c r="C3476" s="30" t="str">
        <x:v>belief.source_agent_ids</x:v>
      </x:c>
      <x:c r="D3476" s="30" t="str">
        <x:v>候选输入schema</x:v>
      </x:c>
      <x:c r="E3476" s="30" t="str">
        <x:v>按执行角色权限读取；策略只能使用可访问快照</x:v>
      </x:c>
    </x:row>
    <x:row r="3477" ht="32" customHeight="1">
      <x:c r="A3477" s="30" t="str">
        <x:v>A041</x:v>
      </x:c>
      <x:c r="B3477" s="30" t="str">
        <x:v>F190</x:v>
      </x:c>
      <x:c r="C3477" s="30" t="str">
        <x:v>belief.updated_at_s</x:v>
      </x:c>
      <x:c r="D3477" s="30" t="str">
        <x:v>候选输入schema</x:v>
      </x:c>
      <x:c r="E3477" s="30" t="str">
        <x:v>按执行角色权限读取；策略只能使用可访问快照</x:v>
      </x:c>
    </x:row>
    <x:row r="3478" ht="32" customHeight="1">
      <x:c r="A3478" s="30" t="str">
        <x:v>A041</x:v>
      </x:c>
      <x:c r="B3478" s="30" t="str">
        <x:v>F191</x:v>
      </x:c>
      <x:c r="C3478" s="30" t="str">
        <x:v>belief.staleness_s</x:v>
      </x:c>
      <x:c r="D3478" s="30" t="str">
        <x:v>候选输入schema</x:v>
      </x:c>
      <x:c r="E3478" s="30" t="str">
        <x:v>按执行角色权限读取；策略只能使用可访问快照</x:v>
      </x:c>
    </x:row>
    <x:row r="3479" ht="32" customHeight="1">
      <x:c r="A3479" s="30" t="str">
        <x:v>A041</x:v>
      </x:c>
      <x:c r="B3479" s="30" t="str">
        <x:v>F192</x:v>
      </x:c>
      <x:c r="C3479" s="30" t="str">
        <x:v>belief.conflict_state</x:v>
      </x:c>
      <x:c r="D3479" s="30" t="str">
        <x:v>候选输入schema</x:v>
      </x:c>
      <x:c r="E3479" s="30" t="str">
        <x:v>按执行角色权限读取；策略只能使用可访问快照</x:v>
      </x:c>
    </x:row>
    <x:row r="3480" ht="32" customHeight="1">
      <x:c r="A3480" s="30" t="str">
        <x:v>A041</x:v>
      </x:c>
      <x:c r="B3480" s="30" t="str">
        <x:v>F193</x:v>
      </x:c>
      <x:c r="C3480" s="30" t="str">
        <x:v>belief.team_estimates</x:v>
      </x:c>
      <x:c r="D3480" s="30" t="str">
        <x:v>候选输入schema</x:v>
      </x:c>
      <x:c r="E3480" s="30" t="str">
        <x:v>按执行角色权限读取；策略只能使用可访问快照</x:v>
      </x:c>
    </x:row>
    <x:row r="3481" ht="32" customHeight="1">
      <x:c r="A3481" s="30" t="str">
        <x:v>A041</x:v>
      </x:c>
      <x:c r="B3481" s="30" t="str">
        <x:v>F194</x:v>
      </x:c>
      <x:c r="C3481" s="30" t="str">
        <x:v>belief.search_status</x:v>
      </x:c>
      <x:c r="D3481" s="30" t="str">
        <x:v>候选输入schema</x:v>
      </x:c>
      <x:c r="E3481" s="30" t="str">
        <x:v>按执行角色权限读取；策略只能使用可访问快照</x:v>
      </x:c>
    </x:row>
    <x:row r="3482" ht="32" customHeight="1">
      <x:c r="A3482" s="30" t="str">
        <x:v>A041</x:v>
      </x:c>
      <x:c r="B3482" s="30" t="str">
        <x:v>F195</x:v>
      </x:c>
      <x:c r="C3482" s="30" t="str">
        <x:v>belief.current_goal_context</x:v>
      </x:c>
      <x:c r="D3482" s="30" t="str">
        <x:v>候选输入schema</x:v>
      </x:c>
      <x:c r="E3482" s="30" t="str">
        <x:v>按执行角色权限读取；策略只能使用可访问快照</x:v>
      </x:c>
    </x:row>
    <x:row r="3483" ht="32" customHeight="1">
      <x:c r="A3483" s="30" t="str">
        <x:v>A041</x:v>
      </x:c>
      <x:c r="B3483" s="30" t="str">
        <x:v>F196</x:v>
      </x:c>
      <x:c r="C3483" s="30" t="str">
        <x:v>task.type</x:v>
      </x:c>
      <x:c r="D3483" s="30" t="str">
        <x:v>候选输入schema</x:v>
      </x:c>
      <x:c r="E3483" s="30" t="str">
        <x:v>按执行角色权限读取；策略只能使用可访问快照</x:v>
      </x:c>
    </x:row>
    <x:row r="3484" ht="32" customHeight="1">
      <x:c r="A3484" s="30" t="str">
        <x:v>A041</x:v>
      </x:c>
      <x:c r="B3484" s="30" t="str">
        <x:v>F197</x:v>
      </x:c>
      <x:c r="C3484" s="30" t="str">
        <x:v>task.creator_id</x:v>
      </x:c>
      <x:c r="D3484" s="30" t="str">
        <x:v>候选输入schema</x:v>
      </x:c>
      <x:c r="E3484" s="30" t="str">
        <x:v>按执行角色权限读取；策略只能使用可访问快照</x:v>
      </x:c>
    </x:row>
    <x:row r="3485" ht="32" customHeight="1">
      <x:c r="A3485" s="30" t="str">
        <x:v>A041</x:v>
      </x:c>
      <x:c r="B3485" s="30" t="str">
        <x:v>F198</x:v>
      </x:c>
      <x:c r="C3485" s="30" t="str">
        <x:v>task.target_ref</x:v>
      </x:c>
      <x:c r="D3485" s="30" t="str">
        <x:v>候选输入schema</x:v>
      </x:c>
      <x:c r="E3485" s="30" t="str">
        <x:v>按执行角色权限读取；策略只能使用可访问快照</x:v>
      </x:c>
    </x:row>
    <x:row r="3486" ht="32" customHeight="1">
      <x:c r="A3486" s="30" t="str">
        <x:v>A041</x:v>
      </x:c>
      <x:c r="B3486" s="30" t="str">
        <x:v>F199</x:v>
      </x:c>
      <x:c r="C3486" s="30" t="str">
        <x:v>task.goal_predicate</x:v>
      </x:c>
      <x:c r="D3486" s="30" t="str">
        <x:v>候选输入schema</x:v>
      </x:c>
      <x:c r="E3486" s="30" t="str">
        <x:v>按执行角色权限读取；策略只能使用可访问快照</x:v>
      </x:c>
    </x:row>
    <x:row r="3487" ht="32" customHeight="1">
      <x:c r="A3487" s="30" t="str">
        <x:v>A041</x:v>
      </x:c>
      <x:c r="B3487" s="30" t="str">
        <x:v>F200</x:v>
      </x:c>
      <x:c r="C3487" s="30" t="str">
        <x:v>task.revision</x:v>
      </x:c>
      <x:c r="D3487" s="30" t="str">
        <x:v>候选输入schema</x:v>
      </x:c>
      <x:c r="E3487" s="30" t="str">
        <x:v>按执行角色权限读取；策略只能使用可访问快照</x:v>
      </x:c>
    </x:row>
    <x:row r="3488" ht="32" customHeight="1">
      <x:c r="A3488" s="30" t="str">
        <x:v>A041</x:v>
      </x:c>
      <x:c r="B3488" s="30" t="str">
        <x:v>F201</x:v>
      </x:c>
      <x:c r="C3488" s="30" t="str">
        <x:v>task.status</x:v>
      </x:c>
      <x:c r="D3488" s="30" t="str">
        <x:v>候选输入schema</x:v>
      </x:c>
      <x:c r="E3488" s="30" t="str">
        <x:v>按执行角色权限读取；策略只能使用可访问快照</x:v>
      </x:c>
    </x:row>
    <x:row r="3489" ht="32" customHeight="1">
      <x:c r="A3489" s="30" t="str">
        <x:v>A041</x:v>
      </x:c>
      <x:c r="B3489" s="30" t="str">
        <x:v>F202</x:v>
      </x:c>
      <x:c r="C3489" s="30" t="str">
        <x:v>task.priority</x:v>
      </x:c>
      <x:c r="D3489" s="30" t="str">
        <x:v>候选输入schema</x:v>
      </x:c>
      <x:c r="E3489" s="30" t="str">
        <x:v>按执行角色权限读取；策略只能使用可访问快照</x:v>
      </x:c>
    </x:row>
    <x:row r="3490" ht="32" customHeight="1">
      <x:c r="A3490" s="30" t="str">
        <x:v>A041</x:v>
      </x:c>
      <x:c r="B3490" s="30" t="str">
        <x:v>F203</x:v>
      </x:c>
      <x:c r="C3490" s="30" t="str">
        <x:v>task.deadline_s</x:v>
      </x:c>
      <x:c r="D3490" s="30" t="str">
        <x:v>候选输入schema</x:v>
      </x:c>
      <x:c r="E3490" s="30" t="str">
        <x:v>按执行角色权限读取；策略只能使用可访问快照</x:v>
      </x:c>
    </x:row>
    <x:row r="3491" ht="32" customHeight="1">
      <x:c r="A3491" s="30" t="str">
        <x:v>A041</x:v>
      </x:c>
      <x:c r="B3491" s="30" t="str">
        <x:v>F204</x:v>
      </x:c>
      <x:c r="C3491" s="30" t="str">
        <x:v>task.dependency_ids</x:v>
      </x:c>
      <x:c r="D3491" s="30" t="str">
        <x:v>候选输入schema</x:v>
      </x:c>
      <x:c r="E3491" s="30" t="str">
        <x:v>按执行角色权限读取；策略只能使用可访问快照</x:v>
      </x:c>
    </x:row>
    <x:row r="3492" ht="32" customHeight="1">
      <x:c r="A3492" s="30" t="str">
        <x:v>A041</x:v>
      </x:c>
      <x:c r="B3492" s="30" t="str">
        <x:v>F205</x:v>
      </x:c>
      <x:c r="C3492" s="30" t="str">
        <x:v>task.required_capability_ids</x:v>
      </x:c>
      <x:c r="D3492" s="30" t="str">
        <x:v>候选输入schema</x:v>
      </x:c>
      <x:c r="E3492" s="30" t="str">
        <x:v>按执行角色权限读取；策略只能使用可访问快照</x:v>
      </x:c>
    </x:row>
    <x:row r="3493" ht="32" customHeight="1">
      <x:c r="A3493" s="30" t="str">
        <x:v>A041</x:v>
      </x:c>
      <x:c r="B3493" s="30" t="str">
        <x:v>F206</x:v>
      </x:c>
      <x:c r="C3493" s="30" t="str">
        <x:v>task.resource_budget</x:v>
      </x:c>
      <x:c r="D3493" s="30" t="str">
        <x:v>候选输入schema</x:v>
      </x:c>
      <x:c r="E3493" s="30" t="str">
        <x:v>按执行角色权限读取；策略只能使用可访问快照</x:v>
      </x:c>
    </x:row>
    <x:row r="3494" ht="32" customHeight="1">
      <x:c r="A3494" s="30" t="str">
        <x:v>A041</x:v>
      </x:c>
      <x:c r="B3494" s="30" t="str">
        <x:v>F207</x:v>
      </x:c>
      <x:c r="C3494" s="30" t="str">
        <x:v>task.assigned_to</x:v>
      </x:c>
      <x:c r="D3494" s="30" t="str">
        <x:v>候选输入schema</x:v>
      </x:c>
      <x:c r="E3494" s="30" t="str">
        <x:v>按执行角色权限读取；策略只能使用可访问快照</x:v>
      </x:c>
    </x:row>
    <x:row r="3495" ht="32" customHeight="1">
      <x:c r="A3495" s="30" t="str">
        <x:v>A041</x:v>
      </x:c>
      <x:c r="B3495" s="30" t="str">
        <x:v>F208</x:v>
      </x:c>
      <x:c r="C3495" s="30" t="str">
        <x:v>task.accepted_by</x:v>
      </x:c>
      <x:c r="D3495" s="30" t="str">
        <x:v>候选输入schema</x:v>
      </x:c>
      <x:c r="E3495" s="30" t="str">
        <x:v>按执行角色权限读取；策略只能使用可访问快照</x:v>
      </x:c>
    </x:row>
    <x:row r="3496" ht="32" customHeight="1">
      <x:c r="A3496" s="30" t="str">
        <x:v>A041</x:v>
      </x:c>
      <x:c r="B3496" s="30" t="str">
        <x:v>F209</x:v>
      </x:c>
      <x:c r="C3496" s="30" t="str">
        <x:v>task.commitment_window</x:v>
      </x:c>
      <x:c r="D3496" s="30" t="str">
        <x:v>候选输入schema</x:v>
      </x:c>
      <x:c r="E3496" s="30" t="str">
        <x:v>按执行角色权限读取；策略只能使用可访问快照</x:v>
      </x:c>
    </x:row>
    <x:row r="3497" ht="32" customHeight="1">
      <x:c r="A3497" s="30" t="str">
        <x:v>A041</x:v>
      </x:c>
      <x:c r="B3497" s="30" t="str">
        <x:v>F210</x:v>
      </x:c>
      <x:c r="C3497" s="30" t="str">
        <x:v>task.progress</x:v>
      </x:c>
      <x:c r="D3497" s="30" t="str">
        <x:v>候选输入schema</x:v>
      </x:c>
      <x:c r="E3497" s="30" t="str">
        <x:v>按执行角色权限读取；策略只能使用可访问快照</x:v>
      </x:c>
    </x:row>
    <x:row r="3498" ht="32" customHeight="1">
      <x:c r="A3498" s="30" t="str">
        <x:v>A041</x:v>
      </x:c>
      <x:c r="B3498" s="30" t="str">
        <x:v>F211</x:v>
      </x:c>
      <x:c r="C3498" s="30" t="str">
        <x:v>task.active_action_ids</x:v>
      </x:c>
      <x:c r="D3498" s="30" t="str">
        <x:v>候选输入schema</x:v>
      </x:c>
      <x:c r="E3498" s="30" t="str">
        <x:v>按执行角色权限读取；策略只能使用可访问快照</x:v>
      </x:c>
    </x:row>
    <x:row r="3499" ht="32" customHeight="1">
      <x:c r="A3499" s="30" t="str">
        <x:v>A041</x:v>
      </x:c>
      <x:c r="B3499" s="30" t="str">
        <x:v>F212</x:v>
      </x:c>
      <x:c r="C3499" s="30" t="str">
        <x:v>task.interruptibility</x:v>
      </x:c>
      <x:c r="D3499" s="30" t="str">
        <x:v>候选输入schema</x:v>
      </x:c>
      <x:c r="E3499" s="30" t="str">
        <x:v>按执行角色权限读取；策略只能使用可访问快照</x:v>
      </x:c>
    </x:row>
    <x:row r="3500" ht="32" customHeight="1">
      <x:c r="A3500" s="30" t="str">
        <x:v>A041</x:v>
      </x:c>
      <x:c r="B3500" s="30" t="str">
        <x:v>F213</x:v>
      </x:c>
      <x:c r="C3500" s="30" t="str">
        <x:v>task.original_task_id</x:v>
      </x:c>
      <x:c r="D3500" s="30" t="str">
        <x:v>候选输入schema</x:v>
      </x:c>
      <x:c r="E3500" s="30" t="str">
        <x:v>按执行角色权限读取；策略只能使用可访问快照</x:v>
      </x:c>
    </x:row>
    <x:row r="3501" ht="32" customHeight="1">
      <x:c r="A3501" s="30" t="str">
        <x:v>A041</x:v>
      </x:c>
      <x:c r="B3501" s="30" t="str">
        <x:v>F214</x:v>
      </x:c>
      <x:c r="C3501" s="30" t="str">
        <x:v>task.resume_checkpoint</x:v>
      </x:c>
      <x:c r="D3501" s="30" t="str">
        <x:v>候选输入schema</x:v>
      </x:c>
      <x:c r="E3501" s="30" t="str">
        <x:v>按执行角色权限读取；策略只能使用可访问快照</x:v>
      </x:c>
    </x:row>
    <x:row r="3502" ht="32" customHeight="1">
      <x:c r="A3502" s="30" t="str">
        <x:v>A041</x:v>
      </x:c>
      <x:c r="B3502" s="30" t="str">
        <x:v>F215</x:v>
      </x:c>
      <x:c r="C3502" s="30" t="str">
        <x:v>task.handoff_target_id</x:v>
      </x:c>
      <x:c r="D3502" s="30" t="str">
        <x:v>候选输入schema</x:v>
      </x:c>
      <x:c r="E3502" s="30" t="str">
        <x:v>按执行角色权限读取；策略只能使用可访问快照</x:v>
      </x:c>
    </x:row>
    <x:row r="3503" ht="32" customHeight="1">
      <x:c r="A3503" s="30" t="str">
        <x:v>A041</x:v>
      </x:c>
      <x:c r="B3503" s="30" t="str">
        <x:v>F216</x:v>
      </x:c>
      <x:c r="C3503" s="30" t="str">
        <x:v>task.result_evidence_ids</x:v>
      </x:c>
      <x:c r="D3503" s="30" t="str">
        <x:v>候选输入schema</x:v>
      </x:c>
      <x:c r="E3503" s="30" t="str">
        <x:v>按执行角色权限读取；策略只能使用可访问快照</x:v>
      </x:c>
    </x:row>
    <x:row r="3504" ht="32" customHeight="1">
      <x:c r="A3504" s="30" t="str">
        <x:v>A041</x:v>
      </x:c>
      <x:c r="B3504" s="30" t="str">
        <x:v>F217</x:v>
      </x:c>
      <x:c r="C3504" s="30" t="str">
        <x:v>task.failure_reason</x:v>
      </x:c>
      <x:c r="D3504" s="30" t="str">
        <x:v>候选输入schema</x:v>
      </x:c>
      <x:c r="E3504" s="30" t="str">
        <x:v>按执行角色权限读取；策略只能使用可访问快照</x:v>
      </x:c>
    </x:row>
    <x:row r="3505" ht="32" customHeight="1">
      <x:c r="A3505" s="30" t="str">
        <x:v>A041</x:v>
      </x:c>
      <x:c r="B3505" s="30" t="str">
        <x:v>F218</x:v>
      </x:c>
      <x:c r="C3505" s="30" t="str">
        <x:v>task.last_event_s</x:v>
      </x:c>
      <x:c r="D3505" s="30" t="str">
        <x:v>候选输入schema</x:v>
      </x:c>
      <x:c r="E3505" s="30" t="str">
        <x:v>按执行角色权限读取；策略只能使用可访问快照</x:v>
      </x:c>
    </x:row>
    <x:row r="3506" ht="32" customHeight="1">
      <x:c r="A3506" s="30" t="str">
        <x:v>A041</x:v>
      </x:c>
      <x:c r="B3506" s="30" t="str">
        <x:v>F219</x:v>
      </x:c>
      <x:c r="C3506" s="30" t="str">
        <x:v>task.opportunity_cost</x:v>
      </x:c>
      <x:c r="D3506" s="30" t="str">
        <x:v>候选输入schema</x:v>
      </x:c>
      <x:c r="E3506" s="30" t="str">
        <x:v>按执行角色权限读取；策略只能使用可访问快照</x:v>
      </x:c>
    </x:row>
    <x:row r="3507" ht="32" customHeight="1">
      <x:c r="A3507" s="30" t="str">
        <x:v>A041</x:v>
      </x:c>
      <x:c r="B3507" s="30" t="str">
        <x:v>F275</x:v>
      </x:c>
      <x:c r="C3507" s="30" t="str">
        <x:v>message.kind</x:v>
      </x:c>
      <x:c r="D3507" s="30" t="str">
        <x:v>候选输入schema</x:v>
      </x:c>
      <x:c r="E3507" s="30" t="str">
        <x:v>按执行角色权限读取；策略只能使用可访问快照</x:v>
      </x:c>
    </x:row>
    <x:row r="3508" ht="32" customHeight="1">
      <x:c r="A3508" s="30" t="str">
        <x:v>A041</x:v>
      </x:c>
      <x:c r="B3508" s="30" t="str">
        <x:v>F276</x:v>
      </x:c>
      <x:c r="C3508" s="30" t="str">
        <x:v>message.sender_id</x:v>
      </x:c>
      <x:c r="D3508" s="30" t="str">
        <x:v>候选输入schema</x:v>
      </x:c>
      <x:c r="E3508" s="30" t="str">
        <x:v>按执行角色权限读取；策略只能使用可访问快照</x:v>
      </x:c>
    </x:row>
    <x:row r="3509" ht="32" customHeight="1">
      <x:c r="A3509" s="30" t="str">
        <x:v>A041</x:v>
      </x:c>
      <x:c r="B3509" s="30" t="str">
        <x:v>F277</x:v>
      </x:c>
      <x:c r="C3509" s="30" t="str">
        <x:v>message.receiver_ids</x:v>
      </x:c>
      <x:c r="D3509" s="30" t="str">
        <x:v>候选输入schema</x:v>
      </x:c>
      <x:c r="E3509" s="30" t="str">
        <x:v>按执行角色权限读取；策略只能使用可访问快照</x:v>
      </x:c>
    </x:row>
    <x:row r="3510" ht="32" customHeight="1">
      <x:c r="A3510" s="30" t="str">
        <x:v>A041</x:v>
      </x:c>
      <x:c r="B3510" s="30" t="str">
        <x:v>F278</x:v>
      </x:c>
      <x:c r="C3510" s="30" t="str">
        <x:v>message.payload_ref</x:v>
      </x:c>
      <x:c r="D3510" s="30" t="str">
        <x:v>候选输入schema</x:v>
      </x:c>
      <x:c r="E3510" s="30" t="str">
        <x:v>按执行角色权限读取；策略只能使用可访问快照</x:v>
      </x:c>
    </x:row>
    <x:row r="3511" ht="32" customHeight="1">
      <x:c r="A3511" s="30" t="str">
        <x:v>A041</x:v>
      </x:c>
      <x:c r="B3511" s="30" t="str">
        <x:v>F279</x:v>
      </x:c>
      <x:c r="C3511" s="30" t="str">
        <x:v>message.size_bytes</x:v>
      </x:c>
      <x:c r="D3511" s="30" t="str">
        <x:v>候选输入schema</x:v>
      </x:c>
      <x:c r="E3511" s="30" t="str">
        <x:v>按执行角色权限读取；策略只能使用可访问快照</x:v>
      </x:c>
    </x:row>
    <x:row r="3512" ht="32" customHeight="1">
      <x:c r="A3512" s="30" t="str">
        <x:v>A041</x:v>
      </x:c>
      <x:c r="B3512" s="30" t="str">
        <x:v>F280</x:v>
      </x:c>
      <x:c r="C3512" s="30" t="str">
        <x:v>message.fragment_count</x:v>
      </x:c>
      <x:c r="D3512" s="30" t="str">
        <x:v>候选输入schema</x:v>
      </x:c>
      <x:c r="E3512" s="30" t="str">
        <x:v>按执行角色权限读取；策略只能使用可访问快照</x:v>
      </x:c>
    </x:row>
    <x:row r="3513" ht="32" customHeight="1">
      <x:c r="A3513" s="30" t="str">
        <x:v>A041</x:v>
      </x:c>
      <x:c r="B3513" s="30" t="str">
        <x:v>F281</x:v>
      </x:c>
      <x:c r="C3513" s="30" t="str">
        <x:v>message.received_fragments</x:v>
      </x:c>
      <x:c r="D3513" s="30" t="str">
        <x:v>候选输入schema</x:v>
      </x:c>
      <x:c r="E3513" s="30" t="str">
        <x:v>按执行角色权限读取；策略只能使用可访问快照</x:v>
      </x:c>
    </x:row>
    <x:row r="3514" ht="32" customHeight="1">
      <x:c r="A3514" s="30" t="str">
        <x:v>A041</x:v>
      </x:c>
      <x:c r="B3514" s="30" t="str">
        <x:v>F282</x:v>
      </x:c>
      <x:c r="C3514" s="30" t="str">
        <x:v>message.content_hash</x:v>
      </x:c>
      <x:c r="D3514" s="30" t="str">
        <x:v>候选输入schema</x:v>
      </x:c>
      <x:c r="E3514" s="30" t="str">
        <x:v>按执行角色权限读取；策略只能使用可访问快照</x:v>
      </x:c>
    </x:row>
    <x:row r="3515" ht="32" customHeight="1">
      <x:c r="A3515" s="30" t="str">
        <x:v>A041</x:v>
      </x:c>
      <x:c r="B3515" s="30" t="str">
        <x:v>F283</x:v>
      </x:c>
      <x:c r="C3515" s="30" t="str">
        <x:v>message.priority</x:v>
      </x:c>
      <x:c r="D3515" s="30" t="str">
        <x:v>候选输入schema</x:v>
      </x:c>
      <x:c r="E3515" s="30" t="str">
        <x:v>按执行角色权限读取；策略只能使用可访问快照</x:v>
      </x:c>
    </x:row>
    <x:row r="3516" ht="32" customHeight="1">
      <x:c r="A3516" s="30" t="str">
        <x:v>A041</x:v>
      </x:c>
      <x:c r="B3516" s="30" t="str">
        <x:v>F284</x:v>
      </x:c>
      <x:c r="C3516" s="30" t="str">
        <x:v>message.ttl_s</x:v>
      </x:c>
      <x:c r="D3516" s="30" t="str">
        <x:v>候选输入schema</x:v>
      </x:c>
      <x:c r="E3516" s="30" t="str">
        <x:v>按执行角色权限读取；策略只能使用可访问快照</x:v>
      </x:c>
    </x:row>
    <x:row r="3517" ht="32" customHeight="1">
      <x:c r="A3517" s="30" t="str">
        <x:v>A041</x:v>
      </x:c>
      <x:c r="B3517" s="30" t="str">
        <x:v>F285</x:v>
      </x:c>
      <x:c r="C3517" s="30" t="str">
        <x:v>message.status</x:v>
      </x:c>
      <x:c r="D3517" s="30" t="str">
        <x:v>候选输入schema</x:v>
      </x:c>
      <x:c r="E3517" s="30" t="str">
        <x:v>按执行角色权限读取；策略只能使用可访问快照</x:v>
      </x:c>
    </x:row>
    <x:row r="3518" ht="32" customHeight="1">
      <x:c r="A3518" s="30" t="str">
        <x:v>A041</x:v>
      </x:c>
      <x:c r="B3518" s="30" t="str">
        <x:v>F286</x:v>
      </x:c>
      <x:c r="C3518" s="30" t="str">
        <x:v>message.sent_s</x:v>
      </x:c>
      <x:c r="D3518" s="30" t="str">
        <x:v>候选输入schema</x:v>
      </x:c>
      <x:c r="E3518" s="30" t="str">
        <x:v>按执行角色权限读取；策略只能使用可访问快照</x:v>
      </x:c>
    </x:row>
    <x:row r="3519" ht="32" customHeight="1">
      <x:c r="A3519" s="30" t="str">
        <x:v>A041</x:v>
      </x:c>
      <x:c r="B3519" s="30" t="str">
        <x:v>F287</x:v>
      </x:c>
      <x:c r="C3519" s="30" t="str">
        <x:v>message.delivered_s</x:v>
      </x:c>
      <x:c r="D3519" s="30" t="str">
        <x:v>候选输入schema</x:v>
      </x:c>
      <x:c r="E3519" s="30" t="str">
        <x:v>按执行角色权限读取；策略只能使用可访问快照</x:v>
      </x:c>
    </x:row>
    <x:row r="3520" ht="32" customHeight="1">
      <x:c r="A3520" s="30" t="str">
        <x:v>A041</x:v>
      </x:c>
      <x:c r="B3520" s="30" t="str">
        <x:v>F288</x:v>
      </x:c>
      <x:c r="C3520" s="30" t="str">
        <x:v>message.ack_state</x:v>
      </x:c>
      <x:c r="D3520" s="30" t="str">
        <x:v>候选输入schema</x:v>
      </x:c>
      <x:c r="E3520" s="30" t="str">
        <x:v>按执行角色权限读取；策略只能使用可访问快照</x:v>
      </x:c>
    </x:row>
    <x:row r="3521" ht="32" customHeight="1">
      <x:c r="A3521" s="30" t="str">
        <x:v>A041</x:v>
      </x:c>
      <x:c r="B3521" s="30" t="str">
        <x:v>F289</x:v>
      </x:c>
      <x:c r="C3521" s="30" t="str">
        <x:v>message.retry_count</x:v>
      </x:c>
      <x:c r="D3521" s="30" t="str">
        <x:v>候选输入schema</x:v>
      </x:c>
      <x:c r="E3521" s="30" t="str">
        <x:v>按执行角色权限读取；策略只能使用可访问快照</x:v>
      </x:c>
    </x:row>
    <x:row r="3522" ht="32" customHeight="1">
      <x:c r="A3522" s="30" t="str">
        <x:v>A041</x:v>
      </x:c>
      <x:c r="B3522" s="30" t="str">
        <x:v>F290</x:v>
      </x:c>
      <x:c r="C3522" s="30" t="str">
        <x:v>message.hop_trace</x:v>
      </x:c>
      <x:c r="D3522" s="30" t="str">
        <x:v>候选输入schema</x:v>
      </x:c>
      <x:c r="E3522" s="30" t="str">
        <x:v>按执行角色权限读取；策略只能使用可访问快照</x:v>
      </x:c>
    </x:row>
    <x:row r="3523" ht="32" customHeight="1">
      <x:c r="A3523" s="30" t="str">
        <x:v>A041</x:v>
      </x:c>
      <x:c r="B3523" s="30" t="str">
        <x:v>F291</x:v>
      </x:c>
      <x:c r="C3523" s="30" t="str">
        <x:v>message.correlation_id</x:v>
      </x:c>
      <x:c r="D3523" s="30" t="str">
        <x:v>候选输入schema</x:v>
      </x:c>
      <x:c r="E3523" s="30" t="str">
        <x:v>按执行角色权限读取；策略只能使用可访问快照</x:v>
      </x:c>
    </x:row>
    <x:row r="3524" ht="32" customHeight="1">
      <x:c r="A3524" s="30" t="str">
        <x:v>A041</x:v>
      </x:c>
      <x:c r="B3524" s="30" t="str">
        <x:v>F292</x:v>
      </x:c>
      <x:c r="C3524" s="30" t="str">
        <x:v>message.local_availability</x:v>
      </x:c>
      <x:c r="D3524" s="30" t="str">
        <x:v>候选输入schema</x:v>
      </x:c>
      <x:c r="E3524" s="30" t="str">
        <x:v>按执行角色权限读取；策略只能使用可访问快照</x:v>
      </x:c>
    </x:row>
    <x:row r="3525" ht="32" customHeight="1">
      <x:c r="A3525" s="30" t="str">
        <x:v>A041</x:v>
      </x:c>
      <x:c r="B3525" s="30" t="str">
        <x:v>F349</x:v>
      </x:c>
      <x:c r="C3525" s="30" t="str">
        <x:v>cache.owner_id</x:v>
      </x:c>
      <x:c r="D3525" s="30" t="str">
        <x:v>候选输入schema</x:v>
      </x:c>
      <x:c r="E3525" s="30" t="str">
        <x:v>按执行角色权限读取；策略只能使用可访问快照</x:v>
      </x:c>
    </x:row>
    <x:row r="3526" ht="32" customHeight="1">
      <x:c r="A3526" s="30" t="str">
        <x:v>A041</x:v>
      </x:c>
      <x:c r="B3526" s="30" t="str">
        <x:v>F350</x:v>
      </x:c>
      <x:c r="C3526" s="30" t="str">
        <x:v>cache.kind</x:v>
      </x:c>
      <x:c r="D3526" s="30" t="str">
        <x:v>候选输入schema</x:v>
      </x:c>
      <x:c r="E3526" s="30" t="str">
        <x:v>按执行角色权限读取；策略只能使用可访问快照</x:v>
      </x:c>
    </x:row>
    <x:row r="3527" ht="32" customHeight="1">
      <x:c r="A3527" s="30" t="str">
        <x:v>A041</x:v>
      </x:c>
      <x:c r="B3527" s="30" t="str">
        <x:v>F351</x:v>
      </x:c>
      <x:c r="C3527" s="30" t="str">
        <x:v>cache.model_version</x:v>
      </x:c>
      <x:c r="D3527" s="30" t="str">
        <x:v>候选输入schema</x:v>
      </x:c>
      <x:c r="E3527" s="30" t="str">
        <x:v>按执行角色权限读取；策略只能使用可访问快照</x:v>
      </x:c>
    </x:row>
    <x:row r="3528" ht="32" customHeight="1">
      <x:c r="A3528" s="30" t="str">
        <x:v>A041</x:v>
      </x:c>
      <x:c r="B3528" s="30" t="str">
        <x:v>F352</x:v>
      </x:c>
      <x:c r="C3528" s="30" t="str">
        <x:v>cache.content_ids</x:v>
      </x:c>
      <x:c r="D3528" s="30" t="str">
        <x:v>候选输入schema</x:v>
      </x:c>
      <x:c r="E3528" s="30" t="str">
        <x:v>按执行角色权限读取；策略只能使用可访问快照</x:v>
      </x:c>
    </x:row>
    <x:row r="3529" ht="32" customHeight="1">
      <x:c r="A3529" s="30" t="str">
        <x:v>A041</x:v>
      </x:c>
      <x:c r="B3529" s="30" t="str">
        <x:v>F353</x:v>
      </x:c>
      <x:c r="C3529" s="30" t="str">
        <x:v>cache.size_bytes</x:v>
      </x:c>
      <x:c r="D3529" s="30" t="str">
        <x:v>候选输入schema</x:v>
      </x:c>
      <x:c r="E3529" s="30" t="str">
        <x:v>按执行角色权限读取；策略只能使用可访问快照</x:v>
      </x:c>
    </x:row>
    <x:row r="3530" ht="32" customHeight="1">
      <x:c r="A3530" s="30" t="str">
        <x:v>A041</x:v>
      </x:c>
      <x:c r="B3530" s="30" t="str">
        <x:v>F354</x:v>
      </x:c>
      <x:c r="C3530" s="30" t="str">
        <x:v>cache.location</x:v>
      </x:c>
      <x:c r="D3530" s="30" t="str">
        <x:v>候选输入schema</x:v>
      </x:c>
      <x:c r="E3530" s="30" t="str">
        <x:v>按执行角色权限读取；策略只能使用可访问快照</x:v>
      </x:c>
    </x:row>
    <x:row r="3531" ht="32" customHeight="1">
      <x:c r="A3531" s="30" t="str">
        <x:v>A041</x:v>
      </x:c>
      <x:c r="B3531" s="30" t="str">
        <x:v>F355</x:v>
      </x:c>
      <x:c r="C3531" s="30" t="str">
        <x:v>cache.valid_until_s</x:v>
      </x:c>
      <x:c r="D3531" s="30" t="str">
        <x:v>候选输入schema</x:v>
      </x:c>
      <x:c r="E3531" s="30" t="str">
        <x:v>按执行角色权限读取；策略只能使用可访问快照</x:v>
      </x:c>
    </x:row>
    <x:row r="3532" ht="32" customHeight="1">
      <x:c r="A3532" s="30" t="str">
        <x:v>A041</x:v>
      </x:c>
      <x:c r="B3532" s="30" t="str">
        <x:v>F356</x:v>
      </x:c>
      <x:c r="C3532" s="30" t="str">
        <x:v>cache.reuse_compatible</x:v>
      </x:c>
      <x:c r="D3532" s="30" t="str">
        <x:v>候选输入schema</x:v>
      </x:c>
      <x:c r="E3532" s="30" t="str">
        <x:v>按执行角色权限读取；策略只能使用可访问快照</x:v>
      </x:c>
    </x:row>
    <x:row r="3533" ht="32" customHeight="1">
      <x:c r="A3533" s="30" t="str">
        <x:v>A041</x:v>
      </x:c>
      <x:c r="B3533" s="30" t="str">
        <x:v>F357</x:v>
      </x:c>
      <x:c r="C3533" s="30" t="str">
        <x:v>cache.hit_count</x:v>
      </x:c>
      <x:c r="D3533" s="30" t="str">
        <x:v>候选输入schema</x:v>
      </x:c>
      <x:c r="E3533" s="30" t="str">
        <x:v>按执行角色权限读取；策略只能使用可访问快照</x:v>
      </x:c>
    </x:row>
    <x:row r="3534" ht="32" customHeight="1">
      <x:c r="A3534" s="30" t="str">
        <x:v>A041</x:v>
      </x:c>
      <x:c r="B3534" s="30" t="str">
        <x:v>F358</x:v>
      </x:c>
      <x:c r="C3534" s="30" t="str">
        <x:v>cache.eviction_state</x:v>
      </x:c>
      <x:c r="D3534" s="30" t="str">
        <x:v>候选输入schema</x:v>
      </x:c>
      <x:c r="E3534" s="30" t="str">
        <x:v>按执行角色权限读取；策略只能使用可访问快照</x:v>
      </x:c>
    </x:row>
    <x:row r="3535" ht="32" customHeight="1">
      <x:c r="A3535" s="30" t="str">
        <x:v>A041</x:v>
      </x:c>
      <x:c r="B3535" s="30" t="str">
        <x:v>F188</x:v>
      </x:c>
      <x:c r="C3535" s="30" t="str">
        <x:v>belief.evidence_ids</x:v>
      </x:c>
      <x:c r="D3535" s="30" t="str">
        <x:v>直接效果</x:v>
      </x:c>
      <x:c r="E3535" s="30" t="str">
        <x:v>经实际执行/回执提交；不是规划时提前修改</x:v>
      </x:c>
    </x:row>
    <x:row r="3536" ht="32" customHeight="1">
      <x:c r="A3536" s="30" t="str">
        <x:v>A041</x:v>
      </x:c>
      <x:c r="B3536" s="30" t="str">
        <x:v>F190</x:v>
      </x:c>
      <x:c r="C3536" s="30" t="str">
        <x:v>belief.updated_at_s</x:v>
      </x:c>
      <x:c r="D3536" s="30" t="str">
        <x:v>直接效果</x:v>
      </x:c>
      <x:c r="E3536" s="30" t="str">
        <x:v>经实际执行/回执提交；不是规划时提前修改</x:v>
      </x:c>
    </x:row>
    <x:row r="3537" ht="32" customHeight="1">
      <x:c r="A3537" s="30" t="str">
        <x:v>A041</x:v>
      </x:c>
      <x:c r="B3537" s="30" t="str">
        <x:v>F193</x:v>
      </x:c>
      <x:c r="C3537" s="30" t="str">
        <x:v>belief.team_estimates</x:v>
      </x:c>
      <x:c r="D3537" s="30" t="str">
        <x:v>直接效果</x:v>
      </x:c>
      <x:c r="E3537" s="30" t="str">
        <x:v>经实际执行/回执提交；不是规划时提前修改</x:v>
      </x:c>
    </x:row>
    <x:row r="3538" ht="32" customHeight="1">
      <x:c r="A3538" s="30" t="str">
        <x:v>A041</x:v>
      </x:c>
      <x:c r="B3538" s="30" t="str">
        <x:v>F194</x:v>
      </x:c>
      <x:c r="C3538" s="30" t="str">
        <x:v>belief.search_status</x:v>
      </x:c>
      <x:c r="D3538" s="30" t="str">
        <x:v>直接效果</x:v>
      </x:c>
      <x:c r="E3538" s="30" t="str">
        <x:v>经实际执行/回执提交；不是规划时提前修改</x:v>
      </x:c>
    </x:row>
    <x:row r="3539" ht="32" customHeight="1">
      <x:c r="A3539" s="30" t="str">
        <x:v>A041</x:v>
      </x:c>
      <x:c r="B3539" s="30" t="str">
        <x:v>F195</x:v>
      </x:c>
      <x:c r="C3539" s="30" t="str">
        <x:v>belief.current_goal_context</x:v>
      </x:c>
      <x:c r="D3539" s="30" t="str">
        <x:v>直接效果</x:v>
      </x:c>
      <x:c r="E3539" s="30" t="str">
        <x:v>经实际执行/回执提交；不是规划时提前修改</x:v>
      </x:c>
    </x:row>
    <x:row r="3540" ht="32" customHeight="1">
      <x:c r="A3540" s="30" t="str">
        <x:v>A042</x:v>
      </x:c>
      <x:c r="B3540" s="30" t="str">
        <x:v>F196</x:v>
      </x:c>
      <x:c r="C3540" s="30" t="str">
        <x:v>task.type</x:v>
      </x:c>
      <x:c r="D3540" s="30" t="str">
        <x:v>候选输入schema</x:v>
      </x:c>
      <x:c r="E3540" s="30" t="str">
        <x:v>按执行角色权限读取；策略只能使用可访问快照</x:v>
      </x:c>
    </x:row>
    <x:row r="3541" ht="32" customHeight="1">
      <x:c r="A3541" s="30" t="str">
        <x:v>A042</x:v>
      </x:c>
      <x:c r="B3541" s="30" t="str">
        <x:v>F197</x:v>
      </x:c>
      <x:c r="C3541" s="30" t="str">
        <x:v>task.creator_id</x:v>
      </x:c>
      <x:c r="D3541" s="30" t="str">
        <x:v>候选输入schema</x:v>
      </x:c>
      <x:c r="E3541" s="30" t="str">
        <x:v>按执行角色权限读取；策略只能使用可访问快照</x:v>
      </x:c>
    </x:row>
    <x:row r="3542" ht="32" customHeight="1">
      <x:c r="A3542" s="30" t="str">
        <x:v>A042</x:v>
      </x:c>
      <x:c r="B3542" s="30" t="str">
        <x:v>F198</x:v>
      </x:c>
      <x:c r="C3542" s="30" t="str">
        <x:v>task.target_ref</x:v>
      </x:c>
      <x:c r="D3542" s="30" t="str">
        <x:v>候选输入schema</x:v>
      </x:c>
      <x:c r="E3542" s="30" t="str">
        <x:v>按执行角色权限读取；策略只能使用可访问快照</x:v>
      </x:c>
    </x:row>
    <x:row r="3543" ht="32" customHeight="1">
      <x:c r="A3543" s="30" t="str">
        <x:v>A042</x:v>
      </x:c>
      <x:c r="B3543" s="30" t="str">
        <x:v>F199</x:v>
      </x:c>
      <x:c r="C3543" s="30" t="str">
        <x:v>task.goal_predicate</x:v>
      </x:c>
      <x:c r="D3543" s="30" t="str">
        <x:v>候选输入schema</x:v>
      </x:c>
      <x:c r="E3543" s="30" t="str">
        <x:v>按执行角色权限读取；策略只能使用可访问快照</x:v>
      </x:c>
    </x:row>
    <x:row r="3544" ht="32" customHeight="1">
      <x:c r="A3544" s="30" t="str">
        <x:v>A042</x:v>
      </x:c>
      <x:c r="B3544" s="30" t="str">
        <x:v>F200</x:v>
      </x:c>
      <x:c r="C3544" s="30" t="str">
        <x:v>task.revision</x:v>
      </x:c>
      <x:c r="D3544" s="30" t="str">
        <x:v>候选输入schema</x:v>
      </x:c>
      <x:c r="E3544" s="30" t="str">
        <x:v>按执行角色权限读取；策略只能使用可访问快照</x:v>
      </x:c>
    </x:row>
    <x:row r="3545" ht="32" customHeight="1">
      <x:c r="A3545" s="30" t="str">
        <x:v>A042</x:v>
      </x:c>
      <x:c r="B3545" s="30" t="str">
        <x:v>F201</x:v>
      </x:c>
      <x:c r="C3545" s="30" t="str">
        <x:v>task.status</x:v>
      </x:c>
      <x:c r="D3545" s="30" t="str">
        <x:v>候选输入schema</x:v>
      </x:c>
      <x:c r="E3545" s="30" t="str">
        <x:v>按执行角色权限读取；策略只能使用可访问快照</x:v>
      </x:c>
    </x:row>
    <x:row r="3546" ht="32" customHeight="1">
      <x:c r="A3546" s="30" t="str">
        <x:v>A042</x:v>
      </x:c>
      <x:c r="B3546" s="30" t="str">
        <x:v>F202</x:v>
      </x:c>
      <x:c r="C3546" s="30" t="str">
        <x:v>task.priority</x:v>
      </x:c>
      <x:c r="D3546" s="30" t="str">
        <x:v>候选输入schema</x:v>
      </x:c>
      <x:c r="E3546" s="30" t="str">
        <x:v>按执行角色权限读取；策略只能使用可访问快照</x:v>
      </x:c>
    </x:row>
    <x:row r="3547" ht="32" customHeight="1">
      <x:c r="A3547" s="30" t="str">
        <x:v>A042</x:v>
      </x:c>
      <x:c r="B3547" s="30" t="str">
        <x:v>F203</x:v>
      </x:c>
      <x:c r="C3547" s="30" t="str">
        <x:v>task.deadline_s</x:v>
      </x:c>
      <x:c r="D3547" s="30" t="str">
        <x:v>候选输入schema</x:v>
      </x:c>
      <x:c r="E3547" s="30" t="str">
        <x:v>按执行角色权限读取；策略只能使用可访问快照</x:v>
      </x:c>
    </x:row>
    <x:row r="3548" ht="32" customHeight="1">
      <x:c r="A3548" s="30" t="str">
        <x:v>A042</x:v>
      </x:c>
      <x:c r="B3548" s="30" t="str">
        <x:v>F204</x:v>
      </x:c>
      <x:c r="C3548" s="30" t="str">
        <x:v>task.dependency_ids</x:v>
      </x:c>
      <x:c r="D3548" s="30" t="str">
        <x:v>候选输入schema</x:v>
      </x:c>
      <x:c r="E3548" s="30" t="str">
        <x:v>按执行角色权限读取；策略只能使用可访问快照</x:v>
      </x:c>
    </x:row>
    <x:row r="3549" ht="32" customHeight="1">
      <x:c r="A3549" s="30" t="str">
        <x:v>A042</x:v>
      </x:c>
      <x:c r="B3549" s="30" t="str">
        <x:v>F205</x:v>
      </x:c>
      <x:c r="C3549" s="30" t="str">
        <x:v>task.required_capability_ids</x:v>
      </x:c>
      <x:c r="D3549" s="30" t="str">
        <x:v>候选输入schema</x:v>
      </x:c>
      <x:c r="E3549" s="30" t="str">
        <x:v>按执行角色权限读取；策略只能使用可访问快照</x:v>
      </x:c>
    </x:row>
    <x:row r="3550" ht="32" customHeight="1">
      <x:c r="A3550" s="30" t="str">
        <x:v>A042</x:v>
      </x:c>
      <x:c r="B3550" s="30" t="str">
        <x:v>F206</x:v>
      </x:c>
      <x:c r="C3550" s="30" t="str">
        <x:v>task.resource_budget</x:v>
      </x:c>
      <x:c r="D3550" s="30" t="str">
        <x:v>候选输入schema</x:v>
      </x:c>
      <x:c r="E3550" s="30" t="str">
        <x:v>按执行角色权限读取；策略只能使用可访问快照</x:v>
      </x:c>
    </x:row>
    <x:row r="3551" ht="32" customHeight="1">
      <x:c r="A3551" s="30" t="str">
        <x:v>A042</x:v>
      </x:c>
      <x:c r="B3551" s="30" t="str">
        <x:v>F207</x:v>
      </x:c>
      <x:c r="C3551" s="30" t="str">
        <x:v>task.assigned_to</x:v>
      </x:c>
      <x:c r="D3551" s="30" t="str">
        <x:v>候选输入schema</x:v>
      </x:c>
      <x:c r="E3551" s="30" t="str">
        <x:v>按执行角色权限读取；策略只能使用可访问快照</x:v>
      </x:c>
    </x:row>
    <x:row r="3552" ht="32" customHeight="1">
      <x:c r="A3552" s="30" t="str">
        <x:v>A042</x:v>
      </x:c>
      <x:c r="B3552" s="30" t="str">
        <x:v>F208</x:v>
      </x:c>
      <x:c r="C3552" s="30" t="str">
        <x:v>task.accepted_by</x:v>
      </x:c>
      <x:c r="D3552" s="30" t="str">
        <x:v>候选输入schema</x:v>
      </x:c>
      <x:c r="E3552" s="30" t="str">
        <x:v>按执行角色权限读取；策略只能使用可访问快照</x:v>
      </x:c>
    </x:row>
    <x:row r="3553" ht="32" customHeight="1">
      <x:c r="A3553" s="30" t="str">
        <x:v>A042</x:v>
      </x:c>
      <x:c r="B3553" s="30" t="str">
        <x:v>F209</x:v>
      </x:c>
      <x:c r="C3553" s="30" t="str">
        <x:v>task.commitment_window</x:v>
      </x:c>
      <x:c r="D3553" s="30" t="str">
        <x:v>候选输入schema</x:v>
      </x:c>
      <x:c r="E3553" s="30" t="str">
        <x:v>按执行角色权限读取；策略只能使用可访问快照</x:v>
      </x:c>
    </x:row>
    <x:row r="3554" ht="32" customHeight="1">
      <x:c r="A3554" s="30" t="str">
        <x:v>A042</x:v>
      </x:c>
      <x:c r="B3554" s="30" t="str">
        <x:v>F210</x:v>
      </x:c>
      <x:c r="C3554" s="30" t="str">
        <x:v>task.progress</x:v>
      </x:c>
      <x:c r="D3554" s="30" t="str">
        <x:v>候选输入schema</x:v>
      </x:c>
      <x:c r="E3554" s="30" t="str">
        <x:v>按执行角色权限读取；策略只能使用可访问快照</x:v>
      </x:c>
    </x:row>
    <x:row r="3555" ht="32" customHeight="1">
      <x:c r="A3555" s="30" t="str">
        <x:v>A042</x:v>
      </x:c>
      <x:c r="B3555" s="30" t="str">
        <x:v>F211</x:v>
      </x:c>
      <x:c r="C3555" s="30" t="str">
        <x:v>task.active_action_ids</x:v>
      </x:c>
      <x:c r="D3555" s="30" t="str">
        <x:v>候选输入schema</x:v>
      </x:c>
      <x:c r="E3555" s="30" t="str">
        <x:v>按执行角色权限读取；策略只能使用可访问快照</x:v>
      </x:c>
    </x:row>
    <x:row r="3556" ht="32" customHeight="1">
      <x:c r="A3556" s="30" t="str">
        <x:v>A042</x:v>
      </x:c>
      <x:c r="B3556" s="30" t="str">
        <x:v>F212</x:v>
      </x:c>
      <x:c r="C3556" s="30" t="str">
        <x:v>task.interruptibility</x:v>
      </x:c>
      <x:c r="D3556" s="30" t="str">
        <x:v>候选输入schema</x:v>
      </x:c>
      <x:c r="E3556" s="30" t="str">
        <x:v>按执行角色权限读取；策略只能使用可访问快照</x:v>
      </x:c>
    </x:row>
    <x:row r="3557" ht="32" customHeight="1">
      <x:c r="A3557" s="30" t="str">
        <x:v>A042</x:v>
      </x:c>
      <x:c r="B3557" s="30" t="str">
        <x:v>F213</x:v>
      </x:c>
      <x:c r="C3557" s="30" t="str">
        <x:v>task.original_task_id</x:v>
      </x:c>
      <x:c r="D3557" s="30" t="str">
        <x:v>候选输入schema</x:v>
      </x:c>
      <x:c r="E3557" s="30" t="str">
        <x:v>按执行角色权限读取；策略只能使用可访问快照</x:v>
      </x:c>
    </x:row>
    <x:row r="3558" ht="32" customHeight="1">
      <x:c r="A3558" s="30" t="str">
        <x:v>A042</x:v>
      </x:c>
      <x:c r="B3558" s="30" t="str">
        <x:v>F214</x:v>
      </x:c>
      <x:c r="C3558" s="30" t="str">
        <x:v>task.resume_checkpoint</x:v>
      </x:c>
      <x:c r="D3558" s="30" t="str">
        <x:v>候选输入schema</x:v>
      </x:c>
      <x:c r="E3558" s="30" t="str">
        <x:v>按执行角色权限读取；策略只能使用可访问快照</x:v>
      </x:c>
    </x:row>
    <x:row r="3559" ht="32" customHeight="1">
      <x:c r="A3559" s="30" t="str">
        <x:v>A042</x:v>
      </x:c>
      <x:c r="B3559" s="30" t="str">
        <x:v>F215</x:v>
      </x:c>
      <x:c r="C3559" s="30" t="str">
        <x:v>task.handoff_target_id</x:v>
      </x:c>
      <x:c r="D3559" s="30" t="str">
        <x:v>候选输入schema</x:v>
      </x:c>
      <x:c r="E3559" s="30" t="str">
        <x:v>按执行角色权限读取；策略只能使用可访问快照</x:v>
      </x:c>
    </x:row>
    <x:row r="3560" ht="32" customHeight="1">
      <x:c r="A3560" s="30" t="str">
        <x:v>A042</x:v>
      </x:c>
      <x:c r="B3560" s="30" t="str">
        <x:v>F216</x:v>
      </x:c>
      <x:c r="C3560" s="30" t="str">
        <x:v>task.result_evidence_ids</x:v>
      </x:c>
      <x:c r="D3560" s="30" t="str">
        <x:v>候选输入schema</x:v>
      </x:c>
      <x:c r="E3560" s="30" t="str">
        <x:v>按执行角色权限读取；策略只能使用可访问快照</x:v>
      </x:c>
    </x:row>
    <x:row r="3561" ht="32" customHeight="1">
      <x:c r="A3561" s="30" t="str">
        <x:v>A042</x:v>
      </x:c>
      <x:c r="B3561" s="30" t="str">
        <x:v>F217</x:v>
      </x:c>
      <x:c r="C3561" s="30" t="str">
        <x:v>task.failure_reason</x:v>
      </x:c>
      <x:c r="D3561" s="30" t="str">
        <x:v>候选输入schema</x:v>
      </x:c>
      <x:c r="E3561" s="30" t="str">
        <x:v>按执行角色权限读取；策略只能使用可访问快照</x:v>
      </x:c>
    </x:row>
    <x:row r="3562" ht="32" customHeight="1">
      <x:c r="A3562" s="30" t="str">
        <x:v>A042</x:v>
      </x:c>
      <x:c r="B3562" s="30" t="str">
        <x:v>F218</x:v>
      </x:c>
      <x:c r="C3562" s="30" t="str">
        <x:v>task.last_event_s</x:v>
      </x:c>
      <x:c r="D3562" s="30" t="str">
        <x:v>候选输入schema</x:v>
      </x:c>
      <x:c r="E3562" s="30" t="str">
        <x:v>按执行角色权限读取；策略只能使用可访问快照</x:v>
      </x:c>
    </x:row>
    <x:row r="3563" ht="32" customHeight="1">
      <x:c r="A3563" s="30" t="str">
        <x:v>A042</x:v>
      </x:c>
      <x:c r="B3563" s="30" t="str">
        <x:v>F219</x:v>
      </x:c>
      <x:c r="C3563" s="30" t="str">
        <x:v>task.opportunity_cost</x:v>
      </x:c>
      <x:c r="D3563" s="30" t="str">
        <x:v>候选输入schema</x:v>
      </x:c>
      <x:c r="E3563" s="30" t="str">
        <x:v>按执行角色权限读取；策略只能使用可访问快照</x:v>
      </x:c>
    </x:row>
    <x:row r="3564" ht="32" customHeight="1">
      <x:c r="A3564" s="30" t="str">
        <x:v>A042</x:v>
      </x:c>
      <x:c r="B3564" s="30" t="str">
        <x:v>F262</x:v>
      </x:c>
      <x:c r="C3564" s="30" t="str">
        <x:v>link.sender_id</x:v>
      </x:c>
      <x:c r="D3564" s="30" t="str">
        <x:v>候选输入schema</x:v>
      </x:c>
      <x:c r="E3564" s="30" t="str">
        <x:v>按执行角色权限读取；策略只能使用可访问快照</x:v>
      </x:c>
    </x:row>
    <x:row r="3565" ht="32" customHeight="1">
      <x:c r="A3565" s="30" t="str">
        <x:v>A042</x:v>
      </x:c>
      <x:c r="B3565" s="30" t="str">
        <x:v>F263</x:v>
      </x:c>
      <x:c r="C3565" s="30" t="str">
        <x:v>link.receiver_id</x:v>
      </x:c>
      <x:c r="D3565" s="30" t="str">
        <x:v>候选输入schema</x:v>
      </x:c>
      <x:c r="E3565" s="30" t="str">
        <x:v>按执行角色权限读取；策略只能使用可访问快照</x:v>
      </x:c>
    </x:row>
    <x:row r="3566" ht="32" customHeight="1">
      <x:c r="A3566" s="30" t="str">
        <x:v>A042</x:v>
      </x:c>
      <x:c r="B3566" s="30" t="str">
        <x:v>F264</x:v>
      </x:c>
      <x:c r="C3566" s="30" t="str">
        <x:v>link.state</x:v>
      </x:c>
      <x:c r="D3566" s="30" t="str">
        <x:v>候选输入schema</x:v>
      </x:c>
      <x:c r="E3566" s="30" t="str">
        <x:v>按执行角色权限读取；策略只能使用可访问快照</x:v>
      </x:c>
    </x:row>
    <x:row r="3567" ht="32" customHeight="1">
      <x:c r="A3567" s="30" t="str">
        <x:v>A042</x:v>
      </x:c>
      <x:c r="B3567" s="30" t="str">
        <x:v>F265</x:v>
      </x:c>
      <x:c r="C3567" s="30" t="str">
        <x:v>link.rssi_dbm</x:v>
      </x:c>
      <x:c r="D3567" s="30" t="str">
        <x:v>候选输入schema</x:v>
      </x:c>
      <x:c r="E3567" s="30" t="str">
        <x:v>按执行角色权限读取；策略只能使用可访问快照</x:v>
      </x:c>
    </x:row>
    <x:row r="3568" ht="32" customHeight="1">
      <x:c r="A3568" s="30" t="str">
        <x:v>A042</x:v>
      </x:c>
      <x:c r="B3568" s="30" t="str">
        <x:v>F266</x:v>
      </x:c>
      <x:c r="C3568" s="30" t="str">
        <x:v>link.sinr_db</x:v>
      </x:c>
      <x:c r="D3568" s="30" t="str">
        <x:v>候选输入schema</x:v>
      </x:c>
      <x:c r="E3568" s="30" t="str">
        <x:v>按执行角色权限读取；策略只能使用可访问快照</x:v>
      </x:c>
    </x:row>
    <x:row r="3569" ht="32" customHeight="1">
      <x:c r="A3569" s="30" t="str">
        <x:v>A042</x:v>
      </x:c>
      <x:c r="B3569" s="30" t="str">
        <x:v>F267</x:v>
      </x:c>
      <x:c r="C3569" s="30" t="str">
        <x:v>link.goodput_bps</x:v>
      </x:c>
      <x:c r="D3569" s="30" t="str">
        <x:v>候选输入schema</x:v>
      </x:c>
      <x:c r="E3569" s="30" t="str">
        <x:v>按执行角色权限读取；策略只能使用可访问快照</x:v>
      </x:c>
    </x:row>
    <x:row r="3570" ht="32" customHeight="1">
      <x:c r="A3570" s="30" t="str">
        <x:v>A042</x:v>
      </x:c>
      <x:c r="B3570" s="30" t="str">
        <x:v>F268</x:v>
      </x:c>
      <x:c r="C3570" s="30" t="str">
        <x:v>link.latency_s</x:v>
      </x:c>
      <x:c r="D3570" s="30" t="str">
        <x:v>候选输入schema</x:v>
      </x:c>
      <x:c r="E3570" s="30" t="str">
        <x:v>按执行角色权限读取；策略只能使用可访问快照</x:v>
      </x:c>
    </x:row>
    <x:row r="3571" ht="32" customHeight="1">
      <x:c r="A3571" s="30" t="str">
        <x:v>A042</x:v>
      </x:c>
      <x:c r="B3571" s="30" t="str">
        <x:v>F269</x:v>
      </x:c>
      <x:c r="C3571" s="30" t="str">
        <x:v>link.loss_rate</x:v>
      </x:c>
      <x:c r="D3571" s="30" t="str">
        <x:v>候选输入schema</x:v>
      </x:c>
      <x:c r="E3571" s="30" t="str">
        <x:v>按执行角色权限读取；策略只能使用可访问快照</x:v>
      </x:c>
    </x:row>
    <x:row r="3572" ht="32" customHeight="1">
      <x:c r="A3572" s="30" t="str">
        <x:v>A042</x:v>
      </x:c>
      <x:c r="B3572" s="30" t="str">
        <x:v>F270</x:v>
      </x:c>
      <x:c r="C3572" s="30" t="str">
        <x:v>link.sample_count</x:v>
      </x:c>
      <x:c r="D3572" s="30" t="str">
        <x:v>候选输入schema</x:v>
      </x:c>
      <x:c r="E3572" s="30" t="str">
        <x:v>按执行角色权限读取；策略只能使用可访问快照</x:v>
      </x:c>
    </x:row>
    <x:row r="3573" ht="32" customHeight="1">
      <x:c r="A3573" s="30" t="str">
        <x:v>A042</x:v>
      </x:c>
      <x:c r="B3573" s="30" t="str">
        <x:v>F271</x:v>
      </x:c>
      <x:c r="C3573" s="30" t="str">
        <x:v>link.sampled_at_s</x:v>
      </x:c>
      <x:c r="D3573" s="30" t="str">
        <x:v>候选输入schema</x:v>
      </x:c>
      <x:c r="E3573" s="30" t="str">
        <x:v>按执行角色权限读取；策略只能使用可访问快照</x:v>
      </x:c>
    </x:row>
    <x:row r="3574" ht="32" customHeight="1">
      <x:c r="A3574" s="30" t="str">
        <x:v>A042</x:v>
      </x:c>
      <x:c r="B3574" s="30" t="str">
        <x:v>F272</x:v>
      </x:c>
      <x:c r="C3574" s="30" t="str">
        <x:v>link.route</x:v>
      </x:c>
      <x:c r="D3574" s="30" t="str">
        <x:v>候选输入schema</x:v>
      </x:c>
      <x:c r="E3574" s="30" t="str">
        <x:v>按执行角色权限读取；策略只能使用可访问快照</x:v>
      </x:c>
    </x:row>
    <x:row r="3575" ht="32" customHeight="1">
      <x:c r="A3575" s="30" t="str">
        <x:v>A042</x:v>
      </x:c>
      <x:c r="B3575" s="30" t="str">
        <x:v>F273</x:v>
      </x:c>
      <x:c r="C3575" s="30" t="str">
        <x:v>link.outage_duration_s</x:v>
      </x:c>
      <x:c r="D3575" s="30" t="str">
        <x:v>候选输入schema</x:v>
      </x:c>
      <x:c r="E3575" s="30" t="str">
        <x:v>按执行角色权限读取；策略只能使用可访问快照</x:v>
      </x:c>
    </x:row>
    <x:row r="3576" ht="32" customHeight="1">
      <x:c r="A3576" s="30" t="str">
        <x:v>A042</x:v>
      </x:c>
      <x:c r="B3576" s="30" t="str">
        <x:v>F274</x:v>
      </x:c>
      <x:c r="C3576" s="30" t="str">
        <x:v>link.quality_source</x:v>
      </x:c>
      <x:c r="D3576" s="30" t="str">
        <x:v>候选输入schema</x:v>
      </x:c>
      <x:c r="E3576" s="30" t="str">
        <x:v>按执行角色权限读取；策略只能使用可访问快照</x:v>
      </x:c>
    </x:row>
    <x:row r="3577" ht="32" customHeight="1">
      <x:c r="A3577" s="30" t="str">
        <x:v>A042</x:v>
      </x:c>
      <x:c r="B3577" s="30" t="str">
        <x:v>F275</x:v>
      </x:c>
      <x:c r="C3577" s="30" t="str">
        <x:v>message.kind</x:v>
      </x:c>
      <x:c r="D3577" s="30" t="str">
        <x:v>候选输入schema</x:v>
      </x:c>
      <x:c r="E3577" s="30" t="str">
        <x:v>按执行角色权限读取；策略只能使用可访问快照</x:v>
      </x:c>
    </x:row>
    <x:row r="3578" ht="32" customHeight="1">
      <x:c r="A3578" s="30" t="str">
        <x:v>A042</x:v>
      </x:c>
      <x:c r="B3578" s="30" t="str">
        <x:v>F276</x:v>
      </x:c>
      <x:c r="C3578" s="30" t="str">
        <x:v>message.sender_id</x:v>
      </x:c>
      <x:c r="D3578" s="30" t="str">
        <x:v>候选输入schema</x:v>
      </x:c>
      <x:c r="E3578" s="30" t="str">
        <x:v>按执行角色权限读取；策略只能使用可访问快照</x:v>
      </x:c>
    </x:row>
    <x:row r="3579" ht="32" customHeight="1">
      <x:c r="A3579" s="30" t="str">
        <x:v>A042</x:v>
      </x:c>
      <x:c r="B3579" s="30" t="str">
        <x:v>F277</x:v>
      </x:c>
      <x:c r="C3579" s="30" t="str">
        <x:v>message.receiver_ids</x:v>
      </x:c>
      <x:c r="D3579" s="30" t="str">
        <x:v>候选输入schema</x:v>
      </x:c>
      <x:c r="E3579" s="30" t="str">
        <x:v>按执行角色权限读取；策略只能使用可访问快照</x:v>
      </x:c>
    </x:row>
    <x:row r="3580" ht="32" customHeight="1">
      <x:c r="A3580" s="30" t="str">
        <x:v>A042</x:v>
      </x:c>
      <x:c r="B3580" s="30" t="str">
        <x:v>F278</x:v>
      </x:c>
      <x:c r="C3580" s="30" t="str">
        <x:v>message.payload_ref</x:v>
      </x:c>
      <x:c r="D3580" s="30" t="str">
        <x:v>候选输入schema</x:v>
      </x:c>
      <x:c r="E3580" s="30" t="str">
        <x:v>按执行角色权限读取；策略只能使用可访问快照</x:v>
      </x:c>
    </x:row>
    <x:row r="3581" ht="32" customHeight="1">
      <x:c r="A3581" s="30" t="str">
        <x:v>A042</x:v>
      </x:c>
      <x:c r="B3581" s="30" t="str">
        <x:v>F279</x:v>
      </x:c>
      <x:c r="C3581" s="30" t="str">
        <x:v>message.size_bytes</x:v>
      </x:c>
      <x:c r="D3581" s="30" t="str">
        <x:v>候选输入schema</x:v>
      </x:c>
      <x:c r="E3581" s="30" t="str">
        <x:v>按执行角色权限读取；策略只能使用可访问快照</x:v>
      </x:c>
    </x:row>
    <x:row r="3582" ht="32" customHeight="1">
      <x:c r="A3582" s="30" t="str">
        <x:v>A042</x:v>
      </x:c>
      <x:c r="B3582" s="30" t="str">
        <x:v>F280</x:v>
      </x:c>
      <x:c r="C3582" s="30" t="str">
        <x:v>message.fragment_count</x:v>
      </x:c>
      <x:c r="D3582" s="30" t="str">
        <x:v>候选输入schema</x:v>
      </x:c>
      <x:c r="E3582" s="30" t="str">
        <x:v>按执行角色权限读取；策略只能使用可访问快照</x:v>
      </x:c>
    </x:row>
    <x:row r="3583" ht="32" customHeight="1">
      <x:c r="A3583" s="30" t="str">
        <x:v>A042</x:v>
      </x:c>
      <x:c r="B3583" s="30" t="str">
        <x:v>F281</x:v>
      </x:c>
      <x:c r="C3583" s="30" t="str">
        <x:v>message.received_fragments</x:v>
      </x:c>
      <x:c r="D3583" s="30" t="str">
        <x:v>候选输入schema</x:v>
      </x:c>
      <x:c r="E3583" s="30" t="str">
        <x:v>按执行角色权限读取；策略只能使用可访问快照</x:v>
      </x:c>
    </x:row>
    <x:row r="3584" ht="32" customHeight="1">
      <x:c r="A3584" s="30" t="str">
        <x:v>A042</x:v>
      </x:c>
      <x:c r="B3584" s="30" t="str">
        <x:v>F282</x:v>
      </x:c>
      <x:c r="C3584" s="30" t="str">
        <x:v>message.content_hash</x:v>
      </x:c>
      <x:c r="D3584" s="30" t="str">
        <x:v>候选输入schema</x:v>
      </x:c>
      <x:c r="E3584" s="30" t="str">
        <x:v>按执行角色权限读取；策略只能使用可访问快照</x:v>
      </x:c>
    </x:row>
    <x:row r="3585" ht="32" customHeight="1">
      <x:c r="A3585" s="30" t="str">
        <x:v>A042</x:v>
      </x:c>
      <x:c r="B3585" s="30" t="str">
        <x:v>F283</x:v>
      </x:c>
      <x:c r="C3585" s="30" t="str">
        <x:v>message.priority</x:v>
      </x:c>
      <x:c r="D3585" s="30" t="str">
        <x:v>候选输入schema</x:v>
      </x:c>
      <x:c r="E3585" s="30" t="str">
        <x:v>按执行角色权限读取；策略只能使用可访问快照</x:v>
      </x:c>
    </x:row>
    <x:row r="3586" ht="32" customHeight="1">
      <x:c r="A3586" s="30" t="str">
        <x:v>A042</x:v>
      </x:c>
      <x:c r="B3586" s="30" t="str">
        <x:v>F284</x:v>
      </x:c>
      <x:c r="C3586" s="30" t="str">
        <x:v>message.ttl_s</x:v>
      </x:c>
      <x:c r="D3586" s="30" t="str">
        <x:v>候选输入schema</x:v>
      </x:c>
      <x:c r="E3586" s="30" t="str">
        <x:v>按执行角色权限读取；策略只能使用可访问快照</x:v>
      </x:c>
    </x:row>
    <x:row r="3587" ht="32" customHeight="1">
      <x:c r="A3587" s="30" t="str">
        <x:v>A042</x:v>
      </x:c>
      <x:c r="B3587" s="30" t="str">
        <x:v>F285</x:v>
      </x:c>
      <x:c r="C3587" s="30" t="str">
        <x:v>message.status</x:v>
      </x:c>
      <x:c r="D3587" s="30" t="str">
        <x:v>候选输入schema</x:v>
      </x:c>
      <x:c r="E3587" s="30" t="str">
        <x:v>按执行角色权限读取；策略只能使用可访问快照</x:v>
      </x:c>
    </x:row>
    <x:row r="3588" ht="32" customHeight="1">
      <x:c r="A3588" s="30" t="str">
        <x:v>A042</x:v>
      </x:c>
      <x:c r="B3588" s="30" t="str">
        <x:v>F286</x:v>
      </x:c>
      <x:c r="C3588" s="30" t="str">
        <x:v>message.sent_s</x:v>
      </x:c>
      <x:c r="D3588" s="30" t="str">
        <x:v>候选输入schema</x:v>
      </x:c>
      <x:c r="E3588" s="30" t="str">
        <x:v>按执行角色权限读取；策略只能使用可访问快照</x:v>
      </x:c>
    </x:row>
    <x:row r="3589" ht="32" customHeight="1">
      <x:c r="A3589" s="30" t="str">
        <x:v>A042</x:v>
      </x:c>
      <x:c r="B3589" s="30" t="str">
        <x:v>F287</x:v>
      </x:c>
      <x:c r="C3589" s="30" t="str">
        <x:v>message.delivered_s</x:v>
      </x:c>
      <x:c r="D3589" s="30" t="str">
        <x:v>候选输入schema</x:v>
      </x:c>
      <x:c r="E3589" s="30" t="str">
        <x:v>按执行角色权限读取；策略只能使用可访问快照</x:v>
      </x:c>
    </x:row>
    <x:row r="3590" ht="32" customHeight="1">
      <x:c r="A3590" s="30" t="str">
        <x:v>A042</x:v>
      </x:c>
      <x:c r="B3590" s="30" t="str">
        <x:v>F288</x:v>
      </x:c>
      <x:c r="C3590" s="30" t="str">
        <x:v>message.ack_state</x:v>
      </x:c>
      <x:c r="D3590" s="30" t="str">
        <x:v>候选输入schema</x:v>
      </x:c>
      <x:c r="E3590" s="30" t="str">
        <x:v>按执行角色权限读取；策略只能使用可访问快照</x:v>
      </x:c>
    </x:row>
    <x:row r="3591" ht="32" customHeight="1">
      <x:c r="A3591" s="30" t="str">
        <x:v>A042</x:v>
      </x:c>
      <x:c r="B3591" s="30" t="str">
        <x:v>F289</x:v>
      </x:c>
      <x:c r="C3591" s="30" t="str">
        <x:v>message.retry_count</x:v>
      </x:c>
      <x:c r="D3591" s="30" t="str">
        <x:v>候选输入schema</x:v>
      </x:c>
      <x:c r="E3591" s="30" t="str">
        <x:v>按执行角色权限读取；策略只能使用可访问快照</x:v>
      </x:c>
    </x:row>
    <x:row r="3592" ht="32" customHeight="1">
      <x:c r="A3592" s="30" t="str">
        <x:v>A042</x:v>
      </x:c>
      <x:c r="B3592" s="30" t="str">
        <x:v>F290</x:v>
      </x:c>
      <x:c r="C3592" s="30" t="str">
        <x:v>message.hop_trace</x:v>
      </x:c>
      <x:c r="D3592" s="30" t="str">
        <x:v>候选输入schema</x:v>
      </x:c>
      <x:c r="E3592" s="30" t="str">
        <x:v>按执行角色权限读取；策略只能使用可访问快照</x:v>
      </x:c>
    </x:row>
    <x:row r="3593" ht="32" customHeight="1">
      <x:c r="A3593" s="30" t="str">
        <x:v>A042</x:v>
      </x:c>
      <x:c r="B3593" s="30" t="str">
        <x:v>F291</x:v>
      </x:c>
      <x:c r="C3593" s="30" t="str">
        <x:v>message.correlation_id</x:v>
      </x:c>
      <x:c r="D3593" s="30" t="str">
        <x:v>候选输入schema</x:v>
      </x:c>
      <x:c r="E3593" s="30" t="str">
        <x:v>按执行角色权限读取；策略只能使用可访问快照</x:v>
      </x:c>
    </x:row>
    <x:row r="3594" ht="32" customHeight="1">
      <x:c r="A3594" s="30" t="str">
        <x:v>A042</x:v>
      </x:c>
      <x:c r="B3594" s="30" t="str">
        <x:v>F292</x:v>
      </x:c>
      <x:c r="C3594" s="30" t="str">
        <x:v>message.local_availability</x:v>
      </x:c>
      <x:c r="D3594" s="30" t="str">
        <x:v>候选输入schema</x:v>
      </x:c>
      <x:c r="E3594" s="30" t="str">
        <x:v>按执行角色权限读取；策略只能使用可访问快照</x:v>
      </x:c>
    </x:row>
    <x:row r="3595" ht="32" customHeight="1">
      <x:c r="A3595" s="30" t="str">
        <x:v>A042</x:v>
      </x:c>
      <x:c r="B3595" s="30" t="str">
        <x:v>F293</x:v>
      </x:c>
      <x:c r="C3595" s="30" t="str">
        <x:v>compute.node_id</x:v>
      </x:c>
      <x:c r="D3595" s="30" t="str">
        <x:v>候选输入schema</x:v>
      </x:c>
      <x:c r="E3595" s="30" t="str">
        <x:v>按执行角色权限读取；策略只能使用可访问快照</x:v>
      </x:c>
    </x:row>
    <x:row r="3596" ht="32" customHeight="1">
      <x:c r="A3596" s="30" t="str">
        <x:v>A042</x:v>
      </x:c>
      <x:c r="B3596" s="30" t="str">
        <x:v>F294</x:v>
      </x:c>
      <x:c r="C3596" s="30" t="str">
        <x:v>compute.device_kind</x:v>
      </x:c>
      <x:c r="D3596" s="30" t="str">
        <x:v>候选输入schema</x:v>
      </x:c>
      <x:c r="E3596" s="30" t="str">
        <x:v>按执行角色权限读取；策略只能使用可访问快照</x:v>
      </x:c>
    </x:row>
    <x:row r="3597" ht="32" customHeight="1">
      <x:c r="A3597" s="30" t="str">
        <x:v>A042</x:v>
      </x:c>
      <x:c r="B3597" s="30" t="str">
        <x:v>F295</x:v>
      </x:c>
      <x:c r="C3597" s="30" t="str">
        <x:v>compute.cpu_capacity</x:v>
      </x:c>
      <x:c r="D3597" s="30" t="str">
        <x:v>候选输入schema</x:v>
      </x:c>
      <x:c r="E3597" s="30" t="str">
        <x:v>按执行角色权限读取；策略只能使用可访问快照</x:v>
      </x:c>
    </x:row>
    <x:row r="3598" ht="32" customHeight="1">
      <x:c r="A3598" s="30" t="str">
        <x:v>A042</x:v>
      </x:c>
      <x:c r="B3598" s="30" t="str">
        <x:v>F296</x:v>
      </x:c>
      <x:c r="C3598" s="30" t="str">
        <x:v>compute.accelerator_capacity</x:v>
      </x:c>
      <x:c r="D3598" s="30" t="str">
        <x:v>候选输入schema</x:v>
      </x:c>
      <x:c r="E3598" s="30" t="str">
        <x:v>按执行角色权限读取；策略只能使用可访问快照</x:v>
      </x:c>
    </x:row>
    <x:row r="3599" ht="32" customHeight="1">
      <x:c r="A3599" s="30" t="str">
        <x:v>A042</x:v>
      </x:c>
      <x:c r="B3599" s="30" t="str">
        <x:v>F297</x:v>
      </x:c>
      <x:c r="C3599" s="30" t="str">
        <x:v>compute.memory_capacity_bytes</x:v>
      </x:c>
      <x:c r="D3599" s="30" t="str">
        <x:v>候选输入schema</x:v>
      </x:c>
      <x:c r="E3599" s="30" t="str">
        <x:v>按执行角色权限读取；策略只能使用可访问快照</x:v>
      </x:c>
    </x:row>
    <x:row r="3600" ht="32" customHeight="1">
      <x:c r="A3600" s="30" t="str">
        <x:v>A042</x:v>
      </x:c>
      <x:c r="B3600" s="30" t="str">
        <x:v>F298</x:v>
      </x:c>
      <x:c r="C3600" s="30" t="str">
        <x:v>compute.memory_used_bytes</x:v>
      </x:c>
      <x:c r="D3600" s="30" t="str">
        <x:v>候选输入schema</x:v>
      </x:c>
      <x:c r="E3600" s="30" t="str">
        <x:v>按执行角色权限读取；策略只能使用可访问快照</x:v>
      </x:c>
    </x:row>
    <x:row r="3601" ht="32" customHeight="1">
      <x:c r="A3601" s="30" t="str">
        <x:v>A042</x:v>
      </x:c>
      <x:c r="B3601" s="30" t="str">
        <x:v>F299</x:v>
      </x:c>
      <x:c r="C3601" s="30" t="str">
        <x:v>compute.cpu_allocated</x:v>
      </x:c>
      <x:c r="D3601" s="30" t="str">
        <x:v>候选输入schema</x:v>
      </x:c>
      <x:c r="E3601" s="30" t="str">
        <x:v>按执行角色权限读取；策略只能使用可访问快照</x:v>
      </x:c>
    </x:row>
    <x:row r="3602" ht="32" customHeight="1">
      <x:c r="A3602" s="30" t="str">
        <x:v>A042</x:v>
      </x:c>
      <x:c r="B3602" s="30" t="str">
        <x:v>F300</x:v>
      </x:c>
      <x:c r="C3602" s="30" t="str">
        <x:v>compute.accelerator_allocated</x:v>
      </x:c>
      <x:c r="D3602" s="30" t="str">
        <x:v>候选输入schema</x:v>
      </x:c>
      <x:c r="E3602" s="30" t="str">
        <x:v>按执行角色权限读取；策略只能使用可访问快照</x:v>
      </x:c>
    </x:row>
    <x:row r="3603" ht="32" customHeight="1">
      <x:c r="A3603" s="30" t="str">
        <x:v>A042</x:v>
      </x:c>
      <x:c r="B3603" s="30" t="str">
        <x:v>F301</x:v>
      </x:c>
      <x:c r="C3603" s="30" t="str">
        <x:v>compute.max_concurrency</x:v>
      </x:c>
      <x:c r="D3603" s="30" t="str">
        <x:v>候选输入schema</x:v>
      </x:c>
      <x:c r="E3603" s="30" t="str">
        <x:v>按执行角色权限读取；策略只能使用可访问快照</x:v>
      </x:c>
    </x:row>
    <x:row r="3604" ht="32" customHeight="1">
      <x:c r="A3604" s="30" t="str">
        <x:v>A042</x:v>
      </x:c>
      <x:c r="B3604" s="30" t="str">
        <x:v>F302</x:v>
      </x:c>
      <x:c r="C3604" s="30" t="str">
        <x:v>compute.queue_ids</x:v>
      </x:c>
      <x:c r="D3604" s="30" t="str">
        <x:v>候选输入schema</x:v>
      </x:c>
      <x:c r="E3604" s="30" t="str">
        <x:v>按执行角色权限读取；策略只能使用可访问快照</x:v>
      </x:c>
    </x:row>
    <x:row r="3605" ht="32" customHeight="1">
      <x:c r="A3605" s="30" t="str">
        <x:v>A042</x:v>
      </x:c>
      <x:c r="B3605" s="30" t="str">
        <x:v>F303</x:v>
      </x:c>
      <x:c r="C3605" s="30" t="str">
        <x:v>compute.running_job_ids</x:v>
      </x:c>
      <x:c r="D3605" s="30" t="str">
        <x:v>候选输入schema</x:v>
      </x:c>
      <x:c r="E3605" s="30" t="str">
        <x:v>按执行角色权限读取；策略只能使用可访问快照</x:v>
      </x:c>
    </x:row>
    <x:row r="3606" ht="32" customHeight="1">
      <x:c r="A3606" s="30" t="str">
        <x:v>A042</x:v>
      </x:c>
      <x:c r="B3606" s="30" t="str">
        <x:v>F304</x:v>
      </x:c>
      <x:c r="C3606" s="30" t="str">
        <x:v>compute.availability</x:v>
      </x:c>
      <x:c r="D3606" s="30" t="str">
        <x:v>候选输入schema</x:v>
      </x:c>
      <x:c r="E3606" s="30" t="str">
        <x:v>按执行角色权限读取；策略只能使用可访问快照</x:v>
      </x:c>
    </x:row>
    <x:row r="3607" ht="32" customHeight="1">
      <x:c r="A3607" s="30" t="str">
        <x:v>A042</x:v>
      </x:c>
      <x:c r="B3607" s="30" t="str">
        <x:v>F305</x:v>
      </x:c>
      <x:c r="C3607" s="30" t="str">
        <x:v>compute.power_model</x:v>
      </x:c>
      <x:c r="D3607" s="30" t="str">
        <x:v>候选输入schema</x:v>
      </x:c>
      <x:c r="E3607" s="30" t="str">
        <x:v>按执行角色权限读取；策略只能使用可访问快照</x:v>
      </x:c>
    </x:row>
    <x:row r="3608" ht="32" customHeight="1">
      <x:c r="A3608" s="30" t="str">
        <x:v>A042</x:v>
      </x:c>
      <x:c r="B3608" s="30" t="str">
        <x:v>F306</x:v>
      </x:c>
      <x:c r="C3608" s="30" t="str">
        <x:v>compute.energy_Wh</x:v>
      </x:c>
      <x:c r="D3608" s="30" t="str">
        <x:v>候选输入schema</x:v>
      </x:c>
      <x:c r="E3608" s="30" t="str">
        <x:v>按执行角色权限读取；策略只能使用可访问快照</x:v>
      </x:c>
    </x:row>
    <x:row r="3609" ht="32" customHeight="1">
      <x:c r="A3609" s="30" t="str">
        <x:v>A042</x:v>
      </x:c>
      <x:c r="B3609" s="30" t="str">
        <x:v>F307</x:v>
      </x:c>
      <x:c r="C3609" s="30" t="str">
        <x:v>compute.service_ids</x:v>
      </x:c>
      <x:c r="D3609" s="30" t="str">
        <x:v>候选输入schema</x:v>
      </x:c>
      <x:c r="E3609" s="30" t="str">
        <x:v>按执行角色权限读取；策略只能使用可访问快照</x:v>
      </x:c>
    </x:row>
    <x:row r="3610" ht="32" customHeight="1">
      <x:c r="A3610" s="30" t="str">
        <x:v>A042</x:v>
      </x:c>
      <x:c r="B3610" s="30" t="str">
        <x:v>F308</x:v>
      </x:c>
      <x:c r="C3610" s="30" t="str">
        <x:v>compute.storage_free_bytes</x:v>
      </x:c>
      <x:c r="D3610" s="30" t="str">
        <x:v>候选输入schema</x:v>
      </x:c>
      <x:c r="E3610" s="30" t="str">
        <x:v>按执行角色权限读取；策略只能使用可访问快照</x:v>
      </x:c>
    </x:row>
    <x:row r="3611" ht="32" customHeight="1">
      <x:c r="A3611" s="30" t="str">
        <x:v>A042</x:v>
      </x:c>
      <x:c r="B3611" s="30" t="str">
        <x:v>F309</x:v>
      </x:c>
      <x:c r="C3611" s="30" t="str">
        <x:v>compute.clock_policy</x:v>
      </x:c>
      <x:c r="D3611" s="30" t="str">
        <x:v>候选输入schema</x:v>
      </x:c>
      <x:c r="E3611" s="30" t="str">
        <x:v>按执行角色权限读取；策略只能使用可访问快照</x:v>
      </x:c>
    </x:row>
    <x:row r="3612" ht="32" customHeight="1">
      <x:c r="A3612" s="30" t="str">
        <x:v>A042</x:v>
      </x:c>
      <x:c r="B3612" s="30" t="str">
        <x:v>F310</x:v>
      </x:c>
      <x:c r="C3612" s="30" t="str">
        <x:v>compute.timing_profile_id</x:v>
      </x:c>
      <x:c r="D3612" s="30" t="str">
        <x:v>候选输入schema</x:v>
      </x:c>
      <x:c r="E3612" s="30" t="str">
        <x:v>按执行角色权限读取；策略只能使用可访问快照</x:v>
      </x:c>
    </x:row>
    <x:row r="3613" ht="32" customHeight="1">
      <x:c r="A3613" s="30" t="str">
        <x:v>A042</x:v>
      </x:c>
      <x:c r="B3613" s="30" t="str">
        <x:v>F311</x:v>
      </x:c>
      <x:c r="C3613" s="30" t="str">
        <x:v>compute.temperature_state</x:v>
      </x:c>
      <x:c r="D3613" s="30" t="str">
        <x:v>候选输入schema</x:v>
      </x:c>
      <x:c r="E3613" s="30" t="str">
        <x:v>按执行角色权限读取；策略只能使用可访问快照</x:v>
      </x:c>
    </x:row>
    <x:row r="3614" ht="32" customHeight="1">
      <x:c r="A3614" s="30" t="str">
        <x:v>A042</x:v>
      </x:c>
      <x:c r="B3614" s="30" t="str">
        <x:v>F312</x:v>
      </x:c>
      <x:c r="C3614" s="30" t="str">
        <x:v>compute.network_endpoint</x:v>
      </x:c>
      <x:c r="D3614" s="30" t="str">
        <x:v>候选输入schema</x:v>
      </x:c>
      <x:c r="E3614" s="30" t="str">
        <x:v>按执行角色权限读取；策略只能使用可访问快照</x:v>
      </x:c>
    </x:row>
    <x:row r="3615" ht="32" customHeight="1">
      <x:c r="A3615" s="30" t="str">
        <x:v>A042</x:v>
      </x:c>
      <x:c r="B3615" s="30" t="str">
        <x:v>F313</x:v>
      </x:c>
      <x:c r="C3615" s="30" t="str">
        <x:v>service.kind</x:v>
      </x:c>
      <x:c r="D3615" s="30" t="str">
        <x:v>候选输入schema</x:v>
      </x:c>
      <x:c r="E3615" s="30" t="str">
        <x:v>按执行角色权限读取；策略只能使用可访问快照</x:v>
      </x:c>
    </x:row>
    <x:row r="3616" ht="32" customHeight="1">
      <x:c r="A3616" s="30" t="str">
        <x:v>A042</x:v>
      </x:c>
      <x:c r="B3616" s="30" t="str">
        <x:v>F314</x:v>
      </x:c>
      <x:c r="C3616" s="30" t="str">
        <x:v>service.model_id</x:v>
      </x:c>
      <x:c r="D3616" s="30" t="str">
        <x:v>候选输入schema</x:v>
      </x:c>
      <x:c r="E3616" s="30" t="str">
        <x:v>按执行角色权限读取；策略只能使用可访问快照</x:v>
      </x:c>
    </x:row>
    <x:row r="3617" ht="32" customHeight="1">
      <x:c r="A3617" s="30" t="str">
        <x:v>A042</x:v>
      </x:c>
      <x:c r="B3617" s="30" t="str">
        <x:v>F315</x:v>
      </x:c>
      <x:c r="C3617" s="30" t="str">
        <x:v>service.version</x:v>
      </x:c>
      <x:c r="D3617" s="30" t="str">
        <x:v>候选输入schema</x:v>
      </x:c>
      <x:c r="E3617" s="30" t="str">
        <x:v>按执行角色权限读取；策略只能使用可访问快照</x:v>
      </x:c>
    </x:row>
    <x:row r="3618" ht="32" customHeight="1">
      <x:c r="A3618" s="30" t="str">
        <x:v>A042</x:v>
      </x:c>
      <x:c r="B3618" s="30" t="str">
        <x:v>F316</x:v>
      </x:c>
      <x:c r="C3618" s="30" t="str">
        <x:v>service.host_id</x:v>
      </x:c>
      <x:c r="D3618" s="30" t="str">
        <x:v>候选输入schema</x:v>
      </x:c>
      <x:c r="E3618" s="30" t="str">
        <x:v>按执行角色权限读取；策略只能使用可访问快照</x:v>
      </x:c>
    </x:row>
    <x:row r="3619" ht="32" customHeight="1">
      <x:c r="A3619" s="30" t="str">
        <x:v>A042</x:v>
      </x:c>
      <x:c r="B3619" s="30" t="str">
        <x:v>F317</x:v>
      </x:c>
      <x:c r="C3619" s="30" t="str">
        <x:v>service.status</x:v>
      </x:c>
      <x:c r="D3619" s="30" t="str">
        <x:v>候选输入schema</x:v>
      </x:c>
      <x:c r="E3619" s="30" t="str">
        <x:v>按执行角色权限读取；策略只能使用可访问快照</x:v>
      </x:c>
    </x:row>
    <x:row r="3620" ht="32" customHeight="1">
      <x:c r="A3620" s="30" t="str">
        <x:v>A042</x:v>
      </x:c>
      <x:c r="B3620" s="30" t="str">
        <x:v>F318</x:v>
      </x:c>
      <x:c r="C3620" s="30" t="str">
        <x:v>service.input_schema</x:v>
      </x:c>
      <x:c r="D3620" s="30" t="str">
        <x:v>候选输入schema</x:v>
      </x:c>
      <x:c r="E3620" s="30" t="str">
        <x:v>按执行角色权限读取；策略只能使用可访问快照</x:v>
      </x:c>
    </x:row>
    <x:row r="3621" ht="32" customHeight="1">
      <x:c r="A3621" s="30" t="str">
        <x:v>A042</x:v>
      </x:c>
      <x:c r="B3621" s="30" t="str">
        <x:v>F319</x:v>
      </x:c>
      <x:c r="C3621" s="30" t="str">
        <x:v>service.output_schema</x:v>
      </x:c>
      <x:c r="D3621" s="30" t="str">
        <x:v>候选输入schema</x:v>
      </x:c>
      <x:c r="E3621" s="30" t="str">
        <x:v>按执行角色权限读取；策略只能使用可访问快照</x:v>
      </x:c>
    </x:row>
    <x:row r="3622" ht="32" customHeight="1">
      <x:c r="A3622" s="30" t="str">
        <x:v>A042</x:v>
      </x:c>
      <x:c r="B3622" s="30" t="str">
        <x:v>F320</x:v>
      </x:c>
      <x:c r="C3622" s="30" t="str">
        <x:v>service.precision</x:v>
      </x:c>
      <x:c r="D3622" s="30" t="str">
        <x:v>候选输入schema</x:v>
      </x:c>
      <x:c r="E3622" s="30" t="str">
        <x:v>按执行角色权限读取；策略只能使用可访问快照</x:v>
      </x:c>
    </x:row>
    <x:row r="3623" ht="32" customHeight="1">
      <x:c r="A3623" s="30" t="str">
        <x:v>A042</x:v>
      </x:c>
      <x:c r="B3623" s="30" t="str">
        <x:v>F321</x:v>
      </x:c>
      <x:c r="C3623" s="30" t="str">
        <x:v>service.weights_bytes</x:v>
      </x:c>
      <x:c r="D3623" s="30" t="str">
        <x:v>候选输入schema</x:v>
      </x:c>
      <x:c r="E3623" s="30" t="str">
        <x:v>按执行角色权限读取；策略只能使用可访问快照</x:v>
      </x:c>
    </x:row>
    <x:row r="3624" ht="32" customHeight="1">
      <x:c r="A3624" s="30" t="str">
        <x:v>A042</x:v>
      </x:c>
      <x:c r="B3624" s="30" t="str">
        <x:v>F322</x:v>
      </x:c>
      <x:c r="C3624" s="30" t="str">
        <x:v>service.working_memory_bytes</x:v>
      </x:c>
      <x:c r="D3624" s="30" t="str">
        <x:v>候选输入schema</x:v>
      </x:c>
      <x:c r="E3624" s="30" t="str">
        <x:v>按执行角色权限读取；策略只能使用可访问快照</x:v>
      </x:c>
    </x:row>
    <x:row r="3625" ht="32" customHeight="1">
      <x:c r="A3625" s="30" t="str">
        <x:v>A042</x:v>
      </x:c>
      <x:c r="B3625" s="30" t="str">
        <x:v>F323</x:v>
      </x:c>
      <x:c r="C3625" s="30" t="str">
        <x:v>service.load_latency_profile</x:v>
      </x:c>
      <x:c r="D3625" s="30" t="str">
        <x:v>候选输入schema</x:v>
      </x:c>
      <x:c r="E3625" s="30" t="str">
        <x:v>按执行角色权限读取；策略只能使用可访问快照</x:v>
      </x:c>
    </x:row>
    <x:row r="3626" ht="32" customHeight="1">
      <x:c r="A3626" s="30" t="str">
        <x:v>A042</x:v>
      </x:c>
      <x:c r="B3626" s="30" t="str">
        <x:v>F324</x:v>
      </x:c>
      <x:c r="C3626" s="30" t="str">
        <x:v>service.batch_policy</x:v>
      </x:c>
      <x:c r="D3626" s="30" t="str">
        <x:v>候选输入schema</x:v>
      </x:c>
      <x:c r="E3626" s="30" t="str">
        <x:v>按执行角色权限读取；策略只能使用可访问快照</x:v>
      </x:c>
    </x:row>
    <x:row r="3627" ht="32" customHeight="1">
      <x:c r="A3627" s="30" t="str">
        <x:v>A042</x:v>
      </x:c>
      <x:c r="B3627" s="30" t="str">
        <x:v>F325</x:v>
      </x:c>
      <x:c r="C3627" s="30" t="str">
        <x:v>service.context_limit</x:v>
      </x:c>
      <x:c r="D3627" s="30" t="str">
        <x:v>候选输入schema</x:v>
      </x:c>
      <x:c r="E3627" s="30" t="str">
        <x:v>按执行角色权限读取；策略只能使用可访问快照</x:v>
      </x:c>
    </x:row>
    <x:row r="3628" ht="32" customHeight="1">
      <x:c r="A3628" s="30" t="str">
        <x:v>A042</x:v>
      </x:c>
      <x:c r="B3628" s="30" t="str">
        <x:v>F326</x:v>
      </x:c>
      <x:c r="C3628" s="30" t="str">
        <x:v>service.quality_profile</x:v>
      </x:c>
      <x:c r="D3628" s="30" t="str">
        <x:v>候选输入schema</x:v>
      </x:c>
      <x:c r="E3628" s="30" t="str">
        <x:v>按执行角色权限读取；策略只能使用可访问快照</x:v>
      </x:c>
    </x:row>
    <x:row r="3629" ht="32" customHeight="1">
      <x:c r="A3629" s="30" t="str">
        <x:v>A042</x:v>
      </x:c>
      <x:c r="B3629" s="30" t="str">
        <x:v>F327</x:v>
      </x:c>
      <x:c r="C3629" s="30" t="str">
        <x:v>service.compatible_representations</x:v>
      </x:c>
      <x:c r="D3629" s="30" t="str">
        <x:v>候选输入schema</x:v>
      </x:c>
      <x:c r="E3629" s="30" t="str">
        <x:v>按执行角色权限读取；策略只能使用可访问快照</x:v>
      </x:c>
    </x:row>
    <x:row r="3630" ht="32" customHeight="1">
      <x:c r="A3630" s="30" t="str">
        <x:v>A042</x:v>
      </x:c>
      <x:c r="B3630" s="30" t="str">
        <x:v>F328</x:v>
      </x:c>
      <x:c r="C3630" s="30" t="str">
        <x:v>service.licence_scope</x:v>
      </x:c>
      <x:c r="D3630" s="30" t="str">
        <x:v>候选输入schema</x:v>
      </x:c>
      <x:c r="E3630" s="30" t="str">
        <x:v>按执行角色权限读取；策略只能使用可访问快照</x:v>
      </x:c>
    </x:row>
    <x:row r="3631" ht="32" customHeight="1">
      <x:c r="A3631" s="30" t="str">
        <x:v>A042</x:v>
      </x:c>
      <x:c r="B3631" s="30" t="str">
        <x:v>F193</x:v>
      </x:c>
      <x:c r="C3631" s="30" t="str">
        <x:v>belief.team_estimates</x:v>
      </x:c>
      <x:c r="D3631" s="30" t="str">
        <x:v>直接效果</x:v>
      </x:c>
      <x:c r="E3631" s="30" t="str">
        <x:v>经实际执行/回执提交；不是规划时提前修改</x:v>
      </x:c>
    </x:row>
    <x:row r="3632" ht="32" customHeight="1">
      <x:c r="A3632" s="30" t="str">
        <x:v>A043</x:v>
      </x:c>
      <x:c r="B3632" s="30" t="str">
        <x:v>F181</x:v>
      </x:c>
      <x:c r="C3632" s="30" t="str">
        <x:v>belief.agent_id</x:v>
      </x:c>
      <x:c r="D3632" s="30" t="str">
        <x:v>候选输入schema</x:v>
      </x:c>
      <x:c r="E3632" s="30" t="str">
        <x:v>按执行角色权限读取；策略只能使用可访问快照</x:v>
      </x:c>
    </x:row>
    <x:row r="3633" ht="32" customHeight="1">
      <x:c r="A3633" s="30" t="str">
        <x:v>A043</x:v>
      </x:c>
      <x:c r="B3633" s="30" t="str">
        <x:v>F182</x:v>
      </x:c>
      <x:c r="C3633" s="30" t="str">
        <x:v>belief.entity_ref</x:v>
      </x:c>
      <x:c r="D3633" s="30" t="str">
        <x:v>候选输入schema</x:v>
      </x:c>
      <x:c r="E3633" s="30" t="str">
        <x:v>按执行角色权限读取；策略只能使用可访问快照</x:v>
      </x:c>
    </x:row>
    <x:row r="3634" ht="32" customHeight="1">
      <x:c r="A3634" s="30" t="str">
        <x:v>A043</x:v>
      </x:c>
      <x:c r="B3634" s="30" t="str">
        <x:v>F183</x:v>
      </x:c>
      <x:c r="C3634" s="30" t="str">
        <x:v>belief.estimated_damage</x:v>
      </x:c>
      <x:c r="D3634" s="30" t="str">
        <x:v>候选输入schema</x:v>
      </x:c>
      <x:c r="E3634" s="30" t="str">
        <x:v>按执行角色权限读取；策略只能使用可访问快照</x:v>
      </x:c>
    </x:row>
    <x:row r="3635" ht="32" customHeight="1">
      <x:c r="A3635" s="30" t="str">
        <x:v>A043</x:v>
      </x:c>
      <x:c r="B3635" s="30" t="str">
        <x:v>F184</x:v>
      </x:c>
      <x:c r="C3635" s="30" t="str">
        <x:v>belief.human_presence</x:v>
      </x:c>
      <x:c r="D3635" s="30" t="str">
        <x:v>候选输入schema</x:v>
      </x:c>
      <x:c r="E3635" s="30" t="str">
        <x:v>按执行角色权限读取；策略只能使用可访问快照</x:v>
      </x:c>
    </x:row>
    <x:row r="3636" ht="32" customHeight="1">
      <x:c r="A3636" s="30" t="str">
        <x:v>A043</x:v>
      </x:c>
      <x:c r="B3636" s="30" t="str">
        <x:v>F185</x:v>
      </x:c>
      <x:c r="C3636" s="30" t="str">
        <x:v>belief.estimated_pose</x:v>
      </x:c>
      <x:c r="D3636" s="30" t="str">
        <x:v>候选输入schema</x:v>
      </x:c>
      <x:c r="E3636" s="30" t="str">
        <x:v>按执行角色权限读取；策略只能使用可访问快照</x:v>
      </x:c>
    </x:row>
    <x:row r="3637" ht="32" customHeight="1">
      <x:c r="A3637" s="30" t="str">
        <x:v>A043</x:v>
      </x:c>
      <x:c r="B3637" s="30" t="str">
        <x:v>F186</x:v>
      </x:c>
      <x:c r="C3637" s="30" t="str">
        <x:v>belief.estimated_access</x:v>
      </x:c>
      <x:c r="D3637" s="30" t="str">
        <x:v>候选输入schema</x:v>
      </x:c>
      <x:c r="E3637" s="30" t="str">
        <x:v>按执行角色权限读取；策略只能使用可访问快照</x:v>
      </x:c>
    </x:row>
    <x:row r="3638" ht="32" customHeight="1">
      <x:c r="A3638" s="30" t="str">
        <x:v>A043</x:v>
      </x:c>
      <x:c r="B3638" s="30" t="str">
        <x:v>F187</x:v>
      </x:c>
      <x:c r="C3638" s="30" t="str">
        <x:v>belief.estimated_needs</x:v>
      </x:c>
      <x:c r="D3638" s="30" t="str">
        <x:v>候选输入schema</x:v>
      </x:c>
      <x:c r="E3638" s="30" t="str">
        <x:v>按执行角色权限读取；策略只能使用可访问快照</x:v>
      </x:c>
    </x:row>
    <x:row r="3639" ht="32" customHeight="1">
      <x:c r="A3639" s="30" t="str">
        <x:v>A043</x:v>
      </x:c>
      <x:c r="B3639" s="30" t="str">
        <x:v>F188</x:v>
      </x:c>
      <x:c r="C3639" s="30" t="str">
        <x:v>belief.evidence_ids</x:v>
      </x:c>
      <x:c r="D3639" s="30" t="str">
        <x:v>候选输入schema</x:v>
      </x:c>
      <x:c r="E3639" s="30" t="str">
        <x:v>按执行角色权限读取；策略只能使用可访问快照</x:v>
      </x:c>
    </x:row>
    <x:row r="3640" ht="32" customHeight="1">
      <x:c r="A3640" s="30" t="str">
        <x:v>A043</x:v>
      </x:c>
      <x:c r="B3640" s="30" t="str">
        <x:v>F189</x:v>
      </x:c>
      <x:c r="C3640" s="30" t="str">
        <x:v>belief.source_agent_ids</x:v>
      </x:c>
      <x:c r="D3640" s="30" t="str">
        <x:v>候选输入schema</x:v>
      </x:c>
      <x:c r="E3640" s="30" t="str">
        <x:v>按执行角色权限读取；策略只能使用可访问快照</x:v>
      </x:c>
    </x:row>
    <x:row r="3641" ht="32" customHeight="1">
      <x:c r="A3641" s="30" t="str">
        <x:v>A043</x:v>
      </x:c>
      <x:c r="B3641" s="30" t="str">
        <x:v>F190</x:v>
      </x:c>
      <x:c r="C3641" s="30" t="str">
        <x:v>belief.updated_at_s</x:v>
      </x:c>
      <x:c r="D3641" s="30" t="str">
        <x:v>候选输入schema</x:v>
      </x:c>
      <x:c r="E3641" s="30" t="str">
        <x:v>按执行角色权限读取；策略只能使用可访问快照</x:v>
      </x:c>
    </x:row>
    <x:row r="3642" ht="32" customHeight="1">
      <x:c r="A3642" s="30" t="str">
        <x:v>A043</x:v>
      </x:c>
      <x:c r="B3642" s="30" t="str">
        <x:v>F191</x:v>
      </x:c>
      <x:c r="C3642" s="30" t="str">
        <x:v>belief.staleness_s</x:v>
      </x:c>
      <x:c r="D3642" s="30" t="str">
        <x:v>候选输入schema</x:v>
      </x:c>
      <x:c r="E3642" s="30" t="str">
        <x:v>按执行角色权限读取；策略只能使用可访问快照</x:v>
      </x:c>
    </x:row>
    <x:row r="3643" ht="32" customHeight="1">
      <x:c r="A3643" s="30" t="str">
        <x:v>A043</x:v>
      </x:c>
      <x:c r="B3643" s="30" t="str">
        <x:v>F192</x:v>
      </x:c>
      <x:c r="C3643" s="30" t="str">
        <x:v>belief.conflict_state</x:v>
      </x:c>
      <x:c r="D3643" s="30" t="str">
        <x:v>候选输入schema</x:v>
      </x:c>
      <x:c r="E3643" s="30" t="str">
        <x:v>按执行角色权限读取；策略只能使用可访问快照</x:v>
      </x:c>
    </x:row>
    <x:row r="3644" ht="32" customHeight="1">
      <x:c r="A3644" s="30" t="str">
        <x:v>A043</x:v>
      </x:c>
      <x:c r="B3644" s="30" t="str">
        <x:v>F193</x:v>
      </x:c>
      <x:c r="C3644" s="30" t="str">
        <x:v>belief.team_estimates</x:v>
      </x:c>
      <x:c r="D3644" s="30" t="str">
        <x:v>候选输入schema</x:v>
      </x:c>
      <x:c r="E3644" s="30" t="str">
        <x:v>按执行角色权限读取；策略只能使用可访问快照</x:v>
      </x:c>
    </x:row>
    <x:row r="3645" ht="32" customHeight="1">
      <x:c r="A3645" s="30" t="str">
        <x:v>A043</x:v>
      </x:c>
      <x:c r="B3645" s="30" t="str">
        <x:v>F194</x:v>
      </x:c>
      <x:c r="C3645" s="30" t="str">
        <x:v>belief.search_status</x:v>
      </x:c>
      <x:c r="D3645" s="30" t="str">
        <x:v>候选输入schema</x:v>
      </x:c>
      <x:c r="E3645" s="30" t="str">
        <x:v>按执行角色权限读取；策略只能使用可访问快照</x:v>
      </x:c>
    </x:row>
    <x:row r="3646" ht="32" customHeight="1">
      <x:c r="A3646" s="30" t="str">
        <x:v>A043</x:v>
      </x:c>
      <x:c r="B3646" s="30" t="str">
        <x:v>F195</x:v>
      </x:c>
      <x:c r="C3646" s="30" t="str">
        <x:v>belief.current_goal_context</x:v>
      </x:c>
      <x:c r="D3646" s="30" t="str">
        <x:v>候选输入schema</x:v>
      </x:c>
      <x:c r="E3646" s="30" t="str">
        <x:v>按执行角色权限读取；策略只能使用可访问快照</x:v>
      </x:c>
    </x:row>
    <x:row r="3647" ht="32" customHeight="1">
      <x:c r="A3647" s="30" t="str">
        <x:v>A043</x:v>
      </x:c>
      <x:c r="B3647" s="30" t="str">
        <x:v>F196</x:v>
      </x:c>
      <x:c r="C3647" s="30" t="str">
        <x:v>task.type</x:v>
      </x:c>
      <x:c r="D3647" s="30" t="str">
        <x:v>候选输入schema</x:v>
      </x:c>
      <x:c r="E3647" s="30" t="str">
        <x:v>按执行角色权限读取；策略只能使用可访问快照</x:v>
      </x:c>
    </x:row>
    <x:row r="3648" ht="32" customHeight="1">
      <x:c r="A3648" s="30" t="str">
        <x:v>A043</x:v>
      </x:c>
      <x:c r="B3648" s="30" t="str">
        <x:v>F197</x:v>
      </x:c>
      <x:c r="C3648" s="30" t="str">
        <x:v>task.creator_id</x:v>
      </x:c>
      <x:c r="D3648" s="30" t="str">
        <x:v>候选输入schema</x:v>
      </x:c>
      <x:c r="E3648" s="30" t="str">
        <x:v>按执行角色权限读取；策略只能使用可访问快照</x:v>
      </x:c>
    </x:row>
    <x:row r="3649" ht="32" customHeight="1">
      <x:c r="A3649" s="30" t="str">
        <x:v>A043</x:v>
      </x:c>
      <x:c r="B3649" s="30" t="str">
        <x:v>F198</x:v>
      </x:c>
      <x:c r="C3649" s="30" t="str">
        <x:v>task.target_ref</x:v>
      </x:c>
      <x:c r="D3649" s="30" t="str">
        <x:v>候选输入schema</x:v>
      </x:c>
      <x:c r="E3649" s="30" t="str">
        <x:v>按执行角色权限读取；策略只能使用可访问快照</x:v>
      </x:c>
    </x:row>
    <x:row r="3650" ht="32" customHeight="1">
      <x:c r="A3650" s="30" t="str">
        <x:v>A043</x:v>
      </x:c>
      <x:c r="B3650" s="30" t="str">
        <x:v>F199</x:v>
      </x:c>
      <x:c r="C3650" s="30" t="str">
        <x:v>task.goal_predicate</x:v>
      </x:c>
      <x:c r="D3650" s="30" t="str">
        <x:v>候选输入schema</x:v>
      </x:c>
      <x:c r="E3650" s="30" t="str">
        <x:v>按执行角色权限读取；策略只能使用可访问快照</x:v>
      </x:c>
    </x:row>
    <x:row r="3651" ht="32" customHeight="1">
      <x:c r="A3651" s="30" t="str">
        <x:v>A043</x:v>
      </x:c>
      <x:c r="B3651" s="30" t="str">
        <x:v>F200</x:v>
      </x:c>
      <x:c r="C3651" s="30" t="str">
        <x:v>task.revision</x:v>
      </x:c>
      <x:c r="D3651" s="30" t="str">
        <x:v>候选输入schema</x:v>
      </x:c>
      <x:c r="E3651" s="30" t="str">
        <x:v>按执行角色权限读取；策略只能使用可访问快照</x:v>
      </x:c>
    </x:row>
    <x:row r="3652" ht="32" customHeight="1">
      <x:c r="A3652" s="30" t="str">
        <x:v>A043</x:v>
      </x:c>
      <x:c r="B3652" s="30" t="str">
        <x:v>F201</x:v>
      </x:c>
      <x:c r="C3652" s="30" t="str">
        <x:v>task.status</x:v>
      </x:c>
      <x:c r="D3652" s="30" t="str">
        <x:v>候选输入schema</x:v>
      </x:c>
      <x:c r="E3652" s="30" t="str">
        <x:v>按执行角色权限读取；策略只能使用可访问快照</x:v>
      </x:c>
    </x:row>
    <x:row r="3653" ht="32" customHeight="1">
      <x:c r="A3653" s="30" t="str">
        <x:v>A043</x:v>
      </x:c>
      <x:c r="B3653" s="30" t="str">
        <x:v>F202</x:v>
      </x:c>
      <x:c r="C3653" s="30" t="str">
        <x:v>task.priority</x:v>
      </x:c>
      <x:c r="D3653" s="30" t="str">
        <x:v>候选输入schema</x:v>
      </x:c>
      <x:c r="E3653" s="30" t="str">
        <x:v>按执行角色权限读取；策略只能使用可访问快照</x:v>
      </x:c>
    </x:row>
    <x:row r="3654" ht="32" customHeight="1">
      <x:c r="A3654" s="30" t="str">
        <x:v>A043</x:v>
      </x:c>
      <x:c r="B3654" s="30" t="str">
        <x:v>F203</x:v>
      </x:c>
      <x:c r="C3654" s="30" t="str">
        <x:v>task.deadline_s</x:v>
      </x:c>
      <x:c r="D3654" s="30" t="str">
        <x:v>候选输入schema</x:v>
      </x:c>
      <x:c r="E3654" s="30" t="str">
        <x:v>按执行角色权限读取；策略只能使用可访问快照</x:v>
      </x:c>
    </x:row>
    <x:row r="3655" ht="32" customHeight="1">
      <x:c r="A3655" s="30" t="str">
        <x:v>A043</x:v>
      </x:c>
      <x:c r="B3655" s="30" t="str">
        <x:v>F204</x:v>
      </x:c>
      <x:c r="C3655" s="30" t="str">
        <x:v>task.dependency_ids</x:v>
      </x:c>
      <x:c r="D3655" s="30" t="str">
        <x:v>候选输入schema</x:v>
      </x:c>
      <x:c r="E3655" s="30" t="str">
        <x:v>按执行角色权限读取；策略只能使用可访问快照</x:v>
      </x:c>
    </x:row>
    <x:row r="3656" ht="32" customHeight="1">
      <x:c r="A3656" s="30" t="str">
        <x:v>A043</x:v>
      </x:c>
      <x:c r="B3656" s="30" t="str">
        <x:v>F205</x:v>
      </x:c>
      <x:c r="C3656" s="30" t="str">
        <x:v>task.required_capability_ids</x:v>
      </x:c>
      <x:c r="D3656" s="30" t="str">
        <x:v>候选输入schema</x:v>
      </x:c>
      <x:c r="E3656" s="30" t="str">
        <x:v>按执行角色权限读取；策略只能使用可访问快照</x:v>
      </x:c>
    </x:row>
    <x:row r="3657" ht="32" customHeight="1">
      <x:c r="A3657" s="30" t="str">
        <x:v>A043</x:v>
      </x:c>
      <x:c r="B3657" s="30" t="str">
        <x:v>F206</x:v>
      </x:c>
      <x:c r="C3657" s="30" t="str">
        <x:v>task.resource_budget</x:v>
      </x:c>
      <x:c r="D3657" s="30" t="str">
        <x:v>候选输入schema</x:v>
      </x:c>
      <x:c r="E3657" s="30" t="str">
        <x:v>按执行角色权限读取；策略只能使用可访问快照</x:v>
      </x:c>
    </x:row>
    <x:row r="3658" ht="32" customHeight="1">
      <x:c r="A3658" s="30" t="str">
        <x:v>A043</x:v>
      </x:c>
      <x:c r="B3658" s="30" t="str">
        <x:v>F207</x:v>
      </x:c>
      <x:c r="C3658" s="30" t="str">
        <x:v>task.assigned_to</x:v>
      </x:c>
      <x:c r="D3658" s="30" t="str">
        <x:v>候选输入schema</x:v>
      </x:c>
      <x:c r="E3658" s="30" t="str">
        <x:v>按执行角色权限读取；策略只能使用可访问快照</x:v>
      </x:c>
    </x:row>
    <x:row r="3659" ht="32" customHeight="1">
      <x:c r="A3659" s="30" t="str">
        <x:v>A043</x:v>
      </x:c>
      <x:c r="B3659" s="30" t="str">
        <x:v>F208</x:v>
      </x:c>
      <x:c r="C3659" s="30" t="str">
        <x:v>task.accepted_by</x:v>
      </x:c>
      <x:c r="D3659" s="30" t="str">
        <x:v>候选输入schema</x:v>
      </x:c>
      <x:c r="E3659" s="30" t="str">
        <x:v>按执行角色权限读取；策略只能使用可访问快照</x:v>
      </x:c>
    </x:row>
    <x:row r="3660" ht="32" customHeight="1">
      <x:c r="A3660" s="30" t="str">
        <x:v>A043</x:v>
      </x:c>
      <x:c r="B3660" s="30" t="str">
        <x:v>F209</x:v>
      </x:c>
      <x:c r="C3660" s="30" t="str">
        <x:v>task.commitment_window</x:v>
      </x:c>
      <x:c r="D3660" s="30" t="str">
        <x:v>候选输入schema</x:v>
      </x:c>
      <x:c r="E3660" s="30" t="str">
        <x:v>按执行角色权限读取；策略只能使用可访问快照</x:v>
      </x:c>
    </x:row>
    <x:row r="3661" ht="32" customHeight="1">
      <x:c r="A3661" s="30" t="str">
        <x:v>A043</x:v>
      </x:c>
      <x:c r="B3661" s="30" t="str">
        <x:v>F210</x:v>
      </x:c>
      <x:c r="C3661" s="30" t="str">
        <x:v>task.progress</x:v>
      </x:c>
      <x:c r="D3661" s="30" t="str">
        <x:v>候选输入schema</x:v>
      </x:c>
      <x:c r="E3661" s="30" t="str">
        <x:v>按执行角色权限读取；策略只能使用可访问快照</x:v>
      </x:c>
    </x:row>
    <x:row r="3662" ht="32" customHeight="1">
      <x:c r="A3662" s="30" t="str">
        <x:v>A043</x:v>
      </x:c>
      <x:c r="B3662" s="30" t="str">
        <x:v>F211</x:v>
      </x:c>
      <x:c r="C3662" s="30" t="str">
        <x:v>task.active_action_ids</x:v>
      </x:c>
      <x:c r="D3662" s="30" t="str">
        <x:v>候选输入schema</x:v>
      </x:c>
      <x:c r="E3662" s="30" t="str">
        <x:v>按执行角色权限读取；策略只能使用可访问快照</x:v>
      </x:c>
    </x:row>
    <x:row r="3663" ht="32" customHeight="1">
      <x:c r="A3663" s="30" t="str">
        <x:v>A043</x:v>
      </x:c>
      <x:c r="B3663" s="30" t="str">
        <x:v>F212</x:v>
      </x:c>
      <x:c r="C3663" s="30" t="str">
        <x:v>task.interruptibility</x:v>
      </x:c>
      <x:c r="D3663" s="30" t="str">
        <x:v>候选输入schema</x:v>
      </x:c>
      <x:c r="E3663" s="30" t="str">
        <x:v>按执行角色权限读取；策略只能使用可访问快照</x:v>
      </x:c>
    </x:row>
    <x:row r="3664" ht="32" customHeight="1">
      <x:c r="A3664" s="30" t="str">
        <x:v>A043</x:v>
      </x:c>
      <x:c r="B3664" s="30" t="str">
        <x:v>F213</x:v>
      </x:c>
      <x:c r="C3664" s="30" t="str">
        <x:v>task.original_task_id</x:v>
      </x:c>
      <x:c r="D3664" s="30" t="str">
        <x:v>候选输入schema</x:v>
      </x:c>
      <x:c r="E3664" s="30" t="str">
        <x:v>按执行角色权限读取；策略只能使用可访问快照</x:v>
      </x:c>
    </x:row>
    <x:row r="3665" ht="32" customHeight="1">
      <x:c r="A3665" s="30" t="str">
        <x:v>A043</x:v>
      </x:c>
      <x:c r="B3665" s="30" t="str">
        <x:v>F214</x:v>
      </x:c>
      <x:c r="C3665" s="30" t="str">
        <x:v>task.resume_checkpoint</x:v>
      </x:c>
      <x:c r="D3665" s="30" t="str">
        <x:v>候选输入schema</x:v>
      </x:c>
      <x:c r="E3665" s="30" t="str">
        <x:v>按执行角色权限读取；策略只能使用可访问快照</x:v>
      </x:c>
    </x:row>
    <x:row r="3666" ht="32" customHeight="1">
      <x:c r="A3666" s="30" t="str">
        <x:v>A043</x:v>
      </x:c>
      <x:c r="B3666" s="30" t="str">
        <x:v>F215</x:v>
      </x:c>
      <x:c r="C3666" s="30" t="str">
        <x:v>task.handoff_target_id</x:v>
      </x:c>
      <x:c r="D3666" s="30" t="str">
        <x:v>候选输入schema</x:v>
      </x:c>
      <x:c r="E3666" s="30" t="str">
        <x:v>按执行角色权限读取；策略只能使用可访问快照</x:v>
      </x:c>
    </x:row>
    <x:row r="3667" ht="32" customHeight="1">
      <x:c r="A3667" s="30" t="str">
        <x:v>A043</x:v>
      </x:c>
      <x:c r="B3667" s="30" t="str">
        <x:v>F216</x:v>
      </x:c>
      <x:c r="C3667" s="30" t="str">
        <x:v>task.result_evidence_ids</x:v>
      </x:c>
      <x:c r="D3667" s="30" t="str">
        <x:v>候选输入schema</x:v>
      </x:c>
      <x:c r="E3667" s="30" t="str">
        <x:v>按执行角色权限读取；策略只能使用可访问快照</x:v>
      </x:c>
    </x:row>
    <x:row r="3668" ht="32" customHeight="1">
      <x:c r="A3668" s="30" t="str">
        <x:v>A043</x:v>
      </x:c>
      <x:c r="B3668" s="30" t="str">
        <x:v>F217</x:v>
      </x:c>
      <x:c r="C3668" s="30" t="str">
        <x:v>task.failure_reason</x:v>
      </x:c>
      <x:c r="D3668" s="30" t="str">
        <x:v>候选输入schema</x:v>
      </x:c>
      <x:c r="E3668" s="30" t="str">
        <x:v>按执行角色权限读取；策略只能使用可访问快照</x:v>
      </x:c>
    </x:row>
    <x:row r="3669" ht="32" customHeight="1">
      <x:c r="A3669" s="30" t="str">
        <x:v>A043</x:v>
      </x:c>
      <x:c r="B3669" s="30" t="str">
        <x:v>F218</x:v>
      </x:c>
      <x:c r="C3669" s="30" t="str">
        <x:v>task.last_event_s</x:v>
      </x:c>
      <x:c r="D3669" s="30" t="str">
        <x:v>候选输入schema</x:v>
      </x:c>
      <x:c r="E3669" s="30" t="str">
        <x:v>按执行角色权限读取；策略只能使用可访问快照</x:v>
      </x:c>
    </x:row>
    <x:row r="3670" ht="32" customHeight="1">
      <x:c r="A3670" s="30" t="str">
        <x:v>A043</x:v>
      </x:c>
      <x:c r="B3670" s="30" t="str">
        <x:v>F219</x:v>
      </x:c>
      <x:c r="C3670" s="30" t="str">
        <x:v>task.opportunity_cost</x:v>
      </x:c>
      <x:c r="D3670" s="30" t="str">
        <x:v>候选输入schema</x:v>
      </x:c>
      <x:c r="E3670" s="30" t="str">
        <x:v>按执行角色权限读取；策略只能使用可访问快照</x:v>
      </x:c>
    </x:row>
    <x:row r="3671" ht="32" customHeight="1">
      <x:c r="A3671" s="30" t="str">
        <x:v>A043</x:v>
      </x:c>
      <x:c r="B3671" s="30" t="str">
        <x:v>F293</x:v>
      </x:c>
      <x:c r="C3671" s="30" t="str">
        <x:v>compute.node_id</x:v>
      </x:c>
      <x:c r="D3671" s="30" t="str">
        <x:v>候选输入schema</x:v>
      </x:c>
      <x:c r="E3671" s="30" t="str">
        <x:v>按执行角色权限读取；策略只能使用可访问快照</x:v>
      </x:c>
    </x:row>
    <x:row r="3672" ht="32" customHeight="1">
      <x:c r="A3672" s="30" t="str">
        <x:v>A043</x:v>
      </x:c>
      <x:c r="B3672" s="30" t="str">
        <x:v>F294</x:v>
      </x:c>
      <x:c r="C3672" s="30" t="str">
        <x:v>compute.device_kind</x:v>
      </x:c>
      <x:c r="D3672" s="30" t="str">
        <x:v>候选输入schema</x:v>
      </x:c>
      <x:c r="E3672" s="30" t="str">
        <x:v>按执行角色权限读取；策略只能使用可访问快照</x:v>
      </x:c>
    </x:row>
    <x:row r="3673" ht="32" customHeight="1">
      <x:c r="A3673" s="30" t="str">
        <x:v>A043</x:v>
      </x:c>
      <x:c r="B3673" s="30" t="str">
        <x:v>F295</x:v>
      </x:c>
      <x:c r="C3673" s="30" t="str">
        <x:v>compute.cpu_capacity</x:v>
      </x:c>
      <x:c r="D3673" s="30" t="str">
        <x:v>候选输入schema</x:v>
      </x:c>
      <x:c r="E3673" s="30" t="str">
        <x:v>按执行角色权限读取；策略只能使用可访问快照</x:v>
      </x:c>
    </x:row>
    <x:row r="3674" ht="32" customHeight="1">
      <x:c r="A3674" s="30" t="str">
        <x:v>A043</x:v>
      </x:c>
      <x:c r="B3674" s="30" t="str">
        <x:v>F296</x:v>
      </x:c>
      <x:c r="C3674" s="30" t="str">
        <x:v>compute.accelerator_capacity</x:v>
      </x:c>
      <x:c r="D3674" s="30" t="str">
        <x:v>候选输入schema</x:v>
      </x:c>
      <x:c r="E3674" s="30" t="str">
        <x:v>按执行角色权限读取；策略只能使用可访问快照</x:v>
      </x:c>
    </x:row>
    <x:row r="3675" ht="32" customHeight="1">
      <x:c r="A3675" s="30" t="str">
        <x:v>A043</x:v>
      </x:c>
      <x:c r="B3675" s="30" t="str">
        <x:v>F297</x:v>
      </x:c>
      <x:c r="C3675" s="30" t="str">
        <x:v>compute.memory_capacity_bytes</x:v>
      </x:c>
      <x:c r="D3675" s="30" t="str">
        <x:v>候选输入schema</x:v>
      </x:c>
      <x:c r="E3675" s="30" t="str">
        <x:v>按执行角色权限读取；策略只能使用可访问快照</x:v>
      </x:c>
    </x:row>
    <x:row r="3676" ht="32" customHeight="1">
      <x:c r="A3676" s="30" t="str">
        <x:v>A043</x:v>
      </x:c>
      <x:c r="B3676" s="30" t="str">
        <x:v>F298</x:v>
      </x:c>
      <x:c r="C3676" s="30" t="str">
        <x:v>compute.memory_used_bytes</x:v>
      </x:c>
      <x:c r="D3676" s="30" t="str">
        <x:v>候选输入schema</x:v>
      </x:c>
      <x:c r="E3676" s="30" t="str">
        <x:v>按执行角色权限读取；策略只能使用可访问快照</x:v>
      </x:c>
    </x:row>
    <x:row r="3677" ht="32" customHeight="1">
      <x:c r="A3677" s="30" t="str">
        <x:v>A043</x:v>
      </x:c>
      <x:c r="B3677" s="30" t="str">
        <x:v>F299</x:v>
      </x:c>
      <x:c r="C3677" s="30" t="str">
        <x:v>compute.cpu_allocated</x:v>
      </x:c>
      <x:c r="D3677" s="30" t="str">
        <x:v>候选输入schema</x:v>
      </x:c>
      <x:c r="E3677" s="30" t="str">
        <x:v>按执行角色权限读取；策略只能使用可访问快照</x:v>
      </x:c>
    </x:row>
    <x:row r="3678" ht="32" customHeight="1">
      <x:c r="A3678" s="30" t="str">
        <x:v>A043</x:v>
      </x:c>
      <x:c r="B3678" s="30" t="str">
        <x:v>F300</x:v>
      </x:c>
      <x:c r="C3678" s="30" t="str">
        <x:v>compute.accelerator_allocated</x:v>
      </x:c>
      <x:c r="D3678" s="30" t="str">
        <x:v>候选输入schema</x:v>
      </x:c>
      <x:c r="E3678" s="30" t="str">
        <x:v>按执行角色权限读取；策略只能使用可访问快照</x:v>
      </x:c>
    </x:row>
    <x:row r="3679" ht="32" customHeight="1">
      <x:c r="A3679" s="30" t="str">
        <x:v>A043</x:v>
      </x:c>
      <x:c r="B3679" s="30" t="str">
        <x:v>F301</x:v>
      </x:c>
      <x:c r="C3679" s="30" t="str">
        <x:v>compute.max_concurrency</x:v>
      </x:c>
      <x:c r="D3679" s="30" t="str">
        <x:v>候选输入schema</x:v>
      </x:c>
      <x:c r="E3679" s="30" t="str">
        <x:v>按执行角色权限读取；策略只能使用可访问快照</x:v>
      </x:c>
    </x:row>
    <x:row r="3680" ht="32" customHeight="1">
      <x:c r="A3680" s="30" t="str">
        <x:v>A043</x:v>
      </x:c>
      <x:c r="B3680" s="30" t="str">
        <x:v>F302</x:v>
      </x:c>
      <x:c r="C3680" s="30" t="str">
        <x:v>compute.queue_ids</x:v>
      </x:c>
      <x:c r="D3680" s="30" t="str">
        <x:v>候选输入schema</x:v>
      </x:c>
      <x:c r="E3680" s="30" t="str">
        <x:v>按执行角色权限读取；策略只能使用可访问快照</x:v>
      </x:c>
    </x:row>
    <x:row r="3681" ht="32" customHeight="1">
      <x:c r="A3681" s="30" t="str">
        <x:v>A043</x:v>
      </x:c>
      <x:c r="B3681" s="30" t="str">
        <x:v>F303</x:v>
      </x:c>
      <x:c r="C3681" s="30" t="str">
        <x:v>compute.running_job_ids</x:v>
      </x:c>
      <x:c r="D3681" s="30" t="str">
        <x:v>候选输入schema</x:v>
      </x:c>
      <x:c r="E3681" s="30" t="str">
        <x:v>按执行角色权限读取；策略只能使用可访问快照</x:v>
      </x:c>
    </x:row>
    <x:row r="3682" ht="32" customHeight="1">
      <x:c r="A3682" s="30" t="str">
        <x:v>A043</x:v>
      </x:c>
      <x:c r="B3682" s="30" t="str">
        <x:v>F304</x:v>
      </x:c>
      <x:c r="C3682" s="30" t="str">
        <x:v>compute.availability</x:v>
      </x:c>
      <x:c r="D3682" s="30" t="str">
        <x:v>候选输入schema</x:v>
      </x:c>
      <x:c r="E3682" s="30" t="str">
        <x:v>按执行角色权限读取；策略只能使用可访问快照</x:v>
      </x:c>
    </x:row>
    <x:row r="3683" ht="32" customHeight="1">
      <x:c r="A3683" s="30" t="str">
        <x:v>A043</x:v>
      </x:c>
      <x:c r="B3683" s="30" t="str">
        <x:v>F305</x:v>
      </x:c>
      <x:c r="C3683" s="30" t="str">
        <x:v>compute.power_model</x:v>
      </x:c>
      <x:c r="D3683" s="30" t="str">
        <x:v>候选输入schema</x:v>
      </x:c>
      <x:c r="E3683" s="30" t="str">
        <x:v>按执行角色权限读取；策略只能使用可访问快照</x:v>
      </x:c>
    </x:row>
    <x:row r="3684" ht="32" customHeight="1">
      <x:c r="A3684" s="30" t="str">
        <x:v>A043</x:v>
      </x:c>
      <x:c r="B3684" s="30" t="str">
        <x:v>F306</x:v>
      </x:c>
      <x:c r="C3684" s="30" t="str">
        <x:v>compute.energy_Wh</x:v>
      </x:c>
      <x:c r="D3684" s="30" t="str">
        <x:v>候选输入schema</x:v>
      </x:c>
      <x:c r="E3684" s="30" t="str">
        <x:v>按执行角色权限读取；策略只能使用可访问快照</x:v>
      </x:c>
    </x:row>
    <x:row r="3685" ht="32" customHeight="1">
      <x:c r="A3685" s="30" t="str">
        <x:v>A043</x:v>
      </x:c>
      <x:c r="B3685" s="30" t="str">
        <x:v>F307</x:v>
      </x:c>
      <x:c r="C3685" s="30" t="str">
        <x:v>compute.service_ids</x:v>
      </x:c>
      <x:c r="D3685" s="30" t="str">
        <x:v>候选输入schema</x:v>
      </x:c>
      <x:c r="E3685" s="30" t="str">
        <x:v>按执行角色权限读取；策略只能使用可访问快照</x:v>
      </x:c>
    </x:row>
    <x:row r="3686" ht="32" customHeight="1">
      <x:c r="A3686" s="30" t="str">
        <x:v>A043</x:v>
      </x:c>
      <x:c r="B3686" s="30" t="str">
        <x:v>F308</x:v>
      </x:c>
      <x:c r="C3686" s="30" t="str">
        <x:v>compute.storage_free_bytes</x:v>
      </x:c>
      <x:c r="D3686" s="30" t="str">
        <x:v>候选输入schema</x:v>
      </x:c>
      <x:c r="E3686" s="30" t="str">
        <x:v>按执行角色权限读取；策略只能使用可访问快照</x:v>
      </x:c>
    </x:row>
    <x:row r="3687" ht="32" customHeight="1">
      <x:c r="A3687" s="30" t="str">
        <x:v>A043</x:v>
      </x:c>
      <x:c r="B3687" s="30" t="str">
        <x:v>F309</x:v>
      </x:c>
      <x:c r="C3687" s="30" t="str">
        <x:v>compute.clock_policy</x:v>
      </x:c>
      <x:c r="D3687" s="30" t="str">
        <x:v>候选输入schema</x:v>
      </x:c>
      <x:c r="E3687" s="30" t="str">
        <x:v>按执行角色权限读取；策略只能使用可访问快照</x:v>
      </x:c>
    </x:row>
    <x:row r="3688" ht="32" customHeight="1">
      <x:c r="A3688" s="30" t="str">
        <x:v>A043</x:v>
      </x:c>
      <x:c r="B3688" s="30" t="str">
        <x:v>F310</x:v>
      </x:c>
      <x:c r="C3688" s="30" t="str">
        <x:v>compute.timing_profile_id</x:v>
      </x:c>
      <x:c r="D3688" s="30" t="str">
        <x:v>候选输入schema</x:v>
      </x:c>
      <x:c r="E3688" s="30" t="str">
        <x:v>按执行角色权限读取；策略只能使用可访问快照</x:v>
      </x:c>
    </x:row>
    <x:row r="3689" ht="32" customHeight="1">
      <x:c r="A3689" s="30" t="str">
        <x:v>A043</x:v>
      </x:c>
      <x:c r="B3689" s="30" t="str">
        <x:v>F311</x:v>
      </x:c>
      <x:c r="C3689" s="30" t="str">
        <x:v>compute.temperature_state</x:v>
      </x:c>
      <x:c r="D3689" s="30" t="str">
        <x:v>候选输入schema</x:v>
      </x:c>
      <x:c r="E3689" s="30" t="str">
        <x:v>按执行角色权限读取；策略只能使用可访问快照</x:v>
      </x:c>
    </x:row>
    <x:row r="3690" ht="32" customHeight="1">
      <x:c r="A3690" s="30" t="str">
        <x:v>A043</x:v>
      </x:c>
      <x:c r="B3690" s="30" t="str">
        <x:v>F312</x:v>
      </x:c>
      <x:c r="C3690" s="30" t="str">
        <x:v>compute.network_endpoint</x:v>
      </x:c>
      <x:c r="D3690" s="30" t="str">
        <x:v>候选输入schema</x:v>
      </x:c>
      <x:c r="E3690" s="30" t="str">
        <x:v>按执行角色权限读取；策略只能使用可访问快照</x:v>
      </x:c>
    </x:row>
    <x:row r="3691" ht="32" customHeight="1">
      <x:c r="A3691" s="30" t="str">
        <x:v>A043</x:v>
      </x:c>
      <x:c r="B3691" s="30" t="str">
        <x:v>F313</x:v>
      </x:c>
      <x:c r="C3691" s="30" t="str">
        <x:v>service.kind</x:v>
      </x:c>
      <x:c r="D3691" s="30" t="str">
        <x:v>候选输入schema</x:v>
      </x:c>
      <x:c r="E3691" s="30" t="str">
        <x:v>按执行角色权限读取；策略只能使用可访问快照</x:v>
      </x:c>
    </x:row>
    <x:row r="3692" ht="32" customHeight="1">
      <x:c r="A3692" s="30" t="str">
        <x:v>A043</x:v>
      </x:c>
      <x:c r="B3692" s="30" t="str">
        <x:v>F314</x:v>
      </x:c>
      <x:c r="C3692" s="30" t="str">
        <x:v>service.model_id</x:v>
      </x:c>
      <x:c r="D3692" s="30" t="str">
        <x:v>候选输入schema</x:v>
      </x:c>
      <x:c r="E3692" s="30" t="str">
        <x:v>按执行角色权限读取；策略只能使用可访问快照</x:v>
      </x:c>
    </x:row>
    <x:row r="3693" ht="32" customHeight="1">
      <x:c r="A3693" s="30" t="str">
        <x:v>A043</x:v>
      </x:c>
      <x:c r="B3693" s="30" t="str">
        <x:v>F315</x:v>
      </x:c>
      <x:c r="C3693" s="30" t="str">
        <x:v>service.version</x:v>
      </x:c>
      <x:c r="D3693" s="30" t="str">
        <x:v>候选输入schema</x:v>
      </x:c>
      <x:c r="E3693" s="30" t="str">
        <x:v>按执行角色权限读取；策略只能使用可访问快照</x:v>
      </x:c>
    </x:row>
    <x:row r="3694" ht="32" customHeight="1">
      <x:c r="A3694" s="30" t="str">
        <x:v>A043</x:v>
      </x:c>
      <x:c r="B3694" s="30" t="str">
        <x:v>F316</x:v>
      </x:c>
      <x:c r="C3694" s="30" t="str">
        <x:v>service.host_id</x:v>
      </x:c>
      <x:c r="D3694" s="30" t="str">
        <x:v>候选输入schema</x:v>
      </x:c>
      <x:c r="E3694" s="30" t="str">
        <x:v>按执行角色权限读取；策略只能使用可访问快照</x:v>
      </x:c>
    </x:row>
    <x:row r="3695" ht="32" customHeight="1">
      <x:c r="A3695" s="30" t="str">
        <x:v>A043</x:v>
      </x:c>
      <x:c r="B3695" s="30" t="str">
        <x:v>F317</x:v>
      </x:c>
      <x:c r="C3695" s="30" t="str">
        <x:v>service.status</x:v>
      </x:c>
      <x:c r="D3695" s="30" t="str">
        <x:v>候选输入schema</x:v>
      </x:c>
      <x:c r="E3695" s="30" t="str">
        <x:v>按执行角色权限读取；策略只能使用可访问快照</x:v>
      </x:c>
    </x:row>
    <x:row r="3696" ht="32" customHeight="1">
      <x:c r="A3696" s="30" t="str">
        <x:v>A043</x:v>
      </x:c>
      <x:c r="B3696" s="30" t="str">
        <x:v>F318</x:v>
      </x:c>
      <x:c r="C3696" s="30" t="str">
        <x:v>service.input_schema</x:v>
      </x:c>
      <x:c r="D3696" s="30" t="str">
        <x:v>候选输入schema</x:v>
      </x:c>
      <x:c r="E3696" s="30" t="str">
        <x:v>按执行角色权限读取；策略只能使用可访问快照</x:v>
      </x:c>
    </x:row>
    <x:row r="3697" ht="32" customHeight="1">
      <x:c r="A3697" s="30" t="str">
        <x:v>A043</x:v>
      </x:c>
      <x:c r="B3697" s="30" t="str">
        <x:v>F319</x:v>
      </x:c>
      <x:c r="C3697" s="30" t="str">
        <x:v>service.output_schema</x:v>
      </x:c>
      <x:c r="D3697" s="30" t="str">
        <x:v>候选输入schema</x:v>
      </x:c>
      <x:c r="E3697" s="30" t="str">
        <x:v>按执行角色权限读取；策略只能使用可访问快照</x:v>
      </x:c>
    </x:row>
    <x:row r="3698" ht="32" customHeight="1">
      <x:c r="A3698" s="30" t="str">
        <x:v>A043</x:v>
      </x:c>
      <x:c r="B3698" s="30" t="str">
        <x:v>F320</x:v>
      </x:c>
      <x:c r="C3698" s="30" t="str">
        <x:v>service.precision</x:v>
      </x:c>
      <x:c r="D3698" s="30" t="str">
        <x:v>候选输入schema</x:v>
      </x:c>
      <x:c r="E3698" s="30" t="str">
        <x:v>按执行角色权限读取；策略只能使用可访问快照</x:v>
      </x:c>
    </x:row>
    <x:row r="3699" ht="32" customHeight="1">
      <x:c r="A3699" s="30" t="str">
        <x:v>A043</x:v>
      </x:c>
      <x:c r="B3699" s="30" t="str">
        <x:v>F321</x:v>
      </x:c>
      <x:c r="C3699" s="30" t="str">
        <x:v>service.weights_bytes</x:v>
      </x:c>
      <x:c r="D3699" s="30" t="str">
        <x:v>候选输入schema</x:v>
      </x:c>
      <x:c r="E3699" s="30" t="str">
        <x:v>按执行角色权限读取；策略只能使用可访问快照</x:v>
      </x:c>
    </x:row>
    <x:row r="3700" ht="32" customHeight="1">
      <x:c r="A3700" s="30" t="str">
        <x:v>A043</x:v>
      </x:c>
      <x:c r="B3700" s="30" t="str">
        <x:v>F322</x:v>
      </x:c>
      <x:c r="C3700" s="30" t="str">
        <x:v>service.working_memory_bytes</x:v>
      </x:c>
      <x:c r="D3700" s="30" t="str">
        <x:v>候选输入schema</x:v>
      </x:c>
      <x:c r="E3700" s="30" t="str">
        <x:v>按执行角色权限读取；策略只能使用可访问快照</x:v>
      </x:c>
    </x:row>
    <x:row r="3701" ht="32" customHeight="1">
      <x:c r="A3701" s="30" t="str">
        <x:v>A043</x:v>
      </x:c>
      <x:c r="B3701" s="30" t="str">
        <x:v>F323</x:v>
      </x:c>
      <x:c r="C3701" s="30" t="str">
        <x:v>service.load_latency_profile</x:v>
      </x:c>
      <x:c r="D3701" s="30" t="str">
        <x:v>候选输入schema</x:v>
      </x:c>
      <x:c r="E3701" s="30" t="str">
        <x:v>按执行角色权限读取；策略只能使用可访问快照</x:v>
      </x:c>
    </x:row>
    <x:row r="3702" ht="32" customHeight="1">
      <x:c r="A3702" s="30" t="str">
        <x:v>A043</x:v>
      </x:c>
      <x:c r="B3702" s="30" t="str">
        <x:v>F324</x:v>
      </x:c>
      <x:c r="C3702" s="30" t="str">
        <x:v>service.batch_policy</x:v>
      </x:c>
      <x:c r="D3702" s="30" t="str">
        <x:v>候选输入schema</x:v>
      </x:c>
      <x:c r="E3702" s="30" t="str">
        <x:v>按执行角色权限读取；策略只能使用可访问快照</x:v>
      </x:c>
    </x:row>
    <x:row r="3703" ht="32" customHeight="1">
      <x:c r="A3703" s="30" t="str">
        <x:v>A043</x:v>
      </x:c>
      <x:c r="B3703" s="30" t="str">
        <x:v>F325</x:v>
      </x:c>
      <x:c r="C3703" s="30" t="str">
        <x:v>service.context_limit</x:v>
      </x:c>
      <x:c r="D3703" s="30" t="str">
        <x:v>候选输入schema</x:v>
      </x:c>
      <x:c r="E3703" s="30" t="str">
        <x:v>按执行角色权限读取；策略只能使用可访问快照</x:v>
      </x:c>
    </x:row>
    <x:row r="3704" ht="32" customHeight="1">
      <x:c r="A3704" s="30" t="str">
        <x:v>A043</x:v>
      </x:c>
      <x:c r="B3704" s="30" t="str">
        <x:v>F326</x:v>
      </x:c>
      <x:c r="C3704" s="30" t="str">
        <x:v>service.quality_profile</x:v>
      </x:c>
      <x:c r="D3704" s="30" t="str">
        <x:v>候选输入schema</x:v>
      </x:c>
      <x:c r="E3704" s="30" t="str">
        <x:v>按执行角色权限读取；策略只能使用可访问快照</x:v>
      </x:c>
    </x:row>
    <x:row r="3705" ht="32" customHeight="1">
      <x:c r="A3705" s="30" t="str">
        <x:v>A043</x:v>
      </x:c>
      <x:c r="B3705" s="30" t="str">
        <x:v>F327</x:v>
      </x:c>
      <x:c r="C3705" s="30" t="str">
        <x:v>service.compatible_representations</x:v>
      </x:c>
      <x:c r="D3705" s="30" t="str">
        <x:v>候选输入schema</x:v>
      </x:c>
      <x:c r="E3705" s="30" t="str">
        <x:v>按执行角色权限读取；策略只能使用可访问快照</x:v>
      </x:c>
    </x:row>
    <x:row r="3706" ht="32" customHeight="1">
      <x:c r="A3706" s="30" t="str">
        <x:v>A043</x:v>
      </x:c>
      <x:c r="B3706" s="30" t="str">
        <x:v>F328</x:v>
      </x:c>
      <x:c r="C3706" s="30" t="str">
        <x:v>service.licence_scope</x:v>
      </x:c>
      <x:c r="D3706" s="30" t="str">
        <x:v>候选输入schema</x:v>
      </x:c>
      <x:c r="E3706" s="30" t="str">
        <x:v>按执行角色权限读取；策略只能使用可访问快照</x:v>
      </x:c>
    </x:row>
    <x:row r="3707" ht="32" customHeight="1">
      <x:c r="A3707" s="30" t="str">
        <x:v>A043</x:v>
      </x:c>
      <x:c r="B3707" s="30" t="str">
        <x:v>F329</x:v>
      </x:c>
      <x:c r="C3707" s="30" t="str">
        <x:v>job.requester_id</x:v>
      </x:c>
      <x:c r="D3707" s="30" t="str">
        <x:v>候选输入schema</x:v>
      </x:c>
      <x:c r="E3707" s="30" t="str">
        <x:v>按执行角色权限读取；策略只能使用可访问快照</x:v>
      </x:c>
    </x:row>
    <x:row r="3708" ht="32" customHeight="1">
      <x:c r="A3708" s="30" t="str">
        <x:v>A043</x:v>
      </x:c>
      <x:c r="B3708" s="30" t="str">
        <x:v>F330</x:v>
      </x:c>
      <x:c r="C3708" s="30" t="str">
        <x:v>job.task_ref</x:v>
      </x:c>
      <x:c r="D3708" s="30" t="str">
        <x:v>候选输入schema</x:v>
      </x:c>
      <x:c r="E3708" s="30" t="str">
        <x:v>按执行角色权限读取；策略只能使用可访问快照</x:v>
      </x:c>
    </x:row>
    <x:row r="3709" ht="32" customHeight="1">
      <x:c r="A3709" s="30" t="str">
        <x:v>A043</x:v>
      </x:c>
      <x:c r="B3709" s="30" t="str">
        <x:v>F331</x:v>
      </x:c>
      <x:c r="C3709" s="30" t="str">
        <x:v>job.service_id</x:v>
      </x:c>
      <x:c r="D3709" s="30" t="str">
        <x:v>候选输入schema</x:v>
      </x:c>
      <x:c r="E3709" s="30" t="str">
        <x:v>按执行角色权限读取；策略只能使用可访问快照</x:v>
      </x:c>
    </x:row>
    <x:row r="3710" ht="32" customHeight="1">
      <x:c r="A3710" s="30" t="str">
        <x:v>A043</x:v>
      </x:c>
      <x:c r="B3710" s="30" t="str">
        <x:v>F332</x:v>
      </x:c>
      <x:c r="C3710" s="30" t="str">
        <x:v>job.input_evidence_ids</x:v>
      </x:c>
      <x:c r="D3710" s="30" t="str">
        <x:v>候选输入schema</x:v>
      </x:c>
      <x:c r="E3710" s="30" t="str">
        <x:v>按执行角色权限读取；策略只能使用可访问快照</x:v>
      </x:c>
    </x:row>
    <x:row r="3711" ht="32" customHeight="1">
      <x:c r="A3711" s="30" t="str">
        <x:v>A043</x:v>
      </x:c>
      <x:c r="B3711" s="30" t="str">
        <x:v>F333</x:v>
      </x:c>
      <x:c r="C3711" s="30" t="str">
        <x:v>job.input_bytes</x:v>
      </x:c>
      <x:c r="D3711" s="30" t="str">
        <x:v>候选输入schema</x:v>
      </x:c>
      <x:c r="E3711" s="30" t="str">
        <x:v>按执行角色权限读取；策略只能使用可访问快照</x:v>
      </x:c>
    </x:row>
    <x:row r="3712" ht="32" customHeight="1">
      <x:c r="A3712" s="30" t="str">
        <x:v>A043</x:v>
      </x:c>
      <x:c r="B3712" s="30" t="str">
        <x:v>F334</x:v>
      </x:c>
      <x:c r="C3712" s="30" t="str">
        <x:v>job.input_tokens</x:v>
      </x:c>
      <x:c r="D3712" s="30" t="str">
        <x:v>候选输入schema</x:v>
      </x:c>
      <x:c r="E3712" s="30" t="str">
        <x:v>按执行角色权限读取；策略只能使用可访问快照</x:v>
      </x:c>
    </x:row>
    <x:row r="3713" ht="32" customHeight="1">
      <x:c r="A3713" s="30" t="str">
        <x:v>A043</x:v>
      </x:c>
      <x:c r="B3713" s="30" t="str">
        <x:v>F335</x:v>
      </x:c>
      <x:c r="C3713" s="30" t="str">
        <x:v>job.output_tokens</x:v>
      </x:c>
      <x:c r="D3713" s="30" t="str">
        <x:v>候选输入schema</x:v>
      </x:c>
      <x:c r="E3713" s="30" t="str">
        <x:v>按执行角色权限读取；策略只能使用可访问快照</x:v>
      </x:c>
    </x:row>
    <x:row r="3714" ht="32" customHeight="1">
      <x:c r="A3714" s="30" t="str">
        <x:v>A043</x:v>
      </x:c>
      <x:c r="B3714" s="30" t="str">
        <x:v>F336</x:v>
      </x:c>
      <x:c r="C3714" s="30" t="str">
        <x:v>job.status</x:v>
      </x:c>
      <x:c r="D3714" s="30" t="str">
        <x:v>候选输入schema</x:v>
      </x:c>
      <x:c r="E3714" s="30" t="str">
        <x:v>按执行角色权限读取；策略只能使用可访问快照</x:v>
      </x:c>
    </x:row>
    <x:row r="3715" ht="32" customHeight="1">
      <x:c r="A3715" s="30" t="str">
        <x:v>A043</x:v>
      </x:c>
      <x:c r="B3715" s="30" t="str">
        <x:v>F337</x:v>
      </x:c>
      <x:c r="C3715" s="30" t="str">
        <x:v>job.queue_enter_s</x:v>
      </x:c>
      <x:c r="D3715" s="30" t="str">
        <x:v>候选输入schema</x:v>
      </x:c>
      <x:c r="E3715" s="30" t="str">
        <x:v>按执行角色权限读取；策略只能使用可访问快照</x:v>
      </x:c>
    </x:row>
    <x:row r="3716" ht="32" customHeight="1">
      <x:c r="A3716" s="30" t="str">
        <x:v>A043</x:v>
      </x:c>
      <x:c r="B3716" s="30" t="str">
        <x:v>F338</x:v>
      </x:c>
      <x:c r="C3716" s="30" t="str">
        <x:v>job.start_s</x:v>
      </x:c>
      <x:c r="D3716" s="30" t="str">
        <x:v>候选输入schema</x:v>
      </x:c>
      <x:c r="E3716" s="30" t="str">
        <x:v>按执行角色权限读取；策略只能使用可访问快照</x:v>
      </x:c>
    </x:row>
    <x:row r="3717" ht="32" customHeight="1">
      <x:c r="A3717" s="30" t="str">
        <x:v>A043</x:v>
      </x:c>
      <x:c r="B3717" s="30" t="str">
        <x:v>F339</x:v>
      </x:c>
      <x:c r="C3717" s="30" t="str">
        <x:v>job.finish_s</x:v>
      </x:c>
      <x:c r="D3717" s="30" t="str">
        <x:v>候选输入schema</x:v>
      </x:c>
      <x:c r="E3717" s="30" t="str">
        <x:v>按执行角色权限读取；策略只能使用可访问快照</x:v>
      </x:c>
    </x:row>
    <x:row r="3718" ht="32" customHeight="1">
      <x:c r="A3718" s="30" t="str">
        <x:v>A043</x:v>
      </x:c>
      <x:c r="B3718" s="30" t="str">
        <x:v>F340</x:v>
      </x:c>
      <x:c r="C3718" s="30" t="str">
        <x:v>job.deadline_s</x:v>
      </x:c>
      <x:c r="D3718" s="30" t="str">
        <x:v>候选输入schema</x:v>
      </x:c>
      <x:c r="E3718" s="30" t="str">
        <x:v>按执行角色权限读取；策略只能使用可访问快照</x:v>
      </x:c>
    </x:row>
    <x:row r="3719" ht="32" customHeight="1">
      <x:c r="A3719" s="30" t="str">
        <x:v>A043</x:v>
      </x:c>
      <x:c r="B3719" s="30" t="str">
        <x:v>F341</x:v>
      </x:c>
      <x:c r="C3719" s="30" t="str">
        <x:v>job.cpu_request</x:v>
      </x:c>
      <x:c r="D3719" s="30" t="str">
        <x:v>候选输入schema</x:v>
      </x:c>
      <x:c r="E3719" s="30" t="str">
        <x:v>按执行角色权限读取；策略只能使用可访问快照</x:v>
      </x:c>
    </x:row>
    <x:row r="3720" ht="32" customHeight="1">
      <x:c r="A3720" s="30" t="str">
        <x:v>A043</x:v>
      </x:c>
      <x:c r="B3720" s="30" t="str">
        <x:v>F342</x:v>
      </x:c>
      <x:c r="C3720" s="30" t="str">
        <x:v>job.memory_request_bytes</x:v>
      </x:c>
      <x:c r="D3720" s="30" t="str">
        <x:v>候选输入schema</x:v>
      </x:c>
      <x:c r="E3720" s="30" t="str">
        <x:v>按执行角色权限读取；策略只能使用可访问快照</x:v>
      </x:c>
    </x:row>
    <x:row r="3721" ht="32" customHeight="1">
      <x:c r="A3721" s="30" t="str">
        <x:v>A043</x:v>
      </x:c>
      <x:c r="B3721" s="30" t="str">
        <x:v>F343</x:v>
      </x:c>
      <x:c r="C3721" s="30" t="str">
        <x:v>job.prefill_s</x:v>
      </x:c>
      <x:c r="D3721" s="30" t="str">
        <x:v>候选输入schema</x:v>
      </x:c>
      <x:c r="E3721" s="30" t="str">
        <x:v>按执行角色权限读取；策略只能使用可访问快照</x:v>
      </x:c>
    </x:row>
    <x:row r="3722" ht="32" customHeight="1">
      <x:c r="A3722" s="30" t="str">
        <x:v>A043</x:v>
      </x:c>
      <x:c r="B3722" s="30" t="str">
        <x:v>F344</x:v>
      </x:c>
      <x:c r="C3722" s="30" t="str">
        <x:v>job.decode_s</x:v>
      </x:c>
      <x:c r="D3722" s="30" t="str">
        <x:v>候选输入schema</x:v>
      </x:c>
      <x:c r="E3722" s="30" t="str">
        <x:v>按执行角色权限读取；策略只能使用可访问快照</x:v>
      </x:c>
    </x:row>
    <x:row r="3723" ht="32" customHeight="1">
      <x:c r="A3723" s="30" t="str">
        <x:v>A043</x:v>
      </x:c>
      <x:c r="B3723" s="30" t="str">
        <x:v>F345</x:v>
      </x:c>
      <x:c r="C3723" s="30" t="str">
        <x:v>job.wall_time_s</x:v>
      </x:c>
      <x:c r="D3723" s="30" t="str">
        <x:v>候选输入schema</x:v>
      </x:c>
      <x:c r="E3723" s="30" t="str">
        <x:v>按执行角色权限读取；策略只能使用可访问快照</x:v>
      </x:c>
    </x:row>
    <x:row r="3724" ht="32" customHeight="1">
      <x:c r="A3724" s="30" t="str">
        <x:v>A043</x:v>
      </x:c>
      <x:c r="B3724" s="30" t="str">
        <x:v>F346</x:v>
      </x:c>
      <x:c r="C3724" s="30" t="str">
        <x:v>job.result_ref</x:v>
      </x:c>
      <x:c r="D3724" s="30" t="str">
        <x:v>候选输入schema</x:v>
      </x:c>
      <x:c r="E3724" s="30" t="str">
        <x:v>按执行角色权限读取；策略只能使用可访问快照</x:v>
      </x:c>
    </x:row>
    <x:row r="3725" ht="32" customHeight="1">
      <x:c r="A3725" s="30" t="str">
        <x:v>A043</x:v>
      </x:c>
      <x:c r="B3725" s="30" t="str">
        <x:v>F347</x:v>
      </x:c>
      <x:c r="C3725" s="30" t="str">
        <x:v>job.checkpoint_ref</x:v>
      </x:c>
      <x:c r="D3725" s="30" t="str">
        <x:v>候选输入schema</x:v>
      </x:c>
      <x:c r="E3725" s="30" t="str">
        <x:v>按执行角色权限读取；策略只能使用可访问快照</x:v>
      </x:c>
    </x:row>
    <x:row r="3726" ht="32" customHeight="1">
      <x:c r="A3726" s="30" t="str">
        <x:v>A043</x:v>
      </x:c>
      <x:c r="B3726" s="30" t="str">
        <x:v>F348</x:v>
      </x:c>
      <x:c r="C3726" s="30" t="str">
        <x:v>job.failure_reason</x:v>
      </x:c>
      <x:c r="D3726" s="30" t="str">
        <x:v>候选输入schema</x:v>
      </x:c>
      <x:c r="E3726" s="30" t="str">
        <x:v>按执行角色权限读取；策略只能使用可访问快照</x:v>
      </x:c>
    </x:row>
    <x:row r="3727" ht="32" customHeight="1">
      <x:c r="A3727" s="30" t="str">
        <x:v>A043</x:v>
      </x:c>
      <x:c r="B3727" s="30" t="str">
        <x:v>F349</x:v>
      </x:c>
      <x:c r="C3727" s="30" t="str">
        <x:v>cache.owner_id</x:v>
      </x:c>
      <x:c r="D3727" s="30" t="str">
        <x:v>候选输入schema</x:v>
      </x:c>
      <x:c r="E3727" s="30" t="str">
        <x:v>按执行角色权限读取；策略只能使用可访问快照</x:v>
      </x:c>
    </x:row>
    <x:row r="3728" ht="32" customHeight="1">
      <x:c r="A3728" s="30" t="str">
        <x:v>A043</x:v>
      </x:c>
      <x:c r="B3728" s="30" t="str">
        <x:v>F350</x:v>
      </x:c>
      <x:c r="C3728" s="30" t="str">
        <x:v>cache.kind</x:v>
      </x:c>
      <x:c r="D3728" s="30" t="str">
        <x:v>候选输入schema</x:v>
      </x:c>
      <x:c r="E3728" s="30" t="str">
        <x:v>按执行角色权限读取；策略只能使用可访问快照</x:v>
      </x:c>
    </x:row>
    <x:row r="3729" ht="32" customHeight="1">
      <x:c r="A3729" s="30" t="str">
        <x:v>A043</x:v>
      </x:c>
      <x:c r="B3729" s="30" t="str">
        <x:v>F351</x:v>
      </x:c>
      <x:c r="C3729" s="30" t="str">
        <x:v>cache.model_version</x:v>
      </x:c>
      <x:c r="D3729" s="30" t="str">
        <x:v>候选输入schema</x:v>
      </x:c>
      <x:c r="E3729" s="30" t="str">
        <x:v>按执行角色权限读取；策略只能使用可访问快照</x:v>
      </x:c>
    </x:row>
    <x:row r="3730" ht="32" customHeight="1">
      <x:c r="A3730" s="30" t="str">
        <x:v>A043</x:v>
      </x:c>
      <x:c r="B3730" s="30" t="str">
        <x:v>F352</x:v>
      </x:c>
      <x:c r="C3730" s="30" t="str">
        <x:v>cache.content_ids</x:v>
      </x:c>
      <x:c r="D3730" s="30" t="str">
        <x:v>候选输入schema</x:v>
      </x:c>
      <x:c r="E3730" s="30" t="str">
        <x:v>按执行角色权限读取；策略只能使用可访问快照</x:v>
      </x:c>
    </x:row>
    <x:row r="3731" ht="32" customHeight="1">
      <x:c r="A3731" s="30" t="str">
        <x:v>A043</x:v>
      </x:c>
      <x:c r="B3731" s="30" t="str">
        <x:v>F353</x:v>
      </x:c>
      <x:c r="C3731" s="30" t="str">
        <x:v>cache.size_bytes</x:v>
      </x:c>
      <x:c r="D3731" s="30" t="str">
        <x:v>候选输入schema</x:v>
      </x:c>
      <x:c r="E3731" s="30" t="str">
        <x:v>按执行角色权限读取；策略只能使用可访问快照</x:v>
      </x:c>
    </x:row>
    <x:row r="3732" ht="32" customHeight="1">
      <x:c r="A3732" s="30" t="str">
        <x:v>A043</x:v>
      </x:c>
      <x:c r="B3732" s="30" t="str">
        <x:v>F354</x:v>
      </x:c>
      <x:c r="C3732" s="30" t="str">
        <x:v>cache.location</x:v>
      </x:c>
      <x:c r="D3732" s="30" t="str">
        <x:v>候选输入schema</x:v>
      </x:c>
      <x:c r="E3732" s="30" t="str">
        <x:v>按执行角色权限读取；策略只能使用可访问快照</x:v>
      </x:c>
    </x:row>
    <x:row r="3733" ht="32" customHeight="1">
      <x:c r="A3733" s="30" t="str">
        <x:v>A043</x:v>
      </x:c>
      <x:c r="B3733" s="30" t="str">
        <x:v>F355</x:v>
      </x:c>
      <x:c r="C3733" s="30" t="str">
        <x:v>cache.valid_until_s</x:v>
      </x:c>
      <x:c r="D3733" s="30" t="str">
        <x:v>候选输入schema</x:v>
      </x:c>
      <x:c r="E3733" s="30" t="str">
        <x:v>按执行角色权限读取；策略只能使用可访问快照</x:v>
      </x:c>
    </x:row>
    <x:row r="3734" ht="32" customHeight="1">
      <x:c r="A3734" s="30" t="str">
        <x:v>A043</x:v>
      </x:c>
      <x:c r="B3734" s="30" t="str">
        <x:v>F356</x:v>
      </x:c>
      <x:c r="C3734" s="30" t="str">
        <x:v>cache.reuse_compatible</x:v>
      </x:c>
      <x:c r="D3734" s="30" t="str">
        <x:v>候选输入schema</x:v>
      </x:c>
      <x:c r="E3734" s="30" t="str">
        <x:v>按执行角色权限读取；策略只能使用可访问快照</x:v>
      </x:c>
    </x:row>
    <x:row r="3735" ht="32" customHeight="1">
      <x:c r="A3735" s="30" t="str">
        <x:v>A043</x:v>
      </x:c>
      <x:c r="B3735" s="30" t="str">
        <x:v>F357</x:v>
      </x:c>
      <x:c r="C3735" s="30" t="str">
        <x:v>cache.hit_count</x:v>
      </x:c>
      <x:c r="D3735" s="30" t="str">
        <x:v>候选输入schema</x:v>
      </x:c>
      <x:c r="E3735" s="30" t="str">
        <x:v>按执行角色权限读取；策略只能使用可访问快照</x:v>
      </x:c>
    </x:row>
    <x:row r="3736" ht="32" customHeight="1">
      <x:c r="A3736" s="30" t="str">
        <x:v>A043</x:v>
      </x:c>
      <x:c r="B3736" s="30" t="str">
        <x:v>F358</x:v>
      </x:c>
      <x:c r="C3736" s="30" t="str">
        <x:v>cache.eviction_state</x:v>
      </x:c>
      <x:c r="D3736" s="30" t="str">
        <x:v>候选输入schema</x:v>
      </x:c>
      <x:c r="E3736" s="30" t="str">
        <x:v>按执行角色权限读取；策略只能使用可访问快照</x:v>
      </x:c>
    </x:row>
    <x:row r="3737" ht="32" customHeight="1">
      <x:c r="A3737" s="30" t="str">
        <x:v>A043</x:v>
      </x:c>
      <x:c r="B3737" s="30" t="str">
        <x:v>F331</x:v>
      </x:c>
      <x:c r="C3737" s="30" t="str">
        <x:v>job.service_id</x:v>
      </x:c>
      <x:c r="D3737" s="30" t="str">
        <x:v>直接效果</x:v>
      </x:c>
      <x:c r="E3737" s="30" t="str">
        <x:v>经实际执行/回执提交；不是规划时提前修改</x:v>
      </x:c>
    </x:row>
    <x:row r="3738" ht="32" customHeight="1">
      <x:c r="A3738" s="30" t="str">
        <x:v>A043</x:v>
      </x:c>
      <x:c r="B3738" s="30" t="str">
        <x:v>F340</x:v>
      </x:c>
      <x:c r="C3738" s="30" t="str">
        <x:v>job.deadline_s</x:v>
      </x:c>
      <x:c r="D3738" s="30" t="str">
        <x:v>直接效果</x:v>
      </x:c>
      <x:c r="E3738" s="30" t="str">
        <x:v>经实际执行/回执提交；不是规划时提前修改</x:v>
      </x:c>
    </x:row>
    <x:row r="3739" ht="32" customHeight="1">
      <x:c r="A3739" s="30" t="str">
        <x:v>A043</x:v>
      </x:c>
      <x:c r="B3739" s="30" t="str">
        <x:v>F341</x:v>
      </x:c>
      <x:c r="C3739" s="30" t="str">
        <x:v>job.cpu_request</x:v>
      </x:c>
      <x:c r="D3739" s="30" t="str">
        <x:v>直接效果</x:v>
      </x:c>
      <x:c r="E3739" s="30" t="str">
        <x:v>经实际执行/回执提交；不是规划时提前修改</x:v>
      </x:c>
    </x:row>
    <x:row r="3740" ht="32" customHeight="1">
      <x:c r="A3740" s="30" t="str">
        <x:v>A043</x:v>
      </x:c>
      <x:c r="B3740" s="30" t="str">
        <x:v>F342</x:v>
      </x:c>
      <x:c r="C3740" s="30" t="str">
        <x:v>job.memory_request_bytes</x:v>
      </x:c>
      <x:c r="D3740" s="30" t="str">
        <x:v>直接效果</x:v>
      </x:c>
      <x:c r="E3740" s="30" t="str">
        <x:v>经实际执行/回执提交；不是规划时提前修改</x:v>
      </x:c>
    </x:row>
    <x:row r="3741" ht="32" customHeight="1">
      <x:c r="A3741" s="30" t="str">
        <x:v>A044</x:v>
      </x:c>
      <x:c r="B3741" s="30" t="str">
        <x:v>F196</x:v>
      </x:c>
      <x:c r="C3741" s="30" t="str">
        <x:v>task.type</x:v>
      </x:c>
      <x:c r="D3741" s="30" t="str">
        <x:v>候选输入schema</x:v>
      </x:c>
      <x:c r="E3741" s="30" t="str">
        <x:v>按执行角色权限读取；策略只能使用可访问快照</x:v>
      </x:c>
    </x:row>
    <x:row r="3742" ht="32" customHeight="1">
      <x:c r="A3742" s="30" t="str">
        <x:v>A044</x:v>
      </x:c>
      <x:c r="B3742" s="30" t="str">
        <x:v>F197</x:v>
      </x:c>
      <x:c r="C3742" s="30" t="str">
        <x:v>task.creator_id</x:v>
      </x:c>
      <x:c r="D3742" s="30" t="str">
        <x:v>候选输入schema</x:v>
      </x:c>
      <x:c r="E3742" s="30" t="str">
        <x:v>按执行角色权限读取；策略只能使用可访问快照</x:v>
      </x:c>
    </x:row>
    <x:row r="3743" ht="32" customHeight="1">
      <x:c r="A3743" s="30" t="str">
        <x:v>A044</x:v>
      </x:c>
      <x:c r="B3743" s="30" t="str">
        <x:v>F198</x:v>
      </x:c>
      <x:c r="C3743" s="30" t="str">
        <x:v>task.target_ref</x:v>
      </x:c>
      <x:c r="D3743" s="30" t="str">
        <x:v>候选输入schema</x:v>
      </x:c>
      <x:c r="E3743" s="30" t="str">
        <x:v>按执行角色权限读取；策略只能使用可访问快照</x:v>
      </x:c>
    </x:row>
    <x:row r="3744" ht="32" customHeight="1">
      <x:c r="A3744" s="30" t="str">
        <x:v>A044</x:v>
      </x:c>
      <x:c r="B3744" s="30" t="str">
        <x:v>F199</x:v>
      </x:c>
      <x:c r="C3744" s="30" t="str">
        <x:v>task.goal_predicate</x:v>
      </x:c>
      <x:c r="D3744" s="30" t="str">
        <x:v>候选输入schema</x:v>
      </x:c>
      <x:c r="E3744" s="30" t="str">
        <x:v>按执行角色权限读取；策略只能使用可访问快照</x:v>
      </x:c>
    </x:row>
    <x:row r="3745" ht="32" customHeight="1">
      <x:c r="A3745" s="30" t="str">
        <x:v>A044</x:v>
      </x:c>
      <x:c r="B3745" s="30" t="str">
        <x:v>F200</x:v>
      </x:c>
      <x:c r="C3745" s="30" t="str">
        <x:v>task.revision</x:v>
      </x:c>
      <x:c r="D3745" s="30" t="str">
        <x:v>候选输入schema</x:v>
      </x:c>
      <x:c r="E3745" s="30" t="str">
        <x:v>按执行角色权限读取；策略只能使用可访问快照</x:v>
      </x:c>
    </x:row>
    <x:row r="3746" ht="32" customHeight="1">
      <x:c r="A3746" s="30" t="str">
        <x:v>A044</x:v>
      </x:c>
      <x:c r="B3746" s="30" t="str">
        <x:v>F201</x:v>
      </x:c>
      <x:c r="C3746" s="30" t="str">
        <x:v>task.status</x:v>
      </x:c>
      <x:c r="D3746" s="30" t="str">
        <x:v>候选输入schema</x:v>
      </x:c>
      <x:c r="E3746" s="30" t="str">
        <x:v>按执行角色权限读取；策略只能使用可访问快照</x:v>
      </x:c>
    </x:row>
    <x:row r="3747" ht="32" customHeight="1">
      <x:c r="A3747" s="30" t="str">
        <x:v>A044</x:v>
      </x:c>
      <x:c r="B3747" s="30" t="str">
        <x:v>F202</x:v>
      </x:c>
      <x:c r="C3747" s="30" t="str">
        <x:v>task.priority</x:v>
      </x:c>
      <x:c r="D3747" s="30" t="str">
        <x:v>候选输入schema</x:v>
      </x:c>
      <x:c r="E3747" s="30" t="str">
        <x:v>按执行角色权限读取；策略只能使用可访问快照</x:v>
      </x:c>
    </x:row>
    <x:row r="3748" ht="32" customHeight="1">
      <x:c r="A3748" s="30" t="str">
        <x:v>A044</x:v>
      </x:c>
      <x:c r="B3748" s="30" t="str">
        <x:v>F203</x:v>
      </x:c>
      <x:c r="C3748" s="30" t="str">
        <x:v>task.deadline_s</x:v>
      </x:c>
      <x:c r="D3748" s="30" t="str">
        <x:v>候选输入schema</x:v>
      </x:c>
      <x:c r="E3748" s="30" t="str">
        <x:v>按执行角色权限读取；策略只能使用可访问快照</x:v>
      </x:c>
    </x:row>
    <x:row r="3749" ht="32" customHeight="1">
      <x:c r="A3749" s="30" t="str">
        <x:v>A044</x:v>
      </x:c>
      <x:c r="B3749" s="30" t="str">
        <x:v>F204</x:v>
      </x:c>
      <x:c r="C3749" s="30" t="str">
        <x:v>task.dependency_ids</x:v>
      </x:c>
      <x:c r="D3749" s="30" t="str">
        <x:v>候选输入schema</x:v>
      </x:c>
      <x:c r="E3749" s="30" t="str">
        <x:v>按执行角色权限读取；策略只能使用可访问快照</x:v>
      </x:c>
    </x:row>
    <x:row r="3750" ht="32" customHeight="1">
      <x:c r="A3750" s="30" t="str">
        <x:v>A044</x:v>
      </x:c>
      <x:c r="B3750" s="30" t="str">
        <x:v>F205</x:v>
      </x:c>
      <x:c r="C3750" s="30" t="str">
        <x:v>task.required_capability_ids</x:v>
      </x:c>
      <x:c r="D3750" s="30" t="str">
        <x:v>候选输入schema</x:v>
      </x:c>
      <x:c r="E3750" s="30" t="str">
        <x:v>按执行角色权限读取；策略只能使用可访问快照</x:v>
      </x:c>
    </x:row>
    <x:row r="3751" ht="32" customHeight="1">
      <x:c r="A3751" s="30" t="str">
        <x:v>A044</x:v>
      </x:c>
      <x:c r="B3751" s="30" t="str">
        <x:v>F206</x:v>
      </x:c>
      <x:c r="C3751" s="30" t="str">
        <x:v>task.resource_budget</x:v>
      </x:c>
      <x:c r="D3751" s="30" t="str">
        <x:v>候选输入schema</x:v>
      </x:c>
      <x:c r="E3751" s="30" t="str">
        <x:v>按执行角色权限读取；策略只能使用可访问快照</x:v>
      </x:c>
    </x:row>
    <x:row r="3752" ht="32" customHeight="1">
      <x:c r="A3752" s="30" t="str">
        <x:v>A044</x:v>
      </x:c>
      <x:c r="B3752" s="30" t="str">
        <x:v>F207</x:v>
      </x:c>
      <x:c r="C3752" s="30" t="str">
        <x:v>task.assigned_to</x:v>
      </x:c>
      <x:c r="D3752" s="30" t="str">
        <x:v>候选输入schema</x:v>
      </x:c>
      <x:c r="E3752" s="30" t="str">
        <x:v>按执行角色权限读取；策略只能使用可访问快照</x:v>
      </x:c>
    </x:row>
    <x:row r="3753" ht="32" customHeight="1">
      <x:c r="A3753" s="30" t="str">
        <x:v>A044</x:v>
      </x:c>
      <x:c r="B3753" s="30" t="str">
        <x:v>F208</x:v>
      </x:c>
      <x:c r="C3753" s="30" t="str">
        <x:v>task.accepted_by</x:v>
      </x:c>
      <x:c r="D3753" s="30" t="str">
        <x:v>候选输入schema</x:v>
      </x:c>
      <x:c r="E3753" s="30" t="str">
        <x:v>按执行角色权限读取；策略只能使用可访问快照</x:v>
      </x:c>
    </x:row>
    <x:row r="3754" ht="32" customHeight="1">
      <x:c r="A3754" s="30" t="str">
        <x:v>A044</x:v>
      </x:c>
      <x:c r="B3754" s="30" t="str">
        <x:v>F209</x:v>
      </x:c>
      <x:c r="C3754" s="30" t="str">
        <x:v>task.commitment_window</x:v>
      </x:c>
      <x:c r="D3754" s="30" t="str">
        <x:v>候选输入schema</x:v>
      </x:c>
      <x:c r="E3754" s="30" t="str">
        <x:v>按执行角色权限读取；策略只能使用可访问快照</x:v>
      </x:c>
    </x:row>
    <x:row r="3755" ht="32" customHeight="1">
      <x:c r="A3755" s="30" t="str">
        <x:v>A044</x:v>
      </x:c>
      <x:c r="B3755" s="30" t="str">
        <x:v>F210</x:v>
      </x:c>
      <x:c r="C3755" s="30" t="str">
        <x:v>task.progress</x:v>
      </x:c>
      <x:c r="D3755" s="30" t="str">
        <x:v>候选输入schema</x:v>
      </x:c>
      <x:c r="E3755" s="30" t="str">
        <x:v>按执行角色权限读取；策略只能使用可访问快照</x:v>
      </x:c>
    </x:row>
    <x:row r="3756" ht="32" customHeight="1">
      <x:c r="A3756" s="30" t="str">
        <x:v>A044</x:v>
      </x:c>
      <x:c r="B3756" s="30" t="str">
        <x:v>F211</x:v>
      </x:c>
      <x:c r="C3756" s="30" t="str">
        <x:v>task.active_action_ids</x:v>
      </x:c>
      <x:c r="D3756" s="30" t="str">
        <x:v>候选输入schema</x:v>
      </x:c>
      <x:c r="E3756" s="30" t="str">
        <x:v>按执行角色权限读取；策略只能使用可访问快照</x:v>
      </x:c>
    </x:row>
    <x:row r="3757" ht="32" customHeight="1">
      <x:c r="A3757" s="30" t="str">
        <x:v>A044</x:v>
      </x:c>
      <x:c r="B3757" s="30" t="str">
        <x:v>F212</x:v>
      </x:c>
      <x:c r="C3757" s="30" t="str">
        <x:v>task.interruptibility</x:v>
      </x:c>
      <x:c r="D3757" s="30" t="str">
        <x:v>候选输入schema</x:v>
      </x:c>
      <x:c r="E3757" s="30" t="str">
        <x:v>按执行角色权限读取；策略只能使用可访问快照</x:v>
      </x:c>
    </x:row>
    <x:row r="3758" ht="32" customHeight="1">
      <x:c r="A3758" s="30" t="str">
        <x:v>A044</x:v>
      </x:c>
      <x:c r="B3758" s="30" t="str">
        <x:v>F213</x:v>
      </x:c>
      <x:c r="C3758" s="30" t="str">
        <x:v>task.original_task_id</x:v>
      </x:c>
      <x:c r="D3758" s="30" t="str">
        <x:v>候选输入schema</x:v>
      </x:c>
      <x:c r="E3758" s="30" t="str">
        <x:v>按执行角色权限读取；策略只能使用可访问快照</x:v>
      </x:c>
    </x:row>
    <x:row r="3759" ht="32" customHeight="1">
      <x:c r="A3759" s="30" t="str">
        <x:v>A044</x:v>
      </x:c>
      <x:c r="B3759" s="30" t="str">
        <x:v>F214</x:v>
      </x:c>
      <x:c r="C3759" s="30" t="str">
        <x:v>task.resume_checkpoint</x:v>
      </x:c>
      <x:c r="D3759" s="30" t="str">
        <x:v>候选输入schema</x:v>
      </x:c>
      <x:c r="E3759" s="30" t="str">
        <x:v>按执行角色权限读取；策略只能使用可访问快照</x:v>
      </x:c>
    </x:row>
    <x:row r="3760" ht="32" customHeight="1">
      <x:c r="A3760" s="30" t="str">
        <x:v>A044</x:v>
      </x:c>
      <x:c r="B3760" s="30" t="str">
        <x:v>F215</x:v>
      </x:c>
      <x:c r="C3760" s="30" t="str">
        <x:v>task.handoff_target_id</x:v>
      </x:c>
      <x:c r="D3760" s="30" t="str">
        <x:v>候选输入schema</x:v>
      </x:c>
      <x:c r="E3760" s="30" t="str">
        <x:v>按执行角色权限读取；策略只能使用可访问快照</x:v>
      </x:c>
    </x:row>
    <x:row r="3761" ht="32" customHeight="1">
      <x:c r="A3761" s="30" t="str">
        <x:v>A044</x:v>
      </x:c>
      <x:c r="B3761" s="30" t="str">
        <x:v>F216</x:v>
      </x:c>
      <x:c r="C3761" s="30" t="str">
        <x:v>task.result_evidence_ids</x:v>
      </x:c>
      <x:c r="D3761" s="30" t="str">
        <x:v>候选输入schema</x:v>
      </x:c>
      <x:c r="E3761" s="30" t="str">
        <x:v>按执行角色权限读取；策略只能使用可访问快照</x:v>
      </x:c>
    </x:row>
    <x:row r="3762" ht="32" customHeight="1">
      <x:c r="A3762" s="30" t="str">
        <x:v>A044</x:v>
      </x:c>
      <x:c r="B3762" s="30" t="str">
        <x:v>F217</x:v>
      </x:c>
      <x:c r="C3762" s="30" t="str">
        <x:v>task.failure_reason</x:v>
      </x:c>
      <x:c r="D3762" s="30" t="str">
        <x:v>候选输入schema</x:v>
      </x:c>
      <x:c r="E3762" s="30" t="str">
        <x:v>按执行角色权限读取；策略只能使用可访问快照</x:v>
      </x:c>
    </x:row>
    <x:row r="3763" ht="32" customHeight="1">
      <x:c r="A3763" s="30" t="str">
        <x:v>A044</x:v>
      </x:c>
      <x:c r="B3763" s="30" t="str">
        <x:v>F218</x:v>
      </x:c>
      <x:c r="C3763" s="30" t="str">
        <x:v>task.last_event_s</x:v>
      </x:c>
      <x:c r="D3763" s="30" t="str">
        <x:v>候选输入schema</x:v>
      </x:c>
      <x:c r="E3763" s="30" t="str">
        <x:v>按执行角色权限读取；策略只能使用可访问快照</x:v>
      </x:c>
    </x:row>
    <x:row r="3764" ht="32" customHeight="1">
      <x:c r="A3764" s="30" t="str">
        <x:v>A044</x:v>
      </x:c>
      <x:c r="B3764" s="30" t="str">
        <x:v>F219</x:v>
      </x:c>
      <x:c r="C3764" s="30" t="str">
        <x:v>task.opportunity_cost</x:v>
      </x:c>
      <x:c r="D3764" s="30" t="str">
        <x:v>候选输入schema</x:v>
      </x:c>
      <x:c r="E3764" s="30" t="str">
        <x:v>按执行角色权限读取；策略只能使用可访问快照</x:v>
      </x:c>
    </x:row>
    <x:row r="3765" ht="32" customHeight="1">
      <x:c r="A3765" s="30" t="str">
        <x:v>A044</x:v>
      </x:c>
      <x:c r="B3765" s="30" t="str">
        <x:v>F230</x:v>
      </x:c>
      <x:c r="C3765" s="30" t="str">
        <x:v>action.type</x:v>
      </x:c>
      <x:c r="D3765" s="30" t="str">
        <x:v>候选输入schema</x:v>
      </x:c>
      <x:c r="E3765" s="30" t="str">
        <x:v>按执行角色权限读取；策略只能使用可访问快照</x:v>
      </x:c>
    </x:row>
    <x:row r="3766" ht="32" customHeight="1">
      <x:c r="A3766" s="30" t="str">
        <x:v>A044</x:v>
      </x:c>
      <x:c r="B3766" s="30" t="str">
        <x:v>F231</x:v>
      </x:c>
      <x:c r="C3766" s="30" t="str">
        <x:v>action.executor_id</x:v>
      </x:c>
      <x:c r="D3766" s="30" t="str">
        <x:v>候选输入schema</x:v>
      </x:c>
      <x:c r="E3766" s="30" t="str">
        <x:v>按执行角色权限读取；策略只能使用可访问快照</x:v>
      </x:c>
    </x:row>
    <x:row r="3767" ht="32" customHeight="1">
      <x:c r="A3767" s="30" t="str">
        <x:v>A044</x:v>
      </x:c>
      <x:c r="B3767" s="30" t="str">
        <x:v>F232</x:v>
      </x:c>
      <x:c r="C3767" s="30" t="str">
        <x:v>action.task_ref</x:v>
      </x:c>
      <x:c r="D3767" s="30" t="str">
        <x:v>候选输入schema</x:v>
      </x:c>
      <x:c r="E3767" s="30" t="str">
        <x:v>按执行角色权限读取；策略只能使用可访问快照</x:v>
      </x:c>
    </x:row>
    <x:row r="3768" ht="32" customHeight="1">
      <x:c r="A3768" s="30" t="str">
        <x:v>A044</x:v>
      </x:c>
      <x:c r="B3768" s="30" t="str">
        <x:v>F233</x:v>
      </x:c>
      <x:c r="C3768" s="30" t="str">
        <x:v>action.target_ref</x:v>
      </x:c>
      <x:c r="D3768" s="30" t="str">
        <x:v>候选输入schema</x:v>
      </x:c>
      <x:c r="E3768" s="30" t="str">
        <x:v>按执行角色权限读取；策略只能使用可访问快照</x:v>
      </x:c>
    </x:row>
    <x:row r="3769" ht="32" customHeight="1">
      <x:c r="A3769" s="30" t="str">
        <x:v>A044</x:v>
      </x:c>
      <x:c r="B3769" s="30" t="str">
        <x:v>F234</x:v>
      </x:c>
      <x:c r="C3769" s="30" t="str">
        <x:v>action.parameters</x:v>
      </x:c>
      <x:c r="D3769" s="30" t="str">
        <x:v>候选输入schema</x:v>
      </x:c>
      <x:c r="E3769" s="30" t="str">
        <x:v>按执行角色权限读取；策略只能使用可访问快照</x:v>
      </x:c>
    </x:row>
    <x:row r="3770" ht="32" customHeight="1">
      <x:c r="A3770" s="30" t="str">
        <x:v>A044</x:v>
      </x:c>
      <x:c r="B3770" s="30" t="str">
        <x:v>F235</x:v>
      </x:c>
      <x:c r="C3770" s="30" t="str">
        <x:v>action.status</x:v>
      </x:c>
      <x:c r="D3770" s="30" t="str">
        <x:v>候选输入schema</x:v>
      </x:c>
      <x:c r="E3770" s="30" t="str">
        <x:v>按执行角色权限读取；策略只能使用可访问快照</x:v>
      </x:c>
    </x:row>
    <x:row r="3771" ht="32" customHeight="1">
      <x:c r="A3771" s="30" t="str">
        <x:v>A044</x:v>
      </x:c>
      <x:c r="B3771" s="30" t="str">
        <x:v>F236</x:v>
      </x:c>
      <x:c r="C3771" s="30" t="str">
        <x:v>action.start_s</x:v>
      </x:c>
      <x:c r="D3771" s="30" t="str">
        <x:v>候选输入schema</x:v>
      </x:c>
      <x:c r="E3771" s="30" t="str">
        <x:v>按执行角色权限读取；策略只能使用可访问快照</x:v>
      </x:c>
    </x:row>
    <x:row r="3772" ht="32" customHeight="1">
      <x:c r="A3772" s="30" t="str">
        <x:v>A044</x:v>
      </x:c>
      <x:c r="B3772" s="30" t="str">
        <x:v>F237</x:v>
      </x:c>
      <x:c r="C3772" s="30" t="str">
        <x:v>action.finish_s</x:v>
      </x:c>
      <x:c r="D3772" s="30" t="str">
        <x:v>候选输入schema</x:v>
      </x:c>
      <x:c r="E3772" s="30" t="str">
        <x:v>按执行角色权限读取；策略只能使用可访问快照</x:v>
      </x:c>
    </x:row>
    <x:row r="3773" ht="32" customHeight="1">
      <x:c r="A3773" s="30" t="str">
        <x:v>A044</x:v>
      </x:c>
      <x:c r="B3773" s="30" t="str">
        <x:v>F238</x:v>
      </x:c>
      <x:c r="C3773" s="30" t="str">
        <x:v>action.reserved_resources</x:v>
      </x:c>
      <x:c r="D3773" s="30" t="str">
        <x:v>候选输入schema</x:v>
      </x:c>
      <x:c r="E3773" s="30" t="str">
        <x:v>按执行角色权限读取；策略只能使用可访问快照</x:v>
      </x:c>
    </x:row>
    <x:row r="3774" ht="32" customHeight="1">
      <x:c r="A3774" s="30" t="str">
        <x:v>A044</x:v>
      </x:c>
      <x:c r="B3774" s="30" t="str">
        <x:v>F239</x:v>
      </x:c>
      <x:c r="C3774" s="30" t="str">
        <x:v>action.consumed_resources</x:v>
      </x:c>
      <x:c r="D3774" s="30" t="str">
        <x:v>候选输入schema</x:v>
      </x:c>
      <x:c r="E3774" s="30" t="str">
        <x:v>按执行角色权限读取；策略只能使用可访问快照</x:v>
      </x:c>
    </x:row>
    <x:row r="3775" ht="32" customHeight="1">
      <x:c r="A3775" s="30" t="str">
        <x:v>A044</x:v>
      </x:c>
      <x:c r="B3775" s="30" t="str">
        <x:v>F240</x:v>
      </x:c>
      <x:c r="C3775" s="30" t="str">
        <x:v>action.feedback</x:v>
      </x:c>
      <x:c r="D3775" s="30" t="str">
        <x:v>候选输入schema</x:v>
      </x:c>
      <x:c r="E3775" s="30" t="str">
        <x:v>按执行角色权限读取；策略只能使用可访问快照</x:v>
      </x:c>
    </x:row>
    <x:row r="3776" ht="32" customHeight="1">
      <x:c r="A3776" s="30" t="str">
        <x:v>A044</x:v>
      </x:c>
      <x:c r="B3776" s="30" t="str">
        <x:v>F241</x:v>
      </x:c>
      <x:c r="C3776" s="30" t="str">
        <x:v>action.result</x:v>
      </x:c>
      <x:c r="D3776" s="30" t="str">
        <x:v>候选输入schema</x:v>
      </x:c>
      <x:c r="E3776" s="30" t="str">
        <x:v>按执行角色权限读取；策略只能使用可访问快照</x:v>
      </x:c>
    </x:row>
    <x:row r="3777" ht="32" customHeight="1">
      <x:c r="A3777" s="30" t="str">
        <x:v>A044</x:v>
      </x:c>
      <x:c r="B3777" s="30" t="str">
        <x:v>F242</x:v>
      </x:c>
      <x:c r="C3777" s="30" t="str">
        <x:v>action.rejection_code</x:v>
      </x:c>
      <x:c r="D3777" s="30" t="str">
        <x:v>候选输入schema</x:v>
      </x:c>
      <x:c r="E3777" s="30" t="str">
        <x:v>按执行角色权限读取；策略只能使用可访问快照</x:v>
      </x:c>
    </x:row>
    <x:row r="3778" ht="32" customHeight="1">
      <x:c r="A3778" s="30" t="str">
        <x:v>A044</x:v>
      </x:c>
      <x:c r="B3778" s="30" t="str">
        <x:v>F243</x:v>
      </x:c>
      <x:c r="C3778" s="30" t="str">
        <x:v>action.failure_code</x:v>
      </x:c>
      <x:c r="D3778" s="30" t="str">
        <x:v>候选输入schema</x:v>
      </x:c>
      <x:c r="E3778" s="30" t="str">
        <x:v>按执行角色权限读取；策略只能使用可访问快照</x:v>
      </x:c>
    </x:row>
    <x:row r="3779" ht="32" customHeight="1">
      <x:c r="A3779" s="30" t="str">
        <x:v>A044</x:v>
      </x:c>
      <x:c r="B3779" s="30" t="str">
        <x:v>F244</x:v>
      </x:c>
      <x:c r="C3779" s="30" t="str">
        <x:v>action.cancel_requested</x:v>
      </x:c>
      <x:c r="D3779" s="30" t="str">
        <x:v>候选输入schema</x:v>
      </x:c>
      <x:c r="E3779" s="30" t="str">
        <x:v>按执行角色权限读取；策略只能使用可访问快照</x:v>
      </x:c>
    </x:row>
    <x:row r="3780" ht="32" customHeight="1">
      <x:c r="A3780" s="30" t="str">
        <x:v>A044</x:v>
      </x:c>
      <x:c r="B3780" s="30" t="str">
        <x:v>F245</x:v>
      </x:c>
      <x:c r="C3780" s="30" t="str">
        <x:v>action.backend_mode</x:v>
      </x:c>
      <x:c r="D3780" s="30" t="str">
        <x:v>候选输入schema</x:v>
      </x:c>
      <x:c r="E3780" s="30" t="str">
        <x:v>按执行角色权限读取；策略只能使用可访问快照</x:v>
      </x:c>
    </x:row>
    <x:row r="3781" ht="32" customHeight="1">
      <x:c r="A3781" s="30" t="str">
        <x:v>A044</x:v>
      </x:c>
      <x:c r="B3781" s="30" t="str">
        <x:v>F293</x:v>
      </x:c>
      <x:c r="C3781" s="30" t="str">
        <x:v>compute.node_id</x:v>
      </x:c>
      <x:c r="D3781" s="30" t="str">
        <x:v>候选输入schema</x:v>
      </x:c>
      <x:c r="E3781" s="30" t="str">
        <x:v>按执行角色权限读取；策略只能使用可访问快照</x:v>
      </x:c>
    </x:row>
    <x:row r="3782" ht="32" customHeight="1">
      <x:c r="A3782" s="30" t="str">
        <x:v>A044</x:v>
      </x:c>
      <x:c r="B3782" s="30" t="str">
        <x:v>F294</x:v>
      </x:c>
      <x:c r="C3782" s="30" t="str">
        <x:v>compute.device_kind</x:v>
      </x:c>
      <x:c r="D3782" s="30" t="str">
        <x:v>候选输入schema</x:v>
      </x:c>
      <x:c r="E3782" s="30" t="str">
        <x:v>按执行角色权限读取；策略只能使用可访问快照</x:v>
      </x:c>
    </x:row>
    <x:row r="3783" ht="32" customHeight="1">
      <x:c r="A3783" s="30" t="str">
        <x:v>A044</x:v>
      </x:c>
      <x:c r="B3783" s="30" t="str">
        <x:v>F295</x:v>
      </x:c>
      <x:c r="C3783" s="30" t="str">
        <x:v>compute.cpu_capacity</x:v>
      </x:c>
      <x:c r="D3783" s="30" t="str">
        <x:v>候选输入schema</x:v>
      </x:c>
      <x:c r="E3783" s="30" t="str">
        <x:v>按执行角色权限读取；策略只能使用可访问快照</x:v>
      </x:c>
    </x:row>
    <x:row r="3784" ht="32" customHeight="1">
      <x:c r="A3784" s="30" t="str">
        <x:v>A044</x:v>
      </x:c>
      <x:c r="B3784" s="30" t="str">
        <x:v>F296</x:v>
      </x:c>
      <x:c r="C3784" s="30" t="str">
        <x:v>compute.accelerator_capacity</x:v>
      </x:c>
      <x:c r="D3784" s="30" t="str">
        <x:v>候选输入schema</x:v>
      </x:c>
      <x:c r="E3784" s="30" t="str">
        <x:v>按执行角色权限读取；策略只能使用可访问快照</x:v>
      </x:c>
    </x:row>
    <x:row r="3785" ht="32" customHeight="1">
      <x:c r="A3785" s="30" t="str">
        <x:v>A044</x:v>
      </x:c>
      <x:c r="B3785" s="30" t="str">
        <x:v>F297</x:v>
      </x:c>
      <x:c r="C3785" s="30" t="str">
        <x:v>compute.memory_capacity_bytes</x:v>
      </x:c>
      <x:c r="D3785" s="30" t="str">
        <x:v>候选输入schema</x:v>
      </x:c>
      <x:c r="E3785" s="30" t="str">
        <x:v>按执行角色权限读取；策略只能使用可访问快照</x:v>
      </x:c>
    </x:row>
    <x:row r="3786" ht="32" customHeight="1">
      <x:c r="A3786" s="30" t="str">
        <x:v>A044</x:v>
      </x:c>
      <x:c r="B3786" s="30" t="str">
        <x:v>F298</x:v>
      </x:c>
      <x:c r="C3786" s="30" t="str">
        <x:v>compute.memory_used_bytes</x:v>
      </x:c>
      <x:c r="D3786" s="30" t="str">
        <x:v>候选输入schema</x:v>
      </x:c>
      <x:c r="E3786" s="30" t="str">
        <x:v>按执行角色权限读取；策略只能使用可访问快照</x:v>
      </x:c>
    </x:row>
    <x:row r="3787" ht="32" customHeight="1">
      <x:c r="A3787" s="30" t="str">
        <x:v>A044</x:v>
      </x:c>
      <x:c r="B3787" s="30" t="str">
        <x:v>F299</x:v>
      </x:c>
      <x:c r="C3787" s="30" t="str">
        <x:v>compute.cpu_allocated</x:v>
      </x:c>
      <x:c r="D3787" s="30" t="str">
        <x:v>候选输入schema</x:v>
      </x:c>
      <x:c r="E3787" s="30" t="str">
        <x:v>按执行角色权限读取；策略只能使用可访问快照</x:v>
      </x:c>
    </x:row>
    <x:row r="3788" ht="32" customHeight="1">
      <x:c r="A3788" s="30" t="str">
        <x:v>A044</x:v>
      </x:c>
      <x:c r="B3788" s="30" t="str">
        <x:v>F300</x:v>
      </x:c>
      <x:c r="C3788" s="30" t="str">
        <x:v>compute.accelerator_allocated</x:v>
      </x:c>
      <x:c r="D3788" s="30" t="str">
        <x:v>候选输入schema</x:v>
      </x:c>
      <x:c r="E3788" s="30" t="str">
        <x:v>按执行角色权限读取；策略只能使用可访问快照</x:v>
      </x:c>
    </x:row>
    <x:row r="3789" ht="32" customHeight="1">
      <x:c r="A3789" s="30" t="str">
        <x:v>A044</x:v>
      </x:c>
      <x:c r="B3789" s="30" t="str">
        <x:v>F301</x:v>
      </x:c>
      <x:c r="C3789" s="30" t="str">
        <x:v>compute.max_concurrency</x:v>
      </x:c>
      <x:c r="D3789" s="30" t="str">
        <x:v>候选输入schema</x:v>
      </x:c>
      <x:c r="E3789" s="30" t="str">
        <x:v>按执行角色权限读取；策略只能使用可访问快照</x:v>
      </x:c>
    </x:row>
    <x:row r="3790" ht="32" customHeight="1">
      <x:c r="A3790" s="30" t="str">
        <x:v>A044</x:v>
      </x:c>
      <x:c r="B3790" s="30" t="str">
        <x:v>F302</x:v>
      </x:c>
      <x:c r="C3790" s="30" t="str">
        <x:v>compute.queue_ids</x:v>
      </x:c>
      <x:c r="D3790" s="30" t="str">
        <x:v>候选输入schema</x:v>
      </x:c>
      <x:c r="E3790" s="30" t="str">
        <x:v>按执行角色权限读取；策略只能使用可访问快照</x:v>
      </x:c>
    </x:row>
    <x:row r="3791" ht="32" customHeight="1">
      <x:c r="A3791" s="30" t="str">
        <x:v>A044</x:v>
      </x:c>
      <x:c r="B3791" s="30" t="str">
        <x:v>F303</x:v>
      </x:c>
      <x:c r="C3791" s="30" t="str">
        <x:v>compute.running_job_ids</x:v>
      </x:c>
      <x:c r="D3791" s="30" t="str">
        <x:v>候选输入schema</x:v>
      </x:c>
      <x:c r="E3791" s="30" t="str">
        <x:v>按执行角色权限读取；策略只能使用可访问快照</x:v>
      </x:c>
    </x:row>
    <x:row r="3792" ht="32" customHeight="1">
      <x:c r="A3792" s="30" t="str">
        <x:v>A044</x:v>
      </x:c>
      <x:c r="B3792" s="30" t="str">
        <x:v>F304</x:v>
      </x:c>
      <x:c r="C3792" s="30" t="str">
        <x:v>compute.availability</x:v>
      </x:c>
      <x:c r="D3792" s="30" t="str">
        <x:v>候选输入schema</x:v>
      </x:c>
      <x:c r="E3792" s="30" t="str">
        <x:v>按执行角色权限读取；策略只能使用可访问快照</x:v>
      </x:c>
    </x:row>
    <x:row r="3793" ht="32" customHeight="1">
      <x:c r="A3793" s="30" t="str">
        <x:v>A044</x:v>
      </x:c>
      <x:c r="B3793" s="30" t="str">
        <x:v>F305</x:v>
      </x:c>
      <x:c r="C3793" s="30" t="str">
        <x:v>compute.power_model</x:v>
      </x:c>
      <x:c r="D3793" s="30" t="str">
        <x:v>候选输入schema</x:v>
      </x:c>
      <x:c r="E3793" s="30" t="str">
        <x:v>按执行角色权限读取；策略只能使用可访问快照</x:v>
      </x:c>
    </x:row>
    <x:row r="3794" ht="32" customHeight="1">
      <x:c r="A3794" s="30" t="str">
        <x:v>A044</x:v>
      </x:c>
      <x:c r="B3794" s="30" t="str">
        <x:v>F306</x:v>
      </x:c>
      <x:c r="C3794" s="30" t="str">
        <x:v>compute.energy_Wh</x:v>
      </x:c>
      <x:c r="D3794" s="30" t="str">
        <x:v>候选输入schema</x:v>
      </x:c>
      <x:c r="E3794" s="30" t="str">
        <x:v>按执行角色权限读取；策略只能使用可访问快照</x:v>
      </x:c>
    </x:row>
    <x:row r="3795" ht="32" customHeight="1">
      <x:c r="A3795" s="30" t="str">
        <x:v>A044</x:v>
      </x:c>
      <x:c r="B3795" s="30" t="str">
        <x:v>F307</x:v>
      </x:c>
      <x:c r="C3795" s="30" t="str">
        <x:v>compute.service_ids</x:v>
      </x:c>
      <x:c r="D3795" s="30" t="str">
        <x:v>候选输入schema</x:v>
      </x:c>
      <x:c r="E3795" s="30" t="str">
        <x:v>按执行角色权限读取；策略只能使用可访问快照</x:v>
      </x:c>
    </x:row>
    <x:row r="3796" ht="32" customHeight="1">
      <x:c r="A3796" s="30" t="str">
        <x:v>A044</x:v>
      </x:c>
      <x:c r="B3796" s="30" t="str">
        <x:v>F308</x:v>
      </x:c>
      <x:c r="C3796" s="30" t="str">
        <x:v>compute.storage_free_bytes</x:v>
      </x:c>
      <x:c r="D3796" s="30" t="str">
        <x:v>候选输入schema</x:v>
      </x:c>
      <x:c r="E3796" s="30" t="str">
        <x:v>按执行角色权限读取；策略只能使用可访问快照</x:v>
      </x:c>
    </x:row>
    <x:row r="3797" ht="32" customHeight="1">
      <x:c r="A3797" s="30" t="str">
        <x:v>A044</x:v>
      </x:c>
      <x:c r="B3797" s="30" t="str">
        <x:v>F309</x:v>
      </x:c>
      <x:c r="C3797" s="30" t="str">
        <x:v>compute.clock_policy</x:v>
      </x:c>
      <x:c r="D3797" s="30" t="str">
        <x:v>候选输入schema</x:v>
      </x:c>
      <x:c r="E3797" s="30" t="str">
        <x:v>按执行角色权限读取；策略只能使用可访问快照</x:v>
      </x:c>
    </x:row>
    <x:row r="3798" ht="32" customHeight="1">
      <x:c r="A3798" s="30" t="str">
        <x:v>A044</x:v>
      </x:c>
      <x:c r="B3798" s="30" t="str">
        <x:v>F310</x:v>
      </x:c>
      <x:c r="C3798" s="30" t="str">
        <x:v>compute.timing_profile_id</x:v>
      </x:c>
      <x:c r="D3798" s="30" t="str">
        <x:v>候选输入schema</x:v>
      </x:c>
      <x:c r="E3798" s="30" t="str">
        <x:v>按执行角色权限读取；策略只能使用可访问快照</x:v>
      </x:c>
    </x:row>
    <x:row r="3799" ht="32" customHeight="1">
      <x:c r="A3799" s="30" t="str">
        <x:v>A044</x:v>
      </x:c>
      <x:c r="B3799" s="30" t="str">
        <x:v>F311</x:v>
      </x:c>
      <x:c r="C3799" s="30" t="str">
        <x:v>compute.temperature_state</x:v>
      </x:c>
      <x:c r="D3799" s="30" t="str">
        <x:v>候选输入schema</x:v>
      </x:c>
      <x:c r="E3799" s="30" t="str">
        <x:v>按执行角色权限读取；策略只能使用可访问快照</x:v>
      </x:c>
    </x:row>
    <x:row r="3800" ht="32" customHeight="1">
      <x:c r="A3800" s="30" t="str">
        <x:v>A044</x:v>
      </x:c>
      <x:c r="B3800" s="30" t="str">
        <x:v>F312</x:v>
      </x:c>
      <x:c r="C3800" s="30" t="str">
        <x:v>compute.network_endpoint</x:v>
      </x:c>
      <x:c r="D3800" s="30" t="str">
        <x:v>候选输入schema</x:v>
      </x:c>
      <x:c r="E3800" s="30" t="str">
        <x:v>按执行角色权限读取；策略只能使用可访问快照</x:v>
      </x:c>
    </x:row>
    <x:row r="3801" ht="32" customHeight="1">
      <x:c r="A3801" s="30" t="str">
        <x:v>A044</x:v>
      </x:c>
      <x:c r="B3801" s="30" t="str">
        <x:v>F313</x:v>
      </x:c>
      <x:c r="C3801" s="30" t="str">
        <x:v>service.kind</x:v>
      </x:c>
      <x:c r="D3801" s="30" t="str">
        <x:v>候选输入schema</x:v>
      </x:c>
      <x:c r="E3801" s="30" t="str">
        <x:v>按执行角色权限读取；策略只能使用可访问快照</x:v>
      </x:c>
    </x:row>
    <x:row r="3802" ht="32" customHeight="1">
      <x:c r="A3802" s="30" t="str">
        <x:v>A044</x:v>
      </x:c>
      <x:c r="B3802" s="30" t="str">
        <x:v>F314</x:v>
      </x:c>
      <x:c r="C3802" s="30" t="str">
        <x:v>service.model_id</x:v>
      </x:c>
      <x:c r="D3802" s="30" t="str">
        <x:v>候选输入schema</x:v>
      </x:c>
      <x:c r="E3802" s="30" t="str">
        <x:v>按执行角色权限读取；策略只能使用可访问快照</x:v>
      </x:c>
    </x:row>
    <x:row r="3803" ht="32" customHeight="1">
      <x:c r="A3803" s="30" t="str">
        <x:v>A044</x:v>
      </x:c>
      <x:c r="B3803" s="30" t="str">
        <x:v>F315</x:v>
      </x:c>
      <x:c r="C3803" s="30" t="str">
        <x:v>service.version</x:v>
      </x:c>
      <x:c r="D3803" s="30" t="str">
        <x:v>候选输入schema</x:v>
      </x:c>
      <x:c r="E3803" s="30" t="str">
        <x:v>按执行角色权限读取；策略只能使用可访问快照</x:v>
      </x:c>
    </x:row>
    <x:row r="3804" ht="32" customHeight="1">
      <x:c r="A3804" s="30" t="str">
        <x:v>A044</x:v>
      </x:c>
      <x:c r="B3804" s="30" t="str">
        <x:v>F316</x:v>
      </x:c>
      <x:c r="C3804" s="30" t="str">
        <x:v>service.host_id</x:v>
      </x:c>
      <x:c r="D3804" s="30" t="str">
        <x:v>候选输入schema</x:v>
      </x:c>
      <x:c r="E3804" s="30" t="str">
        <x:v>按执行角色权限读取；策略只能使用可访问快照</x:v>
      </x:c>
    </x:row>
    <x:row r="3805" ht="32" customHeight="1">
      <x:c r="A3805" s="30" t="str">
        <x:v>A044</x:v>
      </x:c>
      <x:c r="B3805" s="30" t="str">
        <x:v>F317</x:v>
      </x:c>
      <x:c r="C3805" s="30" t="str">
        <x:v>service.status</x:v>
      </x:c>
      <x:c r="D3805" s="30" t="str">
        <x:v>候选输入schema</x:v>
      </x:c>
      <x:c r="E3805" s="30" t="str">
        <x:v>按执行角色权限读取；策略只能使用可访问快照</x:v>
      </x:c>
    </x:row>
    <x:row r="3806" ht="32" customHeight="1">
      <x:c r="A3806" s="30" t="str">
        <x:v>A044</x:v>
      </x:c>
      <x:c r="B3806" s="30" t="str">
        <x:v>F318</x:v>
      </x:c>
      <x:c r="C3806" s="30" t="str">
        <x:v>service.input_schema</x:v>
      </x:c>
      <x:c r="D3806" s="30" t="str">
        <x:v>候选输入schema</x:v>
      </x:c>
      <x:c r="E3806" s="30" t="str">
        <x:v>按执行角色权限读取；策略只能使用可访问快照</x:v>
      </x:c>
    </x:row>
    <x:row r="3807" ht="32" customHeight="1">
      <x:c r="A3807" s="30" t="str">
        <x:v>A044</x:v>
      </x:c>
      <x:c r="B3807" s="30" t="str">
        <x:v>F319</x:v>
      </x:c>
      <x:c r="C3807" s="30" t="str">
        <x:v>service.output_schema</x:v>
      </x:c>
      <x:c r="D3807" s="30" t="str">
        <x:v>候选输入schema</x:v>
      </x:c>
      <x:c r="E3807" s="30" t="str">
        <x:v>按执行角色权限读取；策略只能使用可访问快照</x:v>
      </x:c>
    </x:row>
    <x:row r="3808" ht="32" customHeight="1">
      <x:c r="A3808" s="30" t="str">
        <x:v>A044</x:v>
      </x:c>
      <x:c r="B3808" s="30" t="str">
        <x:v>F320</x:v>
      </x:c>
      <x:c r="C3808" s="30" t="str">
        <x:v>service.precision</x:v>
      </x:c>
      <x:c r="D3808" s="30" t="str">
        <x:v>候选输入schema</x:v>
      </x:c>
      <x:c r="E3808" s="30" t="str">
        <x:v>按执行角色权限读取；策略只能使用可访问快照</x:v>
      </x:c>
    </x:row>
    <x:row r="3809" ht="32" customHeight="1">
      <x:c r="A3809" s="30" t="str">
        <x:v>A044</x:v>
      </x:c>
      <x:c r="B3809" s="30" t="str">
        <x:v>F321</x:v>
      </x:c>
      <x:c r="C3809" s="30" t="str">
        <x:v>service.weights_bytes</x:v>
      </x:c>
      <x:c r="D3809" s="30" t="str">
        <x:v>候选输入schema</x:v>
      </x:c>
      <x:c r="E3809" s="30" t="str">
        <x:v>按执行角色权限读取；策略只能使用可访问快照</x:v>
      </x:c>
    </x:row>
    <x:row r="3810" ht="32" customHeight="1">
      <x:c r="A3810" s="30" t="str">
        <x:v>A044</x:v>
      </x:c>
      <x:c r="B3810" s="30" t="str">
        <x:v>F322</x:v>
      </x:c>
      <x:c r="C3810" s="30" t="str">
        <x:v>service.working_memory_bytes</x:v>
      </x:c>
      <x:c r="D3810" s="30" t="str">
        <x:v>候选输入schema</x:v>
      </x:c>
      <x:c r="E3810" s="30" t="str">
        <x:v>按执行角色权限读取；策略只能使用可访问快照</x:v>
      </x:c>
    </x:row>
    <x:row r="3811" ht="32" customHeight="1">
      <x:c r="A3811" s="30" t="str">
        <x:v>A044</x:v>
      </x:c>
      <x:c r="B3811" s="30" t="str">
        <x:v>F323</x:v>
      </x:c>
      <x:c r="C3811" s="30" t="str">
        <x:v>service.load_latency_profile</x:v>
      </x:c>
      <x:c r="D3811" s="30" t="str">
        <x:v>候选输入schema</x:v>
      </x:c>
      <x:c r="E3811" s="30" t="str">
        <x:v>按执行角色权限读取；策略只能使用可访问快照</x:v>
      </x:c>
    </x:row>
    <x:row r="3812" ht="32" customHeight="1">
      <x:c r="A3812" s="30" t="str">
        <x:v>A044</x:v>
      </x:c>
      <x:c r="B3812" s="30" t="str">
        <x:v>F324</x:v>
      </x:c>
      <x:c r="C3812" s="30" t="str">
        <x:v>service.batch_policy</x:v>
      </x:c>
      <x:c r="D3812" s="30" t="str">
        <x:v>候选输入schema</x:v>
      </x:c>
      <x:c r="E3812" s="30" t="str">
        <x:v>按执行角色权限读取；策略只能使用可访问快照</x:v>
      </x:c>
    </x:row>
    <x:row r="3813" ht="32" customHeight="1">
      <x:c r="A3813" s="30" t="str">
        <x:v>A044</x:v>
      </x:c>
      <x:c r="B3813" s="30" t="str">
        <x:v>F325</x:v>
      </x:c>
      <x:c r="C3813" s="30" t="str">
        <x:v>service.context_limit</x:v>
      </x:c>
      <x:c r="D3813" s="30" t="str">
        <x:v>候选输入schema</x:v>
      </x:c>
      <x:c r="E3813" s="30" t="str">
        <x:v>按执行角色权限读取；策略只能使用可访问快照</x:v>
      </x:c>
    </x:row>
    <x:row r="3814" ht="32" customHeight="1">
      <x:c r="A3814" s="30" t="str">
        <x:v>A044</x:v>
      </x:c>
      <x:c r="B3814" s="30" t="str">
        <x:v>F326</x:v>
      </x:c>
      <x:c r="C3814" s="30" t="str">
        <x:v>service.quality_profile</x:v>
      </x:c>
      <x:c r="D3814" s="30" t="str">
        <x:v>候选输入schema</x:v>
      </x:c>
      <x:c r="E3814" s="30" t="str">
        <x:v>按执行角色权限读取；策略只能使用可访问快照</x:v>
      </x:c>
    </x:row>
    <x:row r="3815" ht="32" customHeight="1">
      <x:c r="A3815" s="30" t="str">
        <x:v>A044</x:v>
      </x:c>
      <x:c r="B3815" s="30" t="str">
        <x:v>F327</x:v>
      </x:c>
      <x:c r="C3815" s="30" t="str">
        <x:v>service.compatible_representations</x:v>
      </x:c>
      <x:c r="D3815" s="30" t="str">
        <x:v>候选输入schema</x:v>
      </x:c>
      <x:c r="E3815" s="30" t="str">
        <x:v>按执行角色权限读取；策略只能使用可访问快照</x:v>
      </x:c>
    </x:row>
    <x:row r="3816" ht="32" customHeight="1">
      <x:c r="A3816" s="30" t="str">
        <x:v>A044</x:v>
      </x:c>
      <x:c r="B3816" s="30" t="str">
        <x:v>F328</x:v>
      </x:c>
      <x:c r="C3816" s="30" t="str">
        <x:v>service.licence_scope</x:v>
      </x:c>
      <x:c r="D3816" s="30" t="str">
        <x:v>候选输入schema</x:v>
      </x:c>
      <x:c r="E3816" s="30" t="str">
        <x:v>按执行角色权限读取；策略只能使用可访问快照</x:v>
      </x:c>
    </x:row>
    <x:row r="3817" ht="32" customHeight="1">
      <x:c r="A3817" s="30" t="str">
        <x:v>A044</x:v>
      </x:c>
      <x:c r="B3817" s="30" t="str">
        <x:v>F329</x:v>
      </x:c>
      <x:c r="C3817" s="30" t="str">
        <x:v>job.requester_id</x:v>
      </x:c>
      <x:c r="D3817" s="30" t="str">
        <x:v>候选输入schema</x:v>
      </x:c>
      <x:c r="E3817" s="30" t="str">
        <x:v>按执行角色权限读取；策略只能使用可访问快照</x:v>
      </x:c>
    </x:row>
    <x:row r="3818" ht="32" customHeight="1">
      <x:c r="A3818" s="30" t="str">
        <x:v>A044</x:v>
      </x:c>
      <x:c r="B3818" s="30" t="str">
        <x:v>F330</x:v>
      </x:c>
      <x:c r="C3818" s="30" t="str">
        <x:v>job.task_ref</x:v>
      </x:c>
      <x:c r="D3818" s="30" t="str">
        <x:v>候选输入schema</x:v>
      </x:c>
      <x:c r="E3818" s="30" t="str">
        <x:v>按执行角色权限读取；策略只能使用可访问快照</x:v>
      </x:c>
    </x:row>
    <x:row r="3819" ht="32" customHeight="1">
      <x:c r="A3819" s="30" t="str">
        <x:v>A044</x:v>
      </x:c>
      <x:c r="B3819" s="30" t="str">
        <x:v>F331</x:v>
      </x:c>
      <x:c r="C3819" s="30" t="str">
        <x:v>job.service_id</x:v>
      </x:c>
      <x:c r="D3819" s="30" t="str">
        <x:v>候选输入schema</x:v>
      </x:c>
      <x:c r="E3819" s="30" t="str">
        <x:v>按执行角色权限读取；策略只能使用可访问快照</x:v>
      </x:c>
    </x:row>
    <x:row r="3820" ht="32" customHeight="1">
      <x:c r="A3820" s="30" t="str">
        <x:v>A044</x:v>
      </x:c>
      <x:c r="B3820" s="30" t="str">
        <x:v>F332</x:v>
      </x:c>
      <x:c r="C3820" s="30" t="str">
        <x:v>job.input_evidence_ids</x:v>
      </x:c>
      <x:c r="D3820" s="30" t="str">
        <x:v>候选输入schema</x:v>
      </x:c>
      <x:c r="E3820" s="30" t="str">
        <x:v>按执行角色权限读取；策略只能使用可访问快照</x:v>
      </x:c>
    </x:row>
    <x:row r="3821" ht="32" customHeight="1">
      <x:c r="A3821" s="30" t="str">
        <x:v>A044</x:v>
      </x:c>
      <x:c r="B3821" s="30" t="str">
        <x:v>F333</x:v>
      </x:c>
      <x:c r="C3821" s="30" t="str">
        <x:v>job.input_bytes</x:v>
      </x:c>
      <x:c r="D3821" s="30" t="str">
        <x:v>候选输入schema</x:v>
      </x:c>
      <x:c r="E3821" s="30" t="str">
        <x:v>按执行角色权限读取；策略只能使用可访问快照</x:v>
      </x:c>
    </x:row>
    <x:row r="3822" ht="32" customHeight="1">
      <x:c r="A3822" s="30" t="str">
        <x:v>A044</x:v>
      </x:c>
      <x:c r="B3822" s="30" t="str">
        <x:v>F334</x:v>
      </x:c>
      <x:c r="C3822" s="30" t="str">
        <x:v>job.input_tokens</x:v>
      </x:c>
      <x:c r="D3822" s="30" t="str">
        <x:v>候选输入schema</x:v>
      </x:c>
      <x:c r="E3822" s="30" t="str">
        <x:v>按执行角色权限读取；策略只能使用可访问快照</x:v>
      </x:c>
    </x:row>
    <x:row r="3823" ht="32" customHeight="1">
      <x:c r="A3823" s="30" t="str">
        <x:v>A044</x:v>
      </x:c>
      <x:c r="B3823" s="30" t="str">
        <x:v>F335</x:v>
      </x:c>
      <x:c r="C3823" s="30" t="str">
        <x:v>job.output_tokens</x:v>
      </x:c>
      <x:c r="D3823" s="30" t="str">
        <x:v>候选输入schema</x:v>
      </x:c>
      <x:c r="E3823" s="30" t="str">
        <x:v>按执行角色权限读取；策略只能使用可访问快照</x:v>
      </x:c>
    </x:row>
    <x:row r="3824" ht="32" customHeight="1">
      <x:c r="A3824" s="30" t="str">
        <x:v>A044</x:v>
      </x:c>
      <x:c r="B3824" s="30" t="str">
        <x:v>F336</x:v>
      </x:c>
      <x:c r="C3824" s="30" t="str">
        <x:v>job.status</x:v>
      </x:c>
      <x:c r="D3824" s="30" t="str">
        <x:v>候选输入schema</x:v>
      </x:c>
      <x:c r="E3824" s="30" t="str">
        <x:v>按执行角色权限读取；策略只能使用可访问快照</x:v>
      </x:c>
    </x:row>
    <x:row r="3825" ht="32" customHeight="1">
      <x:c r="A3825" s="30" t="str">
        <x:v>A044</x:v>
      </x:c>
      <x:c r="B3825" s="30" t="str">
        <x:v>F337</x:v>
      </x:c>
      <x:c r="C3825" s="30" t="str">
        <x:v>job.queue_enter_s</x:v>
      </x:c>
      <x:c r="D3825" s="30" t="str">
        <x:v>候选输入schema</x:v>
      </x:c>
      <x:c r="E3825" s="30" t="str">
        <x:v>按执行角色权限读取；策略只能使用可访问快照</x:v>
      </x:c>
    </x:row>
    <x:row r="3826" ht="32" customHeight="1">
      <x:c r="A3826" s="30" t="str">
        <x:v>A044</x:v>
      </x:c>
      <x:c r="B3826" s="30" t="str">
        <x:v>F338</x:v>
      </x:c>
      <x:c r="C3826" s="30" t="str">
        <x:v>job.start_s</x:v>
      </x:c>
      <x:c r="D3826" s="30" t="str">
        <x:v>候选输入schema</x:v>
      </x:c>
      <x:c r="E3826" s="30" t="str">
        <x:v>按执行角色权限读取；策略只能使用可访问快照</x:v>
      </x:c>
    </x:row>
    <x:row r="3827" ht="32" customHeight="1">
      <x:c r="A3827" s="30" t="str">
        <x:v>A044</x:v>
      </x:c>
      <x:c r="B3827" s="30" t="str">
        <x:v>F339</x:v>
      </x:c>
      <x:c r="C3827" s="30" t="str">
        <x:v>job.finish_s</x:v>
      </x:c>
      <x:c r="D3827" s="30" t="str">
        <x:v>候选输入schema</x:v>
      </x:c>
      <x:c r="E3827" s="30" t="str">
        <x:v>按执行角色权限读取；策略只能使用可访问快照</x:v>
      </x:c>
    </x:row>
    <x:row r="3828" ht="32" customHeight="1">
      <x:c r="A3828" s="30" t="str">
        <x:v>A044</x:v>
      </x:c>
      <x:c r="B3828" s="30" t="str">
        <x:v>F340</x:v>
      </x:c>
      <x:c r="C3828" s="30" t="str">
        <x:v>job.deadline_s</x:v>
      </x:c>
      <x:c r="D3828" s="30" t="str">
        <x:v>候选输入schema</x:v>
      </x:c>
      <x:c r="E3828" s="30" t="str">
        <x:v>按执行角色权限读取；策略只能使用可访问快照</x:v>
      </x:c>
    </x:row>
    <x:row r="3829" ht="32" customHeight="1">
      <x:c r="A3829" s="30" t="str">
        <x:v>A044</x:v>
      </x:c>
      <x:c r="B3829" s="30" t="str">
        <x:v>F341</x:v>
      </x:c>
      <x:c r="C3829" s="30" t="str">
        <x:v>job.cpu_request</x:v>
      </x:c>
      <x:c r="D3829" s="30" t="str">
        <x:v>候选输入schema</x:v>
      </x:c>
      <x:c r="E3829" s="30" t="str">
        <x:v>按执行角色权限读取；策略只能使用可访问快照</x:v>
      </x:c>
    </x:row>
    <x:row r="3830" ht="32" customHeight="1">
      <x:c r="A3830" s="30" t="str">
        <x:v>A044</x:v>
      </x:c>
      <x:c r="B3830" s="30" t="str">
        <x:v>F342</x:v>
      </x:c>
      <x:c r="C3830" s="30" t="str">
        <x:v>job.memory_request_bytes</x:v>
      </x:c>
      <x:c r="D3830" s="30" t="str">
        <x:v>候选输入schema</x:v>
      </x:c>
      <x:c r="E3830" s="30" t="str">
        <x:v>按执行角色权限读取；策略只能使用可访问快照</x:v>
      </x:c>
    </x:row>
    <x:row r="3831" ht="32" customHeight="1">
      <x:c r="A3831" s="30" t="str">
        <x:v>A044</x:v>
      </x:c>
      <x:c r="B3831" s="30" t="str">
        <x:v>F343</x:v>
      </x:c>
      <x:c r="C3831" s="30" t="str">
        <x:v>job.prefill_s</x:v>
      </x:c>
      <x:c r="D3831" s="30" t="str">
        <x:v>候选输入schema</x:v>
      </x:c>
      <x:c r="E3831" s="30" t="str">
        <x:v>按执行角色权限读取；策略只能使用可访问快照</x:v>
      </x:c>
    </x:row>
    <x:row r="3832" ht="32" customHeight="1">
      <x:c r="A3832" s="30" t="str">
        <x:v>A044</x:v>
      </x:c>
      <x:c r="B3832" s="30" t="str">
        <x:v>F344</x:v>
      </x:c>
      <x:c r="C3832" s="30" t="str">
        <x:v>job.decode_s</x:v>
      </x:c>
      <x:c r="D3832" s="30" t="str">
        <x:v>候选输入schema</x:v>
      </x:c>
      <x:c r="E3832" s="30" t="str">
        <x:v>按执行角色权限读取；策略只能使用可访问快照</x:v>
      </x:c>
    </x:row>
    <x:row r="3833" ht="32" customHeight="1">
      <x:c r="A3833" s="30" t="str">
        <x:v>A044</x:v>
      </x:c>
      <x:c r="B3833" s="30" t="str">
        <x:v>F345</x:v>
      </x:c>
      <x:c r="C3833" s="30" t="str">
        <x:v>job.wall_time_s</x:v>
      </x:c>
      <x:c r="D3833" s="30" t="str">
        <x:v>候选输入schema</x:v>
      </x:c>
      <x:c r="E3833" s="30" t="str">
        <x:v>按执行角色权限读取；策略只能使用可访问快照</x:v>
      </x:c>
    </x:row>
    <x:row r="3834" ht="32" customHeight="1">
      <x:c r="A3834" s="30" t="str">
        <x:v>A044</x:v>
      </x:c>
      <x:c r="B3834" s="30" t="str">
        <x:v>F346</x:v>
      </x:c>
      <x:c r="C3834" s="30" t="str">
        <x:v>job.result_ref</x:v>
      </x:c>
      <x:c r="D3834" s="30" t="str">
        <x:v>候选输入schema</x:v>
      </x:c>
      <x:c r="E3834" s="30" t="str">
        <x:v>按执行角色权限读取；策略只能使用可访问快照</x:v>
      </x:c>
    </x:row>
    <x:row r="3835" ht="32" customHeight="1">
      <x:c r="A3835" s="30" t="str">
        <x:v>A044</x:v>
      </x:c>
      <x:c r="B3835" s="30" t="str">
        <x:v>F347</x:v>
      </x:c>
      <x:c r="C3835" s="30" t="str">
        <x:v>job.checkpoint_ref</x:v>
      </x:c>
      <x:c r="D3835" s="30" t="str">
        <x:v>候选输入schema</x:v>
      </x:c>
      <x:c r="E3835" s="30" t="str">
        <x:v>按执行角色权限读取；策略只能使用可访问快照</x:v>
      </x:c>
    </x:row>
    <x:row r="3836" ht="32" customHeight="1">
      <x:c r="A3836" s="30" t="str">
        <x:v>A044</x:v>
      </x:c>
      <x:c r="B3836" s="30" t="str">
        <x:v>F348</x:v>
      </x:c>
      <x:c r="C3836" s="30" t="str">
        <x:v>job.failure_reason</x:v>
      </x:c>
      <x:c r="D3836" s="30" t="str">
        <x:v>候选输入schema</x:v>
      </x:c>
      <x:c r="E3836" s="30" t="str">
        <x:v>按执行角色权限读取；策略只能使用可访问快照</x:v>
      </x:c>
    </x:row>
    <x:row r="3837" ht="32" customHeight="1">
      <x:c r="A3837" s="30" t="str">
        <x:v>A044</x:v>
      </x:c>
      <x:c r="B3837" s="30" t="str">
        <x:v>F336</x:v>
      </x:c>
      <x:c r="C3837" s="30" t="str">
        <x:v>job.status</x:v>
      </x:c>
      <x:c r="D3837" s="30" t="str">
        <x:v>直接效果</x:v>
      </x:c>
      <x:c r="E3837" s="30" t="str">
        <x:v>经实际执行/回执提交；不是规划时提前修改</x:v>
      </x:c>
    </x:row>
    <x:row r="3838" ht="32" customHeight="1">
      <x:c r="A3838" s="30" t="str">
        <x:v>A044</x:v>
      </x:c>
      <x:c r="B3838" s="30" t="str">
        <x:v>F337</x:v>
      </x:c>
      <x:c r="C3838" s="30" t="str">
        <x:v>job.queue_enter_s</x:v>
      </x:c>
      <x:c r="D3838" s="30" t="str">
        <x:v>直接效果</x:v>
      </x:c>
      <x:c r="E3838" s="30" t="str">
        <x:v>经实际执行/回执提交；不是规划时提前修改</x:v>
      </x:c>
    </x:row>
    <x:row r="3839" ht="32" customHeight="1">
      <x:c r="A3839" s="30" t="str">
        <x:v>A044</x:v>
      </x:c>
      <x:c r="B3839" s="30" t="str">
        <x:v>F302</x:v>
      </x:c>
      <x:c r="C3839" s="30" t="str">
        <x:v>compute.queue_ids</x:v>
      </x:c>
      <x:c r="D3839" s="30" t="str">
        <x:v>直接效果</x:v>
      </x:c>
      <x:c r="E3839" s="30" t="str">
        <x:v>经实际执行/回执提交；不是规划时提前修改</x:v>
      </x:c>
    </x:row>
    <x:row r="3840" ht="32" customHeight="1">
      <x:c r="A3840" s="30" t="str">
        <x:v>A044</x:v>
      </x:c>
      <x:c r="B3840" s="30" t="str">
        <x:v>F299</x:v>
      </x:c>
      <x:c r="C3840" s="30" t="str">
        <x:v>compute.cpu_allocated</x:v>
      </x:c>
      <x:c r="D3840" s="30" t="str">
        <x:v>直接效果</x:v>
      </x:c>
      <x:c r="E3840" s="30" t="str">
        <x:v>经实际执行/回执提交；不是规划时提前修改</x:v>
      </x:c>
    </x:row>
    <x:row r="3841" ht="32" customHeight="1">
      <x:c r="A3841" s="30" t="str">
        <x:v>A044</x:v>
      </x:c>
      <x:c r="B3841" s="30" t="str">
        <x:v>F298</x:v>
      </x:c>
      <x:c r="C3841" s="30" t="str">
        <x:v>compute.memory_used_bytes</x:v>
      </x:c>
      <x:c r="D3841" s="30" t="str">
        <x:v>直接效果</x:v>
      </x:c>
      <x:c r="E3841" s="30" t="str">
        <x:v>经实际执行/回执提交；不是规划时提前修改</x:v>
      </x:c>
    </x:row>
    <x:row r="3842" ht="32" customHeight="1">
      <x:c r="A3842" s="30" t="str">
        <x:v>A045</x:v>
      </x:c>
      <x:c r="B3842" s="30" t="str">
        <x:v>F128</x:v>
      </x:c>
      <x:c r="C3842" s="30" t="str">
        <x:v>item.kind</x:v>
      </x:c>
      <x:c r="D3842" s="30" t="str">
        <x:v>候选输入schema</x:v>
      </x:c>
      <x:c r="E3842" s="30" t="str">
        <x:v>按执行角色权限读取；策略只能使用可访问快照</x:v>
      </x:c>
    </x:row>
    <x:row r="3843" ht="32" customHeight="1">
      <x:c r="A3843" s="30" t="str">
        <x:v>A045</x:v>
      </x:c>
      <x:c r="B3843" s="30" t="str">
        <x:v>F129</x:v>
      </x:c>
      <x:c r="C3843" s="30" t="str">
        <x:v>item.mass_kg</x:v>
      </x:c>
      <x:c r="D3843" s="30" t="str">
        <x:v>候选输入schema</x:v>
      </x:c>
      <x:c r="E3843" s="30" t="str">
        <x:v>按执行角色权限读取；策略只能使用可访问快照</x:v>
      </x:c>
    </x:row>
    <x:row r="3844" ht="32" customHeight="1">
      <x:c r="A3844" s="30" t="str">
        <x:v>A045</x:v>
      </x:c>
      <x:c r="B3844" s="30" t="str">
        <x:v>F130</x:v>
      </x:c>
      <x:c r="C3844" s="30" t="str">
        <x:v>item.dimensions_m</x:v>
      </x:c>
      <x:c r="D3844" s="30" t="str">
        <x:v>候选输入schema</x:v>
      </x:c>
      <x:c r="E3844" s="30" t="str">
        <x:v>按执行角色权限读取；策略只能使用可访问快照</x:v>
      </x:c>
    </x:row>
    <x:row r="3845" ht="32" customHeight="1">
      <x:c r="A3845" s="30" t="str">
        <x:v>A045</x:v>
      </x:c>
      <x:c r="B3845" s="30" t="str">
        <x:v>F131</x:v>
      </x:c>
      <x:c r="C3845" s="30" t="str">
        <x:v>item.quantity</x:v>
      </x:c>
      <x:c r="D3845" s="30" t="str">
        <x:v>候选输入schema</x:v>
      </x:c>
      <x:c r="E3845" s="30" t="str">
        <x:v>按执行角色权限读取；策略只能使用可访问快照</x:v>
      </x:c>
    </x:row>
    <x:row r="3846" ht="32" customHeight="1">
      <x:c r="A3846" s="30" t="str">
        <x:v>A045</x:v>
      </x:c>
      <x:c r="B3846" s="30" t="str">
        <x:v>F132</x:v>
      </x:c>
      <x:c r="C3846" s="30" t="str">
        <x:v>item.holder_id</x:v>
      </x:c>
      <x:c r="D3846" s="30" t="str">
        <x:v>候选输入schema</x:v>
      </x:c>
      <x:c r="E3846" s="30" t="str">
        <x:v>按执行角色权限读取；策略只能使用可访问快照</x:v>
      </x:c>
    </x:row>
    <x:row r="3847" ht="32" customHeight="1">
      <x:c r="A3847" s="30" t="str">
        <x:v>A045</x:v>
      </x:c>
      <x:c r="B3847" s="30" t="str">
        <x:v>F133</x:v>
      </x:c>
      <x:c r="C3847" s="30" t="str">
        <x:v>item.state</x:v>
      </x:c>
      <x:c r="D3847" s="30" t="str">
        <x:v>候选输入schema</x:v>
      </x:c>
      <x:c r="E3847" s="30" t="str">
        <x:v>按执行角色权限读取；策略只能使用可访问快照</x:v>
      </x:c>
    </x:row>
    <x:row r="3848" ht="32" customHeight="1">
      <x:c r="A3848" s="30" t="str">
        <x:v>A045</x:v>
      </x:c>
      <x:c r="B3848" s="30" t="str">
        <x:v>F134</x:v>
      </x:c>
      <x:c r="C3848" s="30" t="str">
        <x:v>item.attachment_id</x:v>
      </x:c>
      <x:c r="D3848" s="30" t="str">
        <x:v>候选输入schema</x:v>
      </x:c>
      <x:c r="E3848" s="30" t="str">
        <x:v>按执行角色权限读取；策略只能使用可访问快照</x:v>
      </x:c>
    </x:row>
    <x:row r="3849" ht="32" customHeight="1">
      <x:c r="A3849" s="30" t="str">
        <x:v>A045</x:v>
      </x:c>
      <x:c r="B3849" s="30" t="str">
        <x:v>F135</x:v>
      </x:c>
      <x:c r="C3849" s="30" t="str">
        <x:v>item.reservation_task_id</x:v>
      </x:c>
      <x:c r="D3849" s="30" t="str">
        <x:v>候选输入schema</x:v>
      </x:c>
      <x:c r="E3849" s="30" t="str">
        <x:v>按执行角色权限读取；策略只能使用可访问快照</x:v>
      </x:c>
    </x:row>
    <x:row r="3850" ht="32" customHeight="1">
      <x:c r="A3850" s="30" t="str">
        <x:v>A045</x:v>
      </x:c>
      <x:c r="B3850" s="30" t="str">
        <x:v>F136</x:v>
      </x:c>
      <x:c r="C3850" s="30" t="str">
        <x:v>item.release_state</x:v>
      </x:c>
      <x:c r="D3850" s="30" t="str">
        <x:v>候选输入schema</x:v>
      </x:c>
      <x:c r="E3850" s="30" t="str">
        <x:v>按执行角色权限读取；策略只能使用可访问快照</x:v>
      </x:c>
    </x:row>
    <x:row r="3851" ht="32" customHeight="1">
      <x:c r="A3851" s="30" t="str">
        <x:v>A045</x:v>
      </x:c>
      <x:c r="B3851" s="30" t="str">
        <x:v>F137</x:v>
      </x:c>
      <x:c r="C3851" s="30" t="str">
        <x:v>item.contact_pose</x:v>
      </x:c>
      <x:c r="D3851" s="30" t="str">
        <x:v>候选输入schema</x:v>
      </x:c>
      <x:c r="E3851" s="30" t="str">
        <x:v>按执行角色权限读取；策略只能使用可访问快照</x:v>
      </x:c>
    </x:row>
    <x:row r="3852" ht="32" customHeight="1">
      <x:c r="A3852" s="30" t="str">
        <x:v>A045</x:v>
      </x:c>
      <x:c r="B3852" s="30" t="str">
        <x:v>F138</x:v>
      </x:c>
      <x:c r="C3852" s="30" t="str">
        <x:v>item.receiver_id</x:v>
      </x:c>
      <x:c r="D3852" s="30" t="str">
        <x:v>候选输入schema</x:v>
      </x:c>
      <x:c r="E3852" s="30" t="str">
        <x:v>按执行角色权限读取；策略只能使用可访问快照</x:v>
      </x:c>
    </x:row>
    <x:row r="3853" ht="32" customHeight="1">
      <x:c r="A3853" s="30" t="str">
        <x:v>A045</x:v>
      </x:c>
      <x:c r="B3853" s="30" t="str">
        <x:v>F139</x:v>
      </x:c>
      <x:c r="C3853" s="30" t="str">
        <x:v>item.receipt_id</x:v>
      </x:c>
      <x:c r="D3853" s="30" t="str">
        <x:v>候选输入schema</x:v>
      </x:c>
      <x:c r="E3853" s="30" t="str">
        <x:v>按执行角色权限读取；策略只能使用可访问快照</x:v>
      </x:c>
    </x:row>
    <x:row r="3854" ht="32" customHeight="1">
      <x:c r="A3854" s="30" t="str">
        <x:v>A045</x:v>
      </x:c>
      <x:c r="B3854" s="30" t="str">
        <x:v>F140</x:v>
      </x:c>
      <x:c r="C3854" s="30" t="str">
        <x:v>item.condition</x:v>
      </x:c>
      <x:c r="D3854" s="30" t="str">
        <x:v>候选输入schema</x:v>
      </x:c>
      <x:c r="E3854" s="30" t="str">
        <x:v>按执行角色权限读取；策略只能使用可访问快照</x:v>
      </x:c>
    </x:row>
    <x:row r="3855" ht="32" customHeight="1">
      <x:c r="A3855" s="30" t="str">
        <x:v>A045</x:v>
      </x:c>
      <x:c r="B3855" s="30" t="str">
        <x:v>F293</x:v>
      </x:c>
      <x:c r="C3855" s="30" t="str">
        <x:v>compute.node_id</x:v>
      </x:c>
      <x:c r="D3855" s="30" t="str">
        <x:v>候选输入schema</x:v>
      </x:c>
      <x:c r="E3855" s="30" t="str">
        <x:v>按执行角色权限读取；策略只能使用可访问快照</x:v>
      </x:c>
    </x:row>
    <x:row r="3856" ht="32" customHeight="1">
      <x:c r="A3856" s="30" t="str">
        <x:v>A045</x:v>
      </x:c>
      <x:c r="B3856" s="30" t="str">
        <x:v>F294</x:v>
      </x:c>
      <x:c r="C3856" s="30" t="str">
        <x:v>compute.device_kind</x:v>
      </x:c>
      <x:c r="D3856" s="30" t="str">
        <x:v>候选输入schema</x:v>
      </x:c>
      <x:c r="E3856" s="30" t="str">
        <x:v>按执行角色权限读取；策略只能使用可访问快照</x:v>
      </x:c>
    </x:row>
    <x:row r="3857" ht="32" customHeight="1">
      <x:c r="A3857" s="30" t="str">
        <x:v>A045</x:v>
      </x:c>
      <x:c r="B3857" s="30" t="str">
        <x:v>F295</x:v>
      </x:c>
      <x:c r="C3857" s="30" t="str">
        <x:v>compute.cpu_capacity</x:v>
      </x:c>
      <x:c r="D3857" s="30" t="str">
        <x:v>候选输入schema</x:v>
      </x:c>
      <x:c r="E3857" s="30" t="str">
        <x:v>按执行角色权限读取；策略只能使用可访问快照</x:v>
      </x:c>
    </x:row>
    <x:row r="3858" ht="32" customHeight="1">
      <x:c r="A3858" s="30" t="str">
        <x:v>A045</x:v>
      </x:c>
      <x:c r="B3858" s="30" t="str">
        <x:v>F296</x:v>
      </x:c>
      <x:c r="C3858" s="30" t="str">
        <x:v>compute.accelerator_capacity</x:v>
      </x:c>
      <x:c r="D3858" s="30" t="str">
        <x:v>候选输入schema</x:v>
      </x:c>
      <x:c r="E3858" s="30" t="str">
        <x:v>按执行角色权限读取；策略只能使用可访问快照</x:v>
      </x:c>
    </x:row>
    <x:row r="3859" ht="32" customHeight="1">
      <x:c r="A3859" s="30" t="str">
        <x:v>A045</x:v>
      </x:c>
      <x:c r="B3859" s="30" t="str">
        <x:v>F297</x:v>
      </x:c>
      <x:c r="C3859" s="30" t="str">
        <x:v>compute.memory_capacity_bytes</x:v>
      </x:c>
      <x:c r="D3859" s="30" t="str">
        <x:v>候选输入schema</x:v>
      </x:c>
      <x:c r="E3859" s="30" t="str">
        <x:v>按执行角色权限读取；策略只能使用可访问快照</x:v>
      </x:c>
    </x:row>
    <x:row r="3860" ht="32" customHeight="1">
      <x:c r="A3860" s="30" t="str">
        <x:v>A045</x:v>
      </x:c>
      <x:c r="B3860" s="30" t="str">
        <x:v>F298</x:v>
      </x:c>
      <x:c r="C3860" s="30" t="str">
        <x:v>compute.memory_used_bytes</x:v>
      </x:c>
      <x:c r="D3860" s="30" t="str">
        <x:v>候选输入schema</x:v>
      </x:c>
      <x:c r="E3860" s="30" t="str">
        <x:v>按执行角色权限读取；策略只能使用可访问快照</x:v>
      </x:c>
    </x:row>
    <x:row r="3861" ht="32" customHeight="1">
      <x:c r="A3861" s="30" t="str">
        <x:v>A045</x:v>
      </x:c>
      <x:c r="B3861" s="30" t="str">
        <x:v>F299</x:v>
      </x:c>
      <x:c r="C3861" s="30" t="str">
        <x:v>compute.cpu_allocated</x:v>
      </x:c>
      <x:c r="D3861" s="30" t="str">
        <x:v>候选输入schema</x:v>
      </x:c>
      <x:c r="E3861" s="30" t="str">
        <x:v>按执行角色权限读取；策略只能使用可访问快照</x:v>
      </x:c>
    </x:row>
    <x:row r="3862" ht="32" customHeight="1">
      <x:c r="A3862" s="30" t="str">
        <x:v>A045</x:v>
      </x:c>
      <x:c r="B3862" s="30" t="str">
        <x:v>F300</x:v>
      </x:c>
      <x:c r="C3862" s="30" t="str">
        <x:v>compute.accelerator_allocated</x:v>
      </x:c>
      <x:c r="D3862" s="30" t="str">
        <x:v>候选输入schema</x:v>
      </x:c>
      <x:c r="E3862" s="30" t="str">
        <x:v>按执行角色权限读取；策略只能使用可访问快照</x:v>
      </x:c>
    </x:row>
    <x:row r="3863" ht="32" customHeight="1">
      <x:c r="A3863" s="30" t="str">
        <x:v>A045</x:v>
      </x:c>
      <x:c r="B3863" s="30" t="str">
        <x:v>F301</x:v>
      </x:c>
      <x:c r="C3863" s="30" t="str">
        <x:v>compute.max_concurrency</x:v>
      </x:c>
      <x:c r="D3863" s="30" t="str">
        <x:v>候选输入schema</x:v>
      </x:c>
      <x:c r="E3863" s="30" t="str">
        <x:v>按执行角色权限读取；策略只能使用可访问快照</x:v>
      </x:c>
    </x:row>
    <x:row r="3864" ht="32" customHeight="1">
      <x:c r="A3864" s="30" t="str">
        <x:v>A045</x:v>
      </x:c>
      <x:c r="B3864" s="30" t="str">
        <x:v>F302</x:v>
      </x:c>
      <x:c r="C3864" s="30" t="str">
        <x:v>compute.queue_ids</x:v>
      </x:c>
      <x:c r="D3864" s="30" t="str">
        <x:v>候选输入schema</x:v>
      </x:c>
      <x:c r="E3864" s="30" t="str">
        <x:v>按执行角色权限读取；策略只能使用可访问快照</x:v>
      </x:c>
    </x:row>
    <x:row r="3865" ht="32" customHeight="1">
      <x:c r="A3865" s="30" t="str">
        <x:v>A045</x:v>
      </x:c>
      <x:c r="B3865" s="30" t="str">
        <x:v>F303</x:v>
      </x:c>
      <x:c r="C3865" s="30" t="str">
        <x:v>compute.running_job_ids</x:v>
      </x:c>
      <x:c r="D3865" s="30" t="str">
        <x:v>候选输入schema</x:v>
      </x:c>
      <x:c r="E3865" s="30" t="str">
        <x:v>按执行角色权限读取；策略只能使用可访问快照</x:v>
      </x:c>
    </x:row>
    <x:row r="3866" ht="32" customHeight="1">
      <x:c r="A3866" s="30" t="str">
        <x:v>A045</x:v>
      </x:c>
      <x:c r="B3866" s="30" t="str">
        <x:v>F304</x:v>
      </x:c>
      <x:c r="C3866" s="30" t="str">
        <x:v>compute.availability</x:v>
      </x:c>
      <x:c r="D3866" s="30" t="str">
        <x:v>候选输入schema</x:v>
      </x:c>
      <x:c r="E3866" s="30" t="str">
        <x:v>按执行角色权限读取；策略只能使用可访问快照</x:v>
      </x:c>
    </x:row>
    <x:row r="3867" ht="32" customHeight="1">
      <x:c r="A3867" s="30" t="str">
        <x:v>A045</x:v>
      </x:c>
      <x:c r="B3867" s="30" t="str">
        <x:v>F305</x:v>
      </x:c>
      <x:c r="C3867" s="30" t="str">
        <x:v>compute.power_model</x:v>
      </x:c>
      <x:c r="D3867" s="30" t="str">
        <x:v>候选输入schema</x:v>
      </x:c>
      <x:c r="E3867" s="30" t="str">
        <x:v>按执行角色权限读取；策略只能使用可访问快照</x:v>
      </x:c>
    </x:row>
    <x:row r="3868" ht="32" customHeight="1">
      <x:c r="A3868" s="30" t="str">
        <x:v>A045</x:v>
      </x:c>
      <x:c r="B3868" s="30" t="str">
        <x:v>F306</x:v>
      </x:c>
      <x:c r="C3868" s="30" t="str">
        <x:v>compute.energy_Wh</x:v>
      </x:c>
      <x:c r="D3868" s="30" t="str">
        <x:v>候选输入schema</x:v>
      </x:c>
      <x:c r="E3868" s="30" t="str">
        <x:v>按执行角色权限读取；策略只能使用可访问快照</x:v>
      </x:c>
    </x:row>
    <x:row r="3869" ht="32" customHeight="1">
      <x:c r="A3869" s="30" t="str">
        <x:v>A045</x:v>
      </x:c>
      <x:c r="B3869" s="30" t="str">
        <x:v>F307</x:v>
      </x:c>
      <x:c r="C3869" s="30" t="str">
        <x:v>compute.service_ids</x:v>
      </x:c>
      <x:c r="D3869" s="30" t="str">
        <x:v>候选输入schema</x:v>
      </x:c>
      <x:c r="E3869" s="30" t="str">
        <x:v>按执行角色权限读取；策略只能使用可访问快照</x:v>
      </x:c>
    </x:row>
    <x:row r="3870" ht="32" customHeight="1">
      <x:c r="A3870" s="30" t="str">
        <x:v>A045</x:v>
      </x:c>
      <x:c r="B3870" s="30" t="str">
        <x:v>F308</x:v>
      </x:c>
      <x:c r="C3870" s="30" t="str">
        <x:v>compute.storage_free_bytes</x:v>
      </x:c>
      <x:c r="D3870" s="30" t="str">
        <x:v>候选输入schema</x:v>
      </x:c>
      <x:c r="E3870" s="30" t="str">
        <x:v>按执行角色权限读取；策略只能使用可访问快照</x:v>
      </x:c>
    </x:row>
    <x:row r="3871" ht="32" customHeight="1">
      <x:c r="A3871" s="30" t="str">
        <x:v>A045</x:v>
      </x:c>
      <x:c r="B3871" s="30" t="str">
        <x:v>F309</x:v>
      </x:c>
      <x:c r="C3871" s="30" t="str">
        <x:v>compute.clock_policy</x:v>
      </x:c>
      <x:c r="D3871" s="30" t="str">
        <x:v>候选输入schema</x:v>
      </x:c>
      <x:c r="E3871" s="30" t="str">
        <x:v>按执行角色权限读取；策略只能使用可访问快照</x:v>
      </x:c>
    </x:row>
    <x:row r="3872" ht="32" customHeight="1">
      <x:c r="A3872" s="30" t="str">
        <x:v>A045</x:v>
      </x:c>
      <x:c r="B3872" s="30" t="str">
        <x:v>F310</x:v>
      </x:c>
      <x:c r="C3872" s="30" t="str">
        <x:v>compute.timing_profile_id</x:v>
      </x:c>
      <x:c r="D3872" s="30" t="str">
        <x:v>候选输入schema</x:v>
      </x:c>
      <x:c r="E3872" s="30" t="str">
        <x:v>按执行角色权限读取；策略只能使用可访问快照</x:v>
      </x:c>
    </x:row>
    <x:row r="3873" ht="32" customHeight="1">
      <x:c r="A3873" s="30" t="str">
        <x:v>A045</x:v>
      </x:c>
      <x:c r="B3873" s="30" t="str">
        <x:v>F311</x:v>
      </x:c>
      <x:c r="C3873" s="30" t="str">
        <x:v>compute.temperature_state</x:v>
      </x:c>
      <x:c r="D3873" s="30" t="str">
        <x:v>候选输入schema</x:v>
      </x:c>
      <x:c r="E3873" s="30" t="str">
        <x:v>按执行角色权限读取；策略只能使用可访问快照</x:v>
      </x:c>
    </x:row>
    <x:row r="3874" ht="32" customHeight="1">
      <x:c r="A3874" s="30" t="str">
        <x:v>A045</x:v>
      </x:c>
      <x:c r="B3874" s="30" t="str">
        <x:v>F312</x:v>
      </x:c>
      <x:c r="C3874" s="30" t="str">
        <x:v>compute.network_endpoint</x:v>
      </x:c>
      <x:c r="D3874" s="30" t="str">
        <x:v>候选输入schema</x:v>
      </x:c>
      <x:c r="E3874" s="30" t="str">
        <x:v>按执行角色权限读取；策略只能使用可访问快照</x:v>
      </x:c>
    </x:row>
    <x:row r="3875" ht="32" customHeight="1">
      <x:c r="A3875" s="30" t="str">
        <x:v>A045</x:v>
      </x:c>
      <x:c r="B3875" s="30" t="str">
        <x:v>F313</x:v>
      </x:c>
      <x:c r="C3875" s="30" t="str">
        <x:v>service.kind</x:v>
      </x:c>
      <x:c r="D3875" s="30" t="str">
        <x:v>候选输入schema</x:v>
      </x:c>
      <x:c r="E3875" s="30" t="str">
        <x:v>按执行角色权限读取；策略只能使用可访问快照</x:v>
      </x:c>
    </x:row>
    <x:row r="3876" ht="32" customHeight="1">
      <x:c r="A3876" s="30" t="str">
        <x:v>A045</x:v>
      </x:c>
      <x:c r="B3876" s="30" t="str">
        <x:v>F314</x:v>
      </x:c>
      <x:c r="C3876" s="30" t="str">
        <x:v>service.model_id</x:v>
      </x:c>
      <x:c r="D3876" s="30" t="str">
        <x:v>候选输入schema</x:v>
      </x:c>
      <x:c r="E3876" s="30" t="str">
        <x:v>按执行角色权限读取；策略只能使用可访问快照</x:v>
      </x:c>
    </x:row>
    <x:row r="3877" ht="32" customHeight="1">
      <x:c r="A3877" s="30" t="str">
        <x:v>A045</x:v>
      </x:c>
      <x:c r="B3877" s="30" t="str">
        <x:v>F315</x:v>
      </x:c>
      <x:c r="C3877" s="30" t="str">
        <x:v>service.version</x:v>
      </x:c>
      <x:c r="D3877" s="30" t="str">
        <x:v>候选输入schema</x:v>
      </x:c>
      <x:c r="E3877" s="30" t="str">
        <x:v>按执行角色权限读取；策略只能使用可访问快照</x:v>
      </x:c>
    </x:row>
    <x:row r="3878" ht="32" customHeight="1">
      <x:c r="A3878" s="30" t="str">
        <x:v>A045</x:v>
      </x:c>
      <x:c r="B3878" s="30" t="str">
        <x:v>F316</x:v>
      </x:c>
      <x:c r="C3878" s="30" t="str">
        <x:v>service.host_id</x:v>
      </x:c>
      <x:c r="D3878" s="30" t="str">
        <x:v>候选输入schema</x:v>
      </x:c>
      <x:c r="E3878" s="30" t="str">
        <x:v>按执行角色权限读取；策略只能使用可访问快照</x:v>
      </x:c>
    </x:row>
    <x:row r="3879" ht="32" customHeight="1">
      <x:c r="A3879" s="30" t="str">
        <x:v>A045</x:v>
      </x:c>
      <x:c r="B3879" s="30" t="str">
        <x:v>F317</x:v>
      </x:c>
      <x:c r="C3879" s="30" t="str">
        <x:v>service.status</x:v>
      </x:c>
      <x:c r="D3879" s="30" t="str">
        <x:v>候选输入schema</x:v>
      </x:c>
      <x:c r="E3879" s="30" t="str">
        <x:v>按执行角色权限读取；策略只能使用可访问快照</x:v>
      </x:c>
    </x:row>
    <x:row r="3880" ht="32" customHeight="1">
      <x:c r="A3880" s="30" t="str">
        <x:v>A045</x:v>
      </x:c>
      <x:c r="B3880" s="30" t="str">
        <x:v>F318</x:v>
      </x:c>
      <x:c r="C3880" s="30" t="str">
        <x:v>service.input_schema</x:v>
      </x:c>
      <x:c r="D3880" s="30" t="str">
        <x:v>候选输入schema</x:v>
      </x:c>
      <x:c r="E3880" s="30" t="str">
        <x:v>按执行角色权限读取；策略只能使用可访问快照</x:v>
      </x:c>
    </x:row>
    <x:row r="3881" ht="32" customHeight="1">
      <x:c r="A3881" s="30" t="str">
        <x:v>A045</x:v>
      </x:c>
      <x:c r="B3881" s="30" t="str">
        <x:v>F319</x:v>
      </x:c>
      <x:c r="C3881" s="30" t="str">
        <x:v>service.output_schema</x:v>
      </x:c>
      <x:c r="D3881" s="30" t="str">
        <x:v>候选输入schema</x:v>
      </x:c>
      <x:c r="E3881" s="30" t="str">
        <x:v>按执行角色权限读取；策略只能使用可访问快照</x:v>
      </x:c>
    </x:row>
    <x:row r="3882" ht="32" customHeight="1">
      <x:c r="A3882" s="30" t="str">
        <x:v>A045</x:v>
      </x:c>
      <x:c r="B3882" s="30" t="str">
        <x:v>F320</x:v>
      </x:c>
      <x:c r="C3882" s="30" t="str">
        <x:v>service.precision</x:v>
      </x:c>
      <x:c r="D3882" s="30" t="str">
        <x:v>候选输入schema</x:v>
      </x:c>
      <x:c r="E3882" s="30" t="str">
        <x:v>按执行角色权限读取；策略只能使用可访问快照</x:v>
      </x:c>
    </x:row>
    <x:row r="3883" ht="32" customHeight="1">
      <x:c r="A3883" s="30" t="str">
        <x:v>A045</x:v>
      </x:c>
      <x:c r="B3883" s="30" t="str">
        <x:v>F321</x:v>
      </x:c>
      <x:c r="C3883" s="30" t="str">
        <x:v>service.weights_bytes</x:v>
      </x:c>
      <x:c r="D3883" s="30" t="str">
        <x:v>候选输入schema</x:v>
      </x:c>
      <x:c r="E3883" s="30" t="str">
        <x:v>按执行角色权限读取；策略只能使用可访问快照</x:v>
      </x:c>
    </x:row>
    <x:row r="3884" ht="32" customHeight="1">
      <x:c r="A3884" s="30" t="str">
        <x:v>A045</x:v>
      </x:c>
      <x:c r="B3884" s="30" t="str">
        <x:v>F322</x:v>
      </x:c>
      <x:c r="C3884" s="30" t="str">
        <x:v>service.working_memory_bytes</x:v>
      </x:c>
      <x:c r="D3884" s="30" t="str">
        <x:v>候选输入schema</x:v>
      </x:c>
      <x:c r="E3884" s="30" t="str">
        <x:v>按执行角色权限读取；策略只能使用可访问快照</x:v>
      </x:c>
    </x:row>
    <x:row r="3885" ht="32" customHeight="1">
      <x:c r="A3885" s="30" t="str">
        <x:v>A045</x:v>
      </x:c>
      <x:c r="B3885" s="30" t="str">
        <x:v>F323</x:v>
      </x:c>
      <x:c r="C3885" s="30" t="str">
        <x:v>service.load_latency_profile</x:v>
      </x:c>
      <x:c r="D3885" s="30" t="str">
        <x:v>候选输入schema</x:v>
      </x:c>
      <x:c r="E3885" s="30" t="str">
        <x:v>按执行角色权限读取；策略只能使用可访问快照</x:v>
      </x:c>
    </x:row>
    <x:row r="3886" ht="32" customHeight="1">
      <x:c r="A3886" s="30" t="str">
        <x:v>A045</x:v>
      </x:c>
      <x:c r="B3886" s="30" t="str">
        <x:v>F324</x:v>
      </x:c>
      <x:c r="C3886" s="30" t="str">
        <x:v>service.batch_policy</x:v>
      </x:c>
      <x:c r="D3886" s="30" t="str">
        <x:v>候选输入schema</x:v>
      </x:c>
      <x:c r="E3886" s="30" t="str">
        <x:v>按执行角色权限读取；策略只能使用可访问快照</x:v>
      </x:c>
    </x:row>
    <x:row r="3887" ht="32" customHeight="1">
      <x:c r="A3887" s="30" t="str">
        <x:v>A045</x:v>
      </x:c>
      <x:c r="B3887" s="30" t="str">
        <x:v>F325</x:v>
      </x:c>
      <x:c r="C3887" s="30" t="str">
        <x:v>service.context_limit</x:v>
      </x:c>
      <x:c r="D3887" s="30" t="str">
        <x:v>候选输入schema</x:v>
      </x:c>
      <x:c r="E3887" s="30" t="str">
        <x:v>按执行角色权限读取；策略只能使用可访问快照</x:v>
      </x:c>
    </x:row>
    <x:row r="3888" ht="32" customHeight="1">
      <x:c r="A3888" s="30" t="str">
        <x:v>A045</x:v>
      </x:c>
      <x:c r="B3888" s="30" t="str">
        <x:v>F326</x:v>
      </x:c>
      <x:c r="C3888" s="30" t="str">
        <x:v>service.quality_profile</x:v>
      </x:c>
      <x:c r="D3888" s="30" t="str">
        <x:v>候选输入schema</x:v>
      </x:c>
      <x:c r="E3888" s="30" t="str">
        <x:v>按执行角色权限读取；策略只能使用可访问快照</x:v>
      </x:c>
    </x:row>
    <x:row r="3889" ht="32" customHeight="1">
      <x:c r="A3889" s="30" t="str">
        <x:v>A045</x:v>
      </x:c>
      <x:c r="B3889" s="30" t="str">
        <x:v>F327</x:v>
      </x:c>
      <x:c r="C3889" s="30" t="str">
        <x:v>service.compatible_representations</x:v>
      </x:c>
      <x:c r="D3889" s="30" t="str">
        <x:v>候选输入schema</x:v>
      </x:c>
      <x:c r="E3889" s="30" t="str">
        <x:v>按执行角色权限读取；策略只能使用可访问快照</x:v>
      </x:c>
    </x:row>
    <x:row r="3890" ht="32" customHeight="1">
      <x:c r="A3890" s="30" t="str">
        <x:v>A045</x:v>
      </x:c>
      <x:c r="B3890" s="30" t="str">
        <x:v>F328</x:v>
      </x:c>
      <x:c r="C3890" s="30" t="str">
        <x:v>service.licence_scope</x:v>
      </x:c>
      <x:c r="D3890" s="30" t="str">
        <x:v>候选输入schema</x:v>
      </x:c>
      <x:c r="E3890" s="30" t="str">
        <x:v>按执行角色权限读取；策略只能使用可访问快照</x:v>
      </x:c>
    </x:row>
    <x:row r="3891" ht="32" customHeight="1">
      <x:c r="A3891" s="30" t="str">
        <x:v>A045</x:v>
      </x:c>
      <x:c r="B3891" s="30" t="str">
        <x:v>F329</x:v>
      </x:c>
      <x:c r="C3891" s="30" t="str">
        <x:v>job.requester_id</x:v>
      </x:c>
      <x:c r="D3891" s="30" t="str">
        <x:v>候选输入schema</x:v>
      </x:c>
      <x:c r="E3891" s="30" t="str">
        <x:v>按执行角色权限读取；策略只能使用可访问快照</x:v>
      </x:c>
    </x:row>
    <x:row r="3892" ht="32" customHeight="1">
      <x:c r="A3892" s="30" t="str">
        <x:v>A045</x:v>
      </x:c>
      <x:c r="B3892" s="30" t="str">
        <x:v>F330</x:v>
      </x:c>
      <x:c r="C3892" s="30" t="str">
        <x:v>job.task_ref</x:v>
      </x:c>
      <x:c r="D3892" s="30" t="str">
        <x:v>候选输入schema</x:v>
      </x:c>
      <x:c r="E3892" s="30" t="str">
        <x:v>按执行角色权限读取；策略只能使用可访问快照</x:v>
      </x:c>
    </x:row>
    <x:row r="3893" ht="32" customHeight="1">
      <x:c r="A3893" s="30" t="str">
        <x:v>A045</x:v>
      </x:c>
      <x:c r="B3893" s="30" t="str">
        <x:v>F331</x:v>
      </x:c>
      <x:c r="C3893" s="30" t="str">
        <x:v>job.service_id</x:v>
      </x:c>
      <x:c r="D3893" s="30" t="str">
        <x:v>候选输入schema</x:v>
      </x:c>
      <x:c r="E3893" s="30" t="str">
        <x:v>按执行角色权限读取；策略只能使用可访问快照</x:v>
      </x:c>
    </x:row>
    <x:row r="3894" ht="32" customHeight="1">
      <x:c r="A3894" s="30" t="str">
        <x:v>A045</x:v>
      </x:c>
      <x:c r="B3894" s="30" t="str">
        <x:v>F332</x:v>
      </x:c>
      <x:c r="C3894" s="30" t="str">
        <x:v>job.input_evidence_ids</x:v>
      </x:c>
      <x:c r="D3894" s="30" t="str">
        <x:v>候选输入schema</x:v>
      </x:c>
      <x:c r="E3894" s="30" t="str">
        <x:v>按执行角色权限读取；策略只能使用可访问快照</x:v>
      </x:c>
    </x:row>
    <x:row r="3895" ht="32" customHeight="1">
      <x:c r="A3895" s="30" t="str">
        <x:v>A045</x:v>
      </x:c>
      <x:c r="B3895" s="30" t="str">
        <x:v>F333</x:v>
      </x:c>
      <x:c r="C3895" s="30" t="str">
        <x:v>job.input_bytes</x:v>
      </x:c>
      <x:c r="D3895" s="30" t="str">
        <x:v>候选输入schema</x:v>
      </x:c>
      <x:c r="E3895" s="30" t="str">
        <x:v>按执行角色权限读取；策略只能使用可访问快照</x:v>
      </x:c>
    </x:row>
    <x:row r="3896" ht="32" customHeight="1">
      <x:c r="A3896" s="30" t="str">
        <x:v>A045</x:v>
      </x:c>
      <x:c r="B3896" s="30" t="str">
        <x:v>F334</x:v>
      </x:c>
      <x:c r="C3896" s="30" t="str">
        <x:v>job.input_tokens</x:v>
      </x:c>
      <x:c r="D3896" s="30" t="str">
        <x:v>候选输入schema</x:v>
      </x:c>
      <x:c r="E3896" s="30" t="str">
        <x:v>按执行角色权限读取；策略只能使用可访问快照</x:v>
      </x:c>
    </x:row>
    <x:row r="3897" ht="32" customHeight="1">
      <x:c r="A3897" s="30" t="str">
        <x:v>A045</x:v>
      </x:c>
      <x:c r="B3897" s="30" t="str">
        <x:v>F335</x:v>
      </x:c>
      <x:c r="C3897" s="30" t="str">
        <x:v>job.output_tokens</x:v>
      </x:c>
      <x:c r="D3897" s="30" t="str">
        <x:v>候选输入schema</x:v>
      </x:c>
      <x:c r="E3897" s="30" t="str">
        <x:v>按执行角色权限读取；策略只能使用可访问快照</x:v>
      </x:c>
    </x:row>
    <x:row r="3898" ht="32" customHeight="1">
      <x:c r="A3898" s="30" t="str">
        <x:v>A045</x:v>
      </x:c>
      <x:c r="B3898" s="30" t="str">
        <x:v>F336</x:v>
      </x:c>
      <x:c r="C3898" s="30" t="str">
        <x:v>job.status</x:v>
      </x:c>
      <x:c r="D3898" s="30" t="str">
        <x:v>候选输入schema</x:v>
      </x:c>
      <x:c r="E3898" s="30" t="str">
        <x:v>按执行角色权限读取；策略只能使用可访问快照</x:v>
      </x:c>
    </x:row>
    <x:row r="3899" ht="32" customHeight="1">
      <x:c r="A3899" s="30" t="str">
        <x:v>A045</x:v>
      </x:c>
      <x:c r="B3899" s="30" t="str">
        <x:v>F337</x:v>
      </x:c>
      <x:c r="C3899" s="30" t="str">
        <x:v>job.queue_enter_s</x:v>
      </x:c>
      <x:c r="D3899" s="30" t="str">
        <x:v>候选输入schema</x:v>
      </x:c>
      <x:c r="E3899" s="30" t="str">
        <x:v>按执行角色权限读取；策略只能使用可访问快照</x:v>
      </x:c>
    </x:row>
    <x:row r="3900" ht="32" customHeight="1">
      <x:c r="A3900" s="30" t="str">
        <x:v>A045</x:v>
      </x:c>
      <x:c r="B3900" s="30" t="str">
        <x:v>F338</x:v>
      </x:c>
      <x:c r="C3900" s="30" t="str">
        <x:v>job.start_s</x:v>
      </x:c>
      <x:c r="D3900" s="30" t="str">
        <x:v>候选输入schema</x:v>
      </x:c>
      <x:c r="E3900" s="30" t="str">
        <x:v>按执行角色权限读取；策略只能使用可访问快照</x:v>
      </x:c>
    </x:row>
    <x:row r="3901" ht="32" customHeight="1">
      <x:c r="A3901" s="30" t="str">
        <x:v>A045</x:v>
      </x:c>
      <x:c r="B3901" s="30" t="str">
        <x:v>F339</x:v>
      </x:c>
      <x:c r="C3901" s="30" t="str">
        <x:v>job.finish_s</x:v>
      </x:c>
      <x:c r="D3901" s="30" t="str">
        <x:v>候选输入schema</x:v>
      </x:c>
      <x:c r="E3901" s="30" t="str">
        <x:v>按执行角色权限读取；策略只能使用可访问快照</x:v>
      </x:c>
    </x:row>
    <x:row r="3902" ht="32" customHeight="1">
      <x:c r="A3902" s="30" t="str">
        <x:v>A045</x:v>
      </x:c>
      <x:c r="B3902" s="30" t="str">
        <x:v>F340</x:v>
      </x:c>
      <x:c r="C3902" s="30" t="str">
        <x:v>job.deadline_s</x:v>
      </x:c>
      <x:c r="D3902" s="30" t="str">
        <x:v>候选输入schema</x:v>
      </x:c>
      <x:c r="E3902" s="30" t="str">
        <x:v>按执行角色权限读取；策略只能使用可访问快照</x:v>
      </x:c>
    </x:row>
    <x:row r="3903" ht="32" customHeight="1">
      <x:c r="A3903" s="30" t="str">
        <x:v>A045</x:v>
      </x:c>
      <x:c r="B3903" s="30" t="str">
        <x:v>F341</x:v>
      </x:c>
      <x:c r="C3903" s="30" t="str">
        <x:v>job.cpu_request</x:v>
      </x:c>
      <x:c r="D3903" s="30" t="str">
        <x:v>候选输入schema</x:v>
      </x:c>
      <x:c r="E3903" s="30" t="str">
        <x:v>按执行角色权限读取；策略只能使用可访问快照</x:v>
      </x:c>
    </x:row>
    <x:row r="3904" ht="32" customHeight="1">
      <x:c r="A3904" s="30" t="str">
        <x:v>A045</x:v>
      </x:c>
      <x:c r="B3904" s="30" t="str">
        <x:v>F342</x:v>
      </x:c>
      <x:c r="C3904" s="30" t="str">
        <x:v>job.memory_request_bytes</x:v>
      </x:c>
      <x:c r="D3904" s="30" t="str">
        <x:v>候选输入schema</x:v>
      </x:c>
      <x:c r="E3904" s="30" t="str">
        <x:v>按执行角色权限读取；策略只能使用可访问快照</x:v>
      </x:c>
    </x:row>
    <x:row r="3905" ht="32" customHeight="1">
      <x:c r="A3905" s="30" t="str">
        <x:v>A045</x:v>
      </x:c>
      <x:c r="B3905" s="30" t="str">
        <x:v>F343</x:v>
      </x:c>
      <x:c r="C3905" s="30" t="str">
        <x:v>job.prefill_s</x:v>
      </x:c>
      <x:c r="D3905" s="30" t="str">
        <x:v>候选输入schema</x:v>
      </x:c>
      <x:c r="E3905" s="30" t="str">
        <x:v>按执行角色权限读取；策略只能使用可访问快照</x:v>
      </x:c>
    </x:row>
    <x:row r="3906" ht="32" customHeight="1">
      <x:c r="A3906" s="30" t="str">
        <x:v>A045</x:v>
      </x:c>
      <x:c r="B3906" s="30" t="str">
        <x:v>F344</x:v>
      </x:c>
      <x:c r="C3906" s="30" t="str">
        <x:v>job.decode_s</x:v>
      </x:c>
      <x:c r="D3906" s="30" t="str">
        <x:v>候选输入schema</x:v>
      </x:c>
      <x:c r="E3906" s="30" t="str">
        <x:v>按执行角色权限读取；策略只能使用可访问快照</x:v>
      </x:c>
    </x:row>
    <x:row r="3907" ht="32" customHeight="1">
      <x:c r="A3907" s="30" t="str">
        <x:v>A045</x:v>
      </x:c>
      <x:c r="B3907" s="30" t="str">
        <x:v>F345</x:v>
      </x:c>
      <x:c r="C3907" s="30" t="str">
        <x:v>job.wall_time_s</x:v>
      </x:c>
      <x:c r="D3907" s="30" t="str">
        <x:v>候选输入schema</x:v>
      </x:c>
      <x:c r="E3907" s="30" t="str">
        <x:v>按执行角色权限读取；策略只能使用可访问快照</x:v>
      </x:c>
    </x:row>
    <x:row r="3908" ht="32" customHeight="1">
      <x:c r="A3908" s="30" t="str">
        <x:v>A045</x:v>
      </x:c>
      <x:c r="B3908" s="30" t="str">
        <x:v>F346</x:v>
      </x:c>
      <x:c r="C3908" s="30" t="str">
        <x:v>job.result_ref</x:v>
      </x:c>
      <x:c r="D3908" s="30" t="str">
        <x:v>候选输入schema</x:v>
      </x:c>
      <x:c r="E3908" s="30" t="str">
        <x:v>按执行角色权限读取；策略只能使用可访问快照</x:v>
      </x:c>
    </x:row>
    <x:row r="3909" ht="32" customHeight="1">
      <x:c r="A3909" s="30" t="str">
        <x:v>A045</x:v>
      </x:c>
      <x:c r="B3909" s="30" t="str">
        <x:v>F347</x:v>
      </x:c>
      <x:c r="C3909" s="30" t="str">
        <x:v>job.checkpoint_ref</x:v>
      </x:c>
      <x:c r="D3909" s="30" t="str">
        <x:v>候选输入schema</x:v>
      </x:c>
      <x:c r="E3909" s="30" t="str">
        <x:v>按执行角色权限读取；策略只能使用可访问快照</x:v>
      </x:c>
    </x:row>
    <x:row r="3910" ht="32" customHeight="1">
      <x:c r="A3910" s="30" t="str">
        <x:v>A045</x:v>
      </x:c>
      <x:c r="B3910" s="30" t="str">
        <x:v>F348</x:v>
      </x:c>
      <x:c r="C3910" s="30" t="str">
        <x:v>job.failure_reason</x:v>
      </x:c>
      <x:c r="D3910" s="30" t="str">
        <x:v>候选输入schema</x:v>
      </x:c>
      <x:c r="E3910" s="30" t="str">
        <x:v>按执行角色权限读取；策略只能使用可访问快照</x:v>
      </x:c>
    </x:row>
    <x:row r="3911" ht="32" customHeight="1">
      <x:c r="A3911" s="30" t="str">
        <x:v>A045</x:v>
      </x:c>
      <x:c r="B3911" s="30" t="str">
        <x:v>F317</x:v>
      </x:c>
      <x:c r="C3911" s="30" t="str">
        <x:v>service.status</x:v>
      </x:c>
      <x:c r="D3911" s="30" t="str">
        <x:v>直接效果</x:v>
      </x:c>
      <x:c r="E3911" s="30" t="str">
        <x:v>经实际执行/回执提交；不是规划时提前修改</x:v>
      </x:c>
    </x:row>
    <x:row r="3912" ht="32" customHeight="1">
      <x:c r="A3912" s="30" t="str">
        <x:v>A045</x:v>
      </x:c>
      <x:c r="B3912" s="30" t="str">
        <x:v>F316</x:v>
      </x:c>
      <x:c r="C3912" s="30" t="str">
        <x:v>service.host_id</x:v>
      </x:c>
      <x:c r="D3912" s="30" t="str">
        <x:v>直接效果</x:v>
      </x:c>
      <x:c r="E3912" s="30" t="str">
        <x:v>经实际执行/回执提交；不是规划时提前修改</x:v>
      </x:c>
    </x:row>
    <x:row r="3913" ht="32" customHeight="1">
      <x:c r="A3913" s="30" t="str">
        <x:v>A045</x:v>
      </x:c>
      <x:c r="B3913" s="30" t="str">
        <x:v>F298</x:v>
      </x:c>
      <x:c r="C3913" s="30" t="str">
        <x:v>compute.memory_used_bytes</x:v>
      </x:c>
      <x:c r="D3913" s="30" t="str">
        <x:v>直接效果</x:v>
      </x:c>
      <x:c r="E3913" s="30" t="str">
        <x:v>经实际执行/回执提交；不是规划时提前修改</x:v>
      </x:c>
    </x:row>
    <x:row r="3914" ht="32" customHeight="1">
      <x:c r="A3914" s="30" t="str">
        <x:v>A045</x:v>
      </x:c>
      <x:c r="B3914" s="30" t="str">
        <x:v>F307</x:v>
      </x:c>
      <x:c r="C3914" s="30" t="str">
        <x:v>compute.service_ids</x:v>
      </x:c>
      <x:c r="D3914" s="30" t="str">
        <x:v>直接效果</x:v>
      </x:c>
      <x:c r="E3914" s="30" t="str">
        <x:v>经实际执行/回执提交；不是规划时提前修改</x:v>
      </x:c>
    </x:row>
    <x:row r="3915" ht="32" customHeight="1">
      <x:c r="A3915" s="30" t="str">
        <x:v>A046</x:v>
      </x:c>
      <x:c r="B3915" s="30" t="str">
        <x:v>F166</x:v>
      </x:c>
      <x:c r="C3915" s="30" t="str">
        <x:v>observation.observer_id</x:v>
      </x:c>
      <x:c r="D3915" s="30" t="str">
        <x:v>候选输入schema</x:v>
      </x:c>
      <x:c r="E3915" s="30" t="str">
        <x:v>按执行角色权限读取；策略只能使用可访问快照</x:v>
      </x:c>
    </x:row>
    <x:row r="3916" ht="32" customHeight="1">
      <x:c r="A3916" s="30" t="str">
        <x:v>A046</x:v>
      </x:c>
      <x:c r="B3916" s="30" t="str">
        <x:v>F167</x:v>
      </x:c>
      <x:c r="C3916" s="30" t="str">
        <x:v>observation.sensor_id</x:v>
      </x:c>
      <x:c r="D3916" s="30" t="str">
        <x:v>候选输入schema</x:v>
      </x:c>
      <x:c r="E3916" s="30" t="str">
        <x:v>按执行角色权限读取；策略只能使用可访问快照</x:v>
      </x:c>
    </x:row>
    <x:row r="3917" ht="32" customHeight="1">
      <x:c r="A3917" s="30" t="str">
        <x:v>A046</x:v>
      </x:c>
      <x:c r="B3917" s="30" t="str">
        <x:v>F168</x:v>
      </x:c>
      <x:c r="C3917" s="30" t="str">
        <x:v>observation.captured_at_s</x:v>
      </x:c>
      <x:c r="D3917" s="30" t="str">
        <x:v>候选输入schema</x:v>
      </x:c>
      <x:c r="E3917" s="30" t="str">
        <x:v>按执行角色权限读取；策略只能使用可访问快照</x:v>
      </x:c>
    </x:row>
    <x:row r="3918" ht="32" customHeight="1">
      <x:c r="A3918" s="30" t="str">
        <x:v>A046</x:v>
      </x:c>
      <x:c r="B3918" s="30" t="str">
        <x:v>F169</x:v>
      </x:c>
      <x:c r="C3918" s="30" t="str">
        <x:v>observation.pose_estimate</x:v>
      </x:c>
      <x:c r="D3918" s="30" t="str">
        <x:v>候选输入schema</x:v>
      </x:c>
      <x:c r="E3918" s="30" t="str">
        <x:v>按执行角色权限读取；策略只能使用可访问快照</x:v>
      </x:c>
    </x:row>
    <x:row r="3919" ht="32" customHeight="1">
      <x:c r="A3919" s="30" t="str">
        <x:v>A046</x:v>
      </x:c>
      <x:c r="B3919" s="30" t="str">
        <x:v>F170</x:v>
      </x:c>
      <x:c r="C3919" s="30" t="str">
        <x:v>observation.payload_ref</x:v>
      </x:c>
      <x:c r="D3919" s="30" t="str">
        <x:v>候选输入schema</x:v>
      </x:c>
      <x:c r="E3919" s="30" t="str">
        <x:v>按执行角色权限读取；策略只能使用可访问快照</x:v>
      </x:c>
    </x:row>
    <x:row r="3920" ht="32" customHeight="1">
      <x:c r="A3920" s="30" t="str">
        <x:v>A046</x:v>
      </x:c>
      <x:c r="B3920" s="30" t="str">
        <x:v>F171</x:v>
      </x:c>
      <x:c r="C3920" s="30" t="str">
        <x:v>observation.payload_bytes</x:v>
      </x:c>
      <x:c r="D3920" s="30" t="str">
        <x:v>候选输入schema</x:v>
      </x:c>
      <x:c r="E3920" s="30" t="str">
        <x:v>按执行角色权限读取；策略只能使用可访问快照</x:v>
      </x:c>
    </x:row>
    <x:row r="3921" ht="32" customHeight="1">
      <x:c r="A3921" s="30" t="str">
        <x:v>A046</x:v>
      </x:c>
      <x:c r="B3921" s="30" t="str">
        <x:v>F172</x:v>
      </x:c>
      <x:c r="C3921" s="30" t="str">
        <x:v>observation.content_hash</x:v>
      </x:c>
      <x:c r="D3921" s="30" t="str">
        <x:v>候选输入schema</x:v>
      </x:c>
      <x:c r="E3921" s="30" t="str">
        <x:v>按执行角色权限读取；策略只能使用可访问快照</x:v>
      </x:c>
    </x:row>
    <x:row r="3922" ht="32" customHeight="1">
      <x:c r="A3922" s="30" t="str">
        <x:v>A046</x:v>
      </x:c>
      <x:c r="B3922" s="30" t="str">
        <x:v>F173</x:v>
      </x:c>
      <x:c r="C3922" s="30" t="str">
        <x:v>observation.modality</x:v>
      </x:c>
      <x:c r="D3922" s="30" t="str">
        <x:v>候选输入schema</x:v>
      </x:c>
      <x:c r="E3922" s="30" t="str">
        <x:v>按执行角色权限读取；策略只能使用可访问快照</x:v>
      </x:c>
    </x:row>
    <x:row r="3923" ht="32" customHeight="1">
      <x:c r="A3923" s="30" t="str">
        <x:v>A046</x:v>
      </x:c>
      <x:c r="B3923" s="30" t="str">
        <x:v>F174</x:v>
      </x:c>
      <x:c r="C3923" s="30" t="str">
        <x:v>observation.detections</x:v>
      </x:c>
      <x:c r="D3923" s="30" t="str">
        <x:v>候选输入schema</x:v>
      </x:c>
      <x:c r="E3923" s="30" t="str">
        <x:v>按执行角色权限读取；策略只能使用可访问快照</x:v>
      </x:c>
    </x:row>
    <x:row r="3924" ht="32" customHeight="1">
      <x:c r="A3924" s="30" t="str">
        <x:v>A046</x:v>
      </x:c>
      <x:c r="B3924" s="30" t="str">
        <x:v>F175</x:v>
      </x:c>
      <x:c r="C3924" s="30" t="str">
        <x:v>observation.confidence</x:v>
      </x:c>
      <x:c r="D3924" s="30" t="str">
        <x:v>候选输入schema</x:v>
      </x:c>
      <x:c r="E3924" s="30" t="str">
        <x:v>按执行角色权限读取；策略只能使用可访问快照</x:v>
      </x:c>
    </x:row>
    <x:row r="3925" ht="32" customHeight="1">
      <x:c r="A3925" s="30" t="str">
        <x:v>A046</x:v>
      </x:c>
      <x:c r="B3925" s="30" t="str">
        <x:v>F176</x:v>
      </x:c>
      <x:c r="C3925" s="30" t="str">
        <x:v>observation.coverage_estimate</x:v>
      </x:c>
      <x:c r="D3925" s="30" t="str">
        <x:v>候选输入schema</x:v>
      </x:c>
      <x:c r="E3925" s="30" t="str">
        <x:v>按执行角色权限读取；策略只能使用可访问快照</x:v>
      </x:c>
    </x:row>
    <x:row r="3926" ht="32" customHeight="1">
      <x:c r="A3926" s="30" t="str">
        <x:v>A046</x:v>
      </x:c>
      <x:c r="B3926" s="30" t="str">
        <x:v>F177</x:v>
      </x:c>
      <x:c r="C3926" s="30" t="str">
        <x:v>observation.processing_job_id</x:v>
      </x:c>
      <x:c r="D3926" s="30" t="str">
        <x:v>候选输入schema</x:v>
      </x:c>
      <x:c r="E3926" s="30" t="str">
        <x:v>按执行角色权限读取；策略只能使用可访问快照</x:v>
      </x:c>
    </x:row>
    <x:row r="3927" ht="32" customHeight="1">
      <x:c r="A3927" s="30" t="str">
        <x:v>A046</x:v>
      </x:c>
      <x:c r="B3927" s="30" t="str">
        <x:v>F178</x:v>
      </x:c>
      <x:c r="C3927" s="30" t="str">
        <x:v>observation.parent_evidence_ids</x:v>
      </x:c>
      <x:c r="D3927" s="30" t="str">
        <x:v>候选输入schema</x:v>
      </x:c>
      <x:c r="E3927" s="30" t="str">
        <x:v>按执行角色权限读取；策略只能使用可访问快照</x:v>
      </x:c>
    </x:row>
    <x:row r="3928" ht="32" customHeight="1">
      <x:c r="A3928" s="30" t="str">
        <x:v>A046</x:v>
      </x:c>
      <x:c r="B3928" s="30" t="str">
        <x:v>F179</x:v>
      </x:c>
      <x:c r="C3928" s="30" t="str">
        <x:v>observation.valid_until_s</x:v>
      </x:c>
      <x:c r="D3928" s="30" t="str">
        <x:v>候选输入schema</x:v>
      </x:c>
      <x:c r="E3928" s="30" t="str">
        <x:v>按执行角色权限读取；策略只能使用可访问快照</x:v>
      </x:c>
    </x:row>
    <x:row r="3929" ht="32" customHeight="1">
      <x:c r="A3929" s="30" t="str">
        <x:v>A046</x:v>
      </x:c>
      <x:c r="B3929" s="30" t="str">
        <x:v>F180</x:v>
      </x:c>
      <x:c r="C3929" s="30" t="str">
        <x:v>observation.mode</x:v>
      </x:c>
      <x:c r="D3929" s="30" t="str">
        <x:v>候选输入schema</x:v>
      </x:c>
      <x:c r="E3929" s="30" t="str">
        <x:v>按执行角色权限读取；策略只能使用可访问快照</x:v>
      </x:c>
    </x:row>
    <x:row r="3930" ht="32" customHeight="1">
      <x:c r="A3930" s="30" t="str">
        <x:v>A046</x:v>
      </x:c>
      <x:c r="B3930" s="30" t="str">
        <x:v>F293</x:v>
      </x:c>
      <x:c r="C3930" s="30" t="str">
        <x:v>compute.node_id</x:v>
      </x:c>
      <x:c r="D3930" s="30" t="str">
        <x:v>候选输入schema</x:v>
      </x:c>
      <x:c r="E3930" s="30" t="str">
        <x:v>按执行角色权限读取；策略只能使用可访问快照</x:v>
      </x:c>
    </x:row>
    <x:row r="3931" ht="32" customHeight="1">
      <x:c r="A3931" s="30" t="str">
        <x:v>A046</x:v>
      </x:c>
      <x:c r="B3931" s="30" t="str">
        <x:v>F294</x:v>
      </x:c>
      <x:c r="C3931" s="30" t="str">
        <x:v>compute.device_kind</x:v>
      </x:c>
      <x:c r="D3931" s="30" t="str">
        <x:v>候选输入schema</x:v>
      </x:c>
      <x:c r="E3931" s="30" t="str">
        <x:v>按执行角色权限读取；策略只能使用可访问快照</x:v>
      </x:c>
    </x:row>
    <x:row r="3932" ht="32" customHeight="1">
      <x:c r="A3932" s="30" t="str">
        <x:v>A046</x:v>
      </x:c>
      <x:c r="B3932" s="30" t="str">
        <x:v>F295</x:v>
      </x:c>
      <x:c r="C3932" s="30" t="str">
        <x:v>compute.cpu_capacity</x:v>
      </x:c>
      <x:c r="D3932" s="30" t="str">
        <x:v>候选输入schema</x:v>
      </x:c>
      <x:c r="E3932" s="30" t="str">
        <x:v>按执行角色权限读取；策略只能使用可访问快照</x:v>
      </x:c>
    </x:row>
    <x:row r="3933" ht="32" customHeight="1">
      <x:c r="A3933" s="30" t="str">
        <x:v>A046</x:v>
      </x:c>
      <x:c r="B3933" s="30" t="str">
        <x:v>F296</x:v>
      </x:c>
      <x:c r="C3933" s="30" t="str">
        <x:v>compute.accelerator_capacity</x:v>
      </x:c>
      <x:c r="D3933" s="30" t="str">
        <x:v>候选输入schema</x:v>
      </x:c>
      <x:c r="E3933" s="30" t="str">
        <x:v>按执行角色权限读取；策略只能使用可访问快照</x:v>
      </x:c>
    </x:row>
    <x:row r="3934" ht="32" customHeight="1">
      <x:c r="A3934" s="30" t="str">
        <x:v>A046</x:v>
      </x:c>
      <x:c r="B3934" s="30" t="str">
        <x:v>F297</x:v>
      </x:c>
      <x:c r="C3934" s="30" t="str">
        <x:v>compute.memory_capacity_bytes</x:v>
      </x:c>
      <x:c r="D3934" s="30" t="str">
        <x:v>候选输入schema</x:v>
      </x:c>
      <x:c r="E3934" s="30" t="str">
        <x:v>按执行角色权限读取；策略只能使用可访问快照</x:v>
      </x:c>
    </x:row>
    <x:row r="3935" ht="32" customHeight="1">
      <x:c r="A3935" s="30" t="str">
        <x:v>A046</x:v>
      </x:c>
      <x:c r="B3935" s="30" t="str">
        <x:v>F298</x:v>
      </x:c>
      <x:c r="C3935" s="30" t="str">
        <x:v>compute.memory_used_bytes</x:v>
      </x:c>
      <x:c r="D3935" s="30" t="str">
        <x:v>候选输入schema</x:v>
      </x:c>
      <x:c r="E3935" s="30" t="str">
        <x:v>按执行角色权限读取；策略只能使用可访问快照</x:v>
      </x:c>
    </x:row>
    <x:row r="3936" ht="32" customHeight="1">
      <x:c r="A3936" s="30" t="str">
        <x:v>A046</x:v>
      </x:c>
      <x:c r="B3936" s="30" t="str">
        <x:v>F299</x:v>
      </x:c>
      <x:c r="C3936" s="30" t="str">
        <x:v>compute.cpu_allocated</x:v>
      </x:c>
      <x:c r="D3936" s="30" t="str">
        <x:v>候选输入schema</x:v>
      </x:c>
      <x:c r="E3936" s="30" t="str">
        <x:v>按执行角色权限读取；策略只能使用可访问快照</x:v>
      </x:c>
    </x:row>
    <x:row r="3937" ht="32" customHeight="1">
      <x:c r="A3937" s="30" t="str">
        <x:v>A046</x:v>
      </x:c>
      <x:c r="B3937" s="30" t="str">
        <x:v>F300</x:v>
      </x:c>
      <x:c r="C3937" s="30" t="str">
        <x:v>compute.accelerator_allocated</x:v>
      </x:c>
      <x:c r="D3937" s="30" t="str">
        <x:v>候选输入schema</x:v>
      </x:c>
      <x:c r="E3937" s="30" t="str">
        <x:v>按执行角色权限读取；策略只能使用可访问快照</x:v>
      </x:c>
    </x:row>
    <x:row r="3938" ht="32" customHeight="1">
      <x:c r="A3938" s="30" t="str">
        <x:v>A046</x:v>
      </x:c>
      <x:c r="B3938" s="30" t="str">
        <x:v>F301</x:v>
      </x:c>
      <x:c r="C3938" s="30" t="str">
        <x:v>compute.max_concurrency</x:v>
      </x:c>
      <x:c r="D3938" s="30" t="str">
        <x:v>候选输入schema</x:v>
      </x:c>
      <x:c r="E3938" s="30" t="str">
        <x:v>按执行角色权限读取；策略只能使用可访问快照</x:v>
      </x:c>
    </x:row>
    <x:row r="3939" ht="32" customHeight="1">
      <x:c r="A3939" s="30" t="str">
        <x:v>A046</x:v>
      </x:c>
      <x:c r="B3939" s="30" t="str">
        <x:v>F302</x:v>
      </x:c>
      <x:c r="C3939" s="30" t="str">
        <x:v>compute.queue_ids</x:v>
      </x:c>
      <x:c r="D3939" s="30" t="str">
        <x:v>候选输入schema</x:v>
      </x:c>
      <x:c r="E3939" s="30" t="str">
        <x:v>按执行角色权限读取；策略只能使用可访问快照</x:v>
      </x:c>
    </x:row>
    <x:row r="3940" ht="32" customHeight="1">
      <x:c r="A3940" s="30" t="str">
        <x:v>A046</x:v>
      </x:c>
      <x:c r="B3940" s="30" t="str">
        <x:v>F303</x:v>
      </x:c>
      <x:c r="C3940" s="30" t="str">
        <x:v>compute.running_job_ids</x:v>
      </x:c>
      <x:c r="D3940" s="30" t="str">
        <x:v>候选输入schema</x:v>
      </x:c>
      <x:c r="E3940" s="30" t="str">
        <x:v>按执行角色权限读取；策略只能使用可访问快照</x:v>
      </x:c>
    </x:row>
    <x:row r="3941" ht="32" customHeight="1">
      <x:c r="A3941" s="30" t="str">
        <x:v>A046</x:v>
      </x:c>
      <x:c r="B3941" s="30" t="str">
        <x:v>F304</x:v>
      </x:c>
      <x:c r="C3941" s="30" t="str">
        <x:v>compute.availability</x:v>
      </x:c>
      <x:c r="D3941" s="30" t="str">
        <x:v>候选输入schema</x:v>
      </x:c>
      <x:c r="E3941" s="30" t="str">
        <x:v>按执行角色权限读取；策略只能使用可访问快照</x:v>
      </x:c>
    </x:row>
    <x:row r="3942" ht="32" customHeight="1">
      <x:c r="A3942" s="30" t="str">
        <x:v>A046</x:v>
      </x:c>
      <x:c r="B3942" s="30" t="str">
        <x:v>F305</x:v>
      </x:c>
      <x:c r="C3942" s="30" t="str">
        <x:v>compute.power_model</x:v>
      </x:c>
      <x:c r="D3942" s="30" t="str">
        <x:v>候选输入schema</x:v>
      </x:c>
      <x:c r="E3942" s="30" t="str">
        <x:v>按执行角色权限读取；策略只能使用可访问快照</x:v>
      </x:c>
    </x:row>
    <x:row r="3943" ht="32" customHeight="1">
      <x:c r="A3943" s="30" t="str">
        <x:v>A046</x:v>
      </x:c>
      <x:c r="B3943" s="30" t="str">
        <x:v>F306</x:v>
      </x:c>
      <x:c r="C3943" s="30" t="str">
        <x:v>compute.energy_Wh</x:v>
      </x:c>
      <x:c r="D3943" s="30" t="str">
        <x:v>候选输入schema</x:v>
      </x:c>
      <x:c r="E3943" s="30" t="str">
        <x:v>按执行角色权限读取；策略只能使用可访问快照</x:v>
      </x:c>
    </x:row>
    <x:row r="3944" ht="32" customHeight="1">
      <x:c r="A3944" s="30" t="str">
        <x:v>A046</x:v>
      </x:c>
      <x:c r="B3944" s="30" t="str">
        <x:v>F307</x:v>
      </x:c>
      <x:c r="C3944" s="30" t="str">
        <x:v>compute.service_ids</x:v>
      </x:c>
      <x:c r="D3944" s="30" t="str">
        <x:v>候选输入schema</x:v>
      </x:c>
      <x:c r="E3944" s="30" t="str">
        <x:v>按执行角色权限读取；策略只能使用可访问快照</x:v>
      </x:c>
    </x:row>
    <x:row r="3945" ht="32" customHeight="1">
      <x:c r="A3945" s="30" t="str">
        <x:v>A046</x:v>
      </x:c>
      <x:c r="B3945" s="30" t="str">
        <x:v>F308</x:v>
      </x:c>
      <x:c r="C3945" s="30" t="str">
        <x:v>compute.storage_free_bytes</x:v>
      </x:c>
      <x:c r="D3945" s="30" t="str">
        <x:v>候选输入schema</x:v>
      </x:c>
      <x:c r="E3945" s="30" t="str">
        <x:v>按执行角色权限读取；策略只能使用可访问快照</x:v>
      </x:c>
    </x:row>
    <x:row r="3946" ht="32" customHeight="1">
      <x:c r="A3946" s="30" t="str">
        <x:v>A046</x:v>
      </x:c>
      <x:c r="B3946" s="30" t="str">
        <x:v>F309</x:v>
      </x:c>
      <x:c r="C3946" s="30" t="str">
        <x:v>compute.clock_policy</x:v>
      </x:c>
      <x:c r="D3946" s="30" t="str">
        <x:v>候选输入schema</x:v>
      </x:c>
      <x:c r="E3946" s="30" t="str">
        <x:v>按执行角色权限读取；策略只能使用可访问快照</x:v>
      </x:c>
    </x:row>
    <x:row r="3947" ht="32" customHeight="1">
      <x:c r="A3947" s="30" t="str">
        <x:v>A046</x:v>
      </x:c>
      <x:c r="B3947" s="30" t="str">
        <x:v>F310</x:v>
      </x:c>
      <x:c r="C3947" s="30" t="str">
        <x:v>compute.timing_profile_id</x:v>
      </x:c>
      <x:c r="D3947" s="30" t="str">
        <x:v>候选输入schema</x:v>
      </x:c>
      <x:c r="E3947" s="30" t="str">
        <x:v>按执行角色权限读取；策略只能使用可访问快照</x:v>
      </x:c>
    </x:row>
    <x:row r="3948" ht="32" customHeight="1">
      <x:c r="A3948" s="30" t="str">
        <x:v>A046</x:v>
      </x:c>
      <x:c r="B3948" s="30" t="str">
        <x:v>F311</x:v>
      </x:c>
      <x:c r="C3948" s="30" t="str">
        <x:v>compute.temperature_state</x:v>
      </x:c>
      <x:c r="D3948" s="30" t="str">
        <x:v>候选输入schema</x:v>
      </x:c>
      <x:c r="E3948" s="30" t="str">
        <x:v>按执行角色权限读取；策略只能使用可访问快照</x:v>
      </x:c>
    </x:row>
    <x:row r="3949" ht="32" customHeight="1">
      <x:c r="A3949" s="30" t="str">
        <x:v>A046</x:v>
      </x:c>
      <x:c r="B3949" s="30" t="str">
        <x:v>F312</x:v>
      </x:c>
      <x:c r="C3949" s="30" t="str">
        <x:v>compute.network_endpoint</x:v>
      </x:c>
      <x:c r="D3949" s="30" t="str">
        <x:v>候选输入schema</x:v>
      </x:c>
      <x:c r="E3949" s="30" t="str">
        <x:v>按执行角色权限读取；策略只能使用可访问快照</x:v>
      </x:c>
    </x:row>
    <x:row r="3950" ht="32" customHeight="1">
      <x:c r="A3950" s="30" t="str">
        <x:v>A046</x:v>
      </x:c>
      <x:c r="B3950" s="30" t="str">
        <x:v>F313</x:v>
      </x:c>
      <x:c r="C3950" s="30" t="str">
        <x:v>service.kind</x:v>
      </x:c>
      <x:c r="D3950" s="30" t="str">
        <x:v>候选输入schema</x:v>
      </x:c>
      <x:c r="E3950" s="30" t="str">
        <x:v>按执行角色权限读取；策略只能使用可访问快照</x:v>
      </x:c>
    </x:row>
    <x:row r="3951" ht="32" customHeight="1">
      <x:c r="A3951" s="30" t="str">
        <x:v>A046</x:v>
      </x:c>
      <x:c r="B3951" s="30" t="str">
        <x:v>F314</x:v>
      </x:c>
      <x:c r="C3951" s="30" t="str">
        <x:v>service.model_id</x:v>
      </x:c>
      <x:c r="D3951" s="30" t="str">
        <x:v>候选输入schema</x:v>
      </x:c>
      <x:c r="E3951" s="30" t="str">
        <x:v>按执行角色权限读取；策略只能使用可访问快照</x:v>
      </x:c>
    </x:row>
    <x:row r="3952" ht="32" customHeight="1">
      <x:c r="A3952" s="30" t="str">
        <x:v>A046</x:v>
      </x:c>
      <x:c r="B3952" s="30" t="str">
        <x:v>F315</x:v>
      </x:c>
      <x:c r="C3952" s="30" t="str">
        <x:v>service.version</x:v>
      </x:c>
      <x:c r="D3952" s="30" t="str">
        <x:v>候选输入schema</x:v>
      </x:c>
      <x:c r="E3952" s="30" t="str">
        <x:v>按执行角色权限读取；策略只能使用可访问快照</x:v>
      </x:c>
    </x:row>
    <x:row r="3953" ht="32" customHeight="1">
      <x:c r="A3953" s="30" t="str">
        <x:v>A046</x:v>
      </x:c>
      <x:c r="B3953" s="30" t="str">
        <x:v>F316</x:v>
      </x:c>
      <x:c r="C3953" s="30" t="str">
        <x:v>service.host_id</x:v>
      </x:c>
      <x:c r="D3953" s="30" t="str">
        <x:v>候选输入schema</x:v>
      </x:c>
      <x:c r="E3953" s="30" t="str">
        <x:v>按执行角色权限读取；策略只能使用可访问快照</x:v>
      </x:c>
    </x:row>
    <x:row r="3954" ht="32" customHeight="1">
      <x:c r="A3954" s="30" t="str">
        <x:v>A046</x:v>
      </x:c>
      <x:c r="B3954" s="30" t="str">
        <x:v>F317</x:v>
      </x:c>
      <x:c r="C3954" s="30" t="str">
        <x:v>service.status</x:v>
      </x:c>
      <x:c r="D3954" s="30" t="str">
        <x:v>候选输入schema</x:v>
      </x:c>
      <x:c r="E3954" s="30" t="str">
        <x:v>按执行角色权限读取；策略只能使用可访问快照</x:v>
      </x:c>
    </x:row>
    <x:row r="3955" ht="32" customHeight="1">
      <x:c r="A3955" s="30" t="str">
        <x:v>A046</x:v>
      </x:c>
      <x:c r="B3955" s="30" t="str">
        <x:v>F318</x:v>
      </x:c>
      <x:c r="C3955" s="30" t="str">
        <x:v>service.input_schema</x:v>
      </x:c>
      <x:c r="D3955" s="30" t="str">
        <x:v>候选输入schema</x:v>
      </x:c>
      <x:c r="E3955" s="30" t="str">
        <x:v>按执行角色权限读取；策略只能使用可访问快照</x:v>
      </x:c>
    </x:row>
    <x:row r="3956" ht="32" customHeight="1">
      <x:c r="A3956" s="30" t="str">
        <x:v>A046</x:v>
      </x:c>
      <x:c r="B3956" s="30" t="str">
        <x:v>F319</x:v>
      </x:c>
      <x:c r="C3956" s="30" t="str">
        <x:v>service.output_schema</x:v>
      </x:c>
      <x:c r="D3956" s="30" t="str">
        <x:v>候选输入schema</x:v>
      </x:c>
      <x:c r="E3956" s="30" t="str">
        <x:v>按执行角色权限读取；策略只能使用可访问快照</x:v>
      </x:c>
    </x:row>
    <x:row r="3957" ht="32" customHeight="1">
      <x:c r="A3957" s="30" t="str">
        <x:v>A046</x:v>
      </x:c>
      <x:c r="B3957" s="30" t="str">
        <x:v>F320</x:v>
      </x:c>
      <x:c r="C3957" s="30" t="str">
        <x:v>service.precision</x:v>
      </x:c>
      <x:c r="D3957" s="30" t="str">
        <x:v>候选输入schema</x:v>
      </x:c>
      <x:c r="E3957" s="30" t="str">
        <x:v>按执行角色权限读取；策略只能使用可访问快照</x:v>
      </x:c>
    </x:row>
    <x:row r="3958" ht="32" customHeight="1">
      <x:c r="A3958" s="30" t="str">
        <x:v>A046</x:v>
      </x:c>
      <x:c r="B3958" s="30" t="str">
        <x:v>F321</x:v>
      </x:c>
      <x:c r="C3958" s="30" t="str">
        <x:v>service.weights_bytes</x:v>
      </x:c>
      <x:c r="D3958" s="30" t="str">
        <x:v>候选输入schema</x:v>
      </x:c>
      <x:c r="E3958" s="30" t="str">
        <x:v>按执行角色权限读取；策略只能使用可访问快照</x:v>
      </x:c>
    </x:row>
    <x:row r="3959" ht="32" customHeight="1">
      <x:c r="A3959" s="30" t="str">
        <x:v>A046</x:v>
      </x:c>
      <x:c r="B3959" s="30" t="str">
        <x:v>F322</x:v>
      </x:c>
      <x:c r="C3959" s="30" t="str">
        <x:v>service.working_memory_bytes</x:v>
      </x:c>
      <x:c r="D3959" s="30" t="str">
        <x:v>候选输入schema</x:v>
      </x:c>
      <x:c r="E3959" s="30" t="str">
        <x:v>按执行角色权限读取；策略只能使用可访问快照</x:v>
      </x:c>
    </x:row>
    <x:row r="3960" ht="32" customHeight="1">
      <x:c r="A3960" s="30" t="str">
        <x:v>A046</x:v>
      </x:c>
      <x:c r="B3960" s="30" t="str">
        <x:v>F323</x:v>
      </x:c>
      <x:c r="C3960" s="30" t="str">
        <x:v>service.load_latency_profile</x:v>
      </x:c>
      <x:c r="D3960" s="30" t="str">
        <x:v>候选输入schema</x:v>
      </x:c>
      <x:c r="E3960" s="30" t="str">
        <x:v>按执行角色权限读取；策略只能使用可访问快照</x:v>
      </x:c>
    </x:row>
    <x:row r="3961" ht="32" customHeight="1">
      <x:c r="A3961" s="30" t="str">
        <x:v>A046</x:v>
      </x:c>
      <x:c r="B3961" s="30" t="str">
        <x:v>F324</x:v>
      </x:c>
      <x:c r="C3961" s="30" t="str">
        <x:v>service.batch_policy</x:v>
      </x:c>
      <x:c r="D3961" s="30" t="str">
        <x:v>候选输入schema</x:v>
      </x:c>
      <x:c r="E3961" s="30" t="str">
        <x:v>按执行角色权限读取；策略只能使用可访问快照</x:v>
      </x:c>
    </x:row>
    <x:row r="3962" ht="32" customHeight="1">
      <x:c r="A3962" s="30" t="str">
        <x:v>A046</x:v>
      </x:c>
      <x:c r="B3962" s="30" t="str">
        <x:v>F325</x:v>
      </x:c>
      <x:c r="C3962" s="30" t="str">
        <x:v>service.context_limit</x:v>
      </x:c>
      <x:c r="D3962" s="30" t="str">
        <x:v>候选输入schema</x:v>
      </x:c>
      <x:c r="E3962" s="30" t="str">
        <x:v>按执行角色权限读取；策略只能使用可访问快照</x:v>
      </x:c>
    </x:row>
    <x:row r="3963" ht="32" customHeight="1">
      <x:c r="A3963" s="30" t="str">
        <x:v>A046</x:v>
      </x:c>
      <x:c r="B3963" s="30" t="str">
        <x:v>F326</x:v>
      </x:c>
      <x:c r="C3963" s="30" t="str">
        <x:v>service.quality_profile</x:v>
      </x:c>
      <x:c r="D3963" s="30" t="str">
        <x:v>候选输入schema</x:v>
      </x:c>
      <x:c r="E3963" s="30" t="str">
        <x:v>按执行角色权限读取；策略只能使用可访问快照</x:v>
      </x:c>
    </x:row>
    <x:row r="3964" ht="32" customHeight="1">
      <x:c r="A3964" s="30" t="str">
        <x:v>A046</x:v>
      </x:c>
      <x:c r="B3964" s="30" t="str">
        <x:v>F327</x:v>
      </x:c>
      <x:c r="C3964" s="30" t="str">
        <x:v>service.compatible_representations</x:v>
      </x:c>
      <x:c r="D3964" s="30" t="str">
        <x:v>候选输入schema</x:v>
      </x:c>
      <x:c r="E3964" s="30" t="str">
        <x:v>按执行角色权限读取；策略只能使用可访问快照</x:v>
      </x:c>
    </x:row>
    <x:row r="3965" ht="32" customHeight="1">
      <x:c r="A3965" s="30" t="str">
        <x:v>A046</x:v>
      </x:c>
      <x:c r="B3965" s="30" t="str">
        <x:v>F328</x:v>
      </x:c>
      <x:c r="C3965" s="30" t="str">
        <x:v>service.licence_scope</x:v>
      </x:c>
      <x:c r="D3965" s="30" t="str">
        <x:v>候选输入schema</x:v>
      </x:c>
      <x:c r="E3965" s="30" t="str">
        <x:v>按执行角色权限读取；策略只能使用可访问快照</x:v>
      </x:c>
    </x:row>
    <x:row r="3966" ht="32" customHeight="1">
      <x:c r="A3966" s="30" t="str">
        <x:v>A046</x:v>
      </x:c>
      <x:c r="B3966" s="30" t="str">
        <x:v>F329</x:v>
      </x:c>
      <x:c r="C3966" s="30" t="str">
        <x:v>job.requester_id</x:v>
      </x:c>
      <x:c r="D3966" s="30" t="str">
        <x:v>候选输入schema</x:v>
      </x:c>
      <x:c r="E3966" s="30" t="str">
        <x:v>按执行角色权限读取；策略只能使用可访问快照</x:v>
      </x:c>
    </x:row>
    <x:row r="3967" ht="32" customHeight="1">
      <x:c r="A3967" s="30" t="str">
        <x:v>A046</x:v>
      </x:c>
      <x:c r="B3967" s="30" t="str">
        <x:v>F330</x:v>
      </x:c>
      <x:c r="C3967" s="30" t="str">
        <x:v>job.task_ref</x:v>
      </x:c>
      <x:c r="D3967" s="30" t="str">
        <x:v>候选输入schema</x:v>
      </x:c>
      <x:c r="E3967" s="30" t="str">
        <x:v>按执行角色权限读取；策略只能使用可访问快照</x:v>
      </x:c>
    </x:row>
    <x:row r="3968" ht="32" customHeight="1">
      <x:c r="A3968" s="30" t="str">
        <x:v>A046</x:v>
      </x:c>
      <x:c r="B3968" s="30" t="str">
        <x:v>F331</x:v>
      </x:c>
      <x:c r="C3968" s="30" t="str">
        <x:v>job.service_id</x:v>
      </x:c>
      <x:c r="D3968" s="30" t="str">
        <x:v>候选输入schema</x:v>
      </x:c>
      <x:c r="E3968" s="30" t="str">
        <x:v>按执行角色权限读取；策略只能使用可访问快照</x:v>
      </x:c>
    </x:row>
    <x:row r="3969" ht="32" customHeight="1">
      <x:c r="A3969" s="30" t="str">
        <x:v>A046</x:v>
      </x:c>
      <x:c r="B3969" s="30" t="str">
        <x:v>F332</x:v>
      </x:c>
      <x:c r="C3969" s="30" t="str">
        <x:v>job.input_evidence_ids</x:v>
      </x:c>
      <x:c r="D3969" s="30" t="str">
        <x:v>候选输入schema</x:v>
      </x:c>
      <x:c r="E3969" s="30" t="str">
        <x:v>按执行角色权限读取；策略只能使用可访问快照</x:v>
      </x:c>
    </x:row>
    <x:row r="3970" ht="32" customHeight="1">
      <x:c r="A3970" s="30" t="str">
        <x:v>A046</x:v>
      </x:c>
      <x:c r="B3970" s="30" t="str">
        <x:v>F333</x:v>
      </x:c>
      <x:c r="C3970" s="30" t="str">
        <x:v>job.input_bytes</x:v>
      </x:c>
      <x:c r="D3970" s="30" t="str">
        <x:v>候选输入schema</x:v>
      </x:c>
      <x:c r="E3970" s="30" t="str">
        <x:v>按执行角色权限读取；策略只能使用可访问快照</x:v>
      </x:c>
    </x:row>
    <x:row r="3971" ht="32" customHeight="1">
      <x:c r="A3971" s="30" t="str">
        <x:v>A046</x:v>
      </x:c>
      <x:c r="B3971" s="30" t="str">
        <x:v>F334</x:v>
      </x:c>
      <x:c r="C3971" s="30" t="str">
        <x:v>job.input_tokens</x:v>
      </x:c>
      <x:c r="D3971" s="30" t="str">
        <x:v>候选输入schema</x:v>
      </x:c>
      <x:c r="E3971" s="30" t="str">
        <x:v>按执行角色权限读取；策略只能使用可访问快照</x:v>
      </x:c>
    </x:row>
    <x:row r="3972" ht="32" customHeight="1">
      <x:c r="A3972" s="30" t="str">
        <x:v>A046</x:v>
      </x:c>
      <x:c r="B3972" s="30" t="str">
        <x:v>F335</x:v>
      </x:c>
      <x:c r="C3972" s="30" t="str">
        <x:v>job.output_tokens</x:v>
      </x:c>
      <x:c r="D3972" s="30" t="str">
        <x:v>候选输入schema</x:v>
      </x:c>
      <x:c r="E3972" s="30" t="str">
        <x:v>按执行角色权限读取；策略只能使用可访问快照</x:v>
      </x:c>
    </x:row>
    <x:row r="3973" ht="32" customHeight="1">
      <x:c r="A3973" s="30" t="str">
        <x:v>A046</x:v>
      </x:c>
      <x:c r="B3973" s="30" t="str">
        <x:v>F336</x:v>
      </x:c>
      <x:c r="C3973" s="30" t="str">
        <x:v>job.status</x:v>
      </x:c>
      <x:c r="D3973" s="30" t="str">
        <x:v>候选输入schema</x:v>
      </x:c>
      <x:c r="E3973" s="30" t="str">
        <x:v>按执行角色权限读取；策略只能使用可访问快照</x:v>
      </x:c>
    </x:row>
    <x:row r="3974" ht="32" customHeight="1">
      <x:c r="A3974" s="30" t="str">
        <x:v>A046</x:v>
      </x:c>
      <x:c r="B3974" s="30" t="str">
        <x:v>F337</x:v>
      </x:c>
      <x:c r="C3974" s="30" t="str">
        <x:v>job.queue_enter_s</x:v>
      </x:c>
      <x:c r="D3974" s="30" t="str">
        <x:v>候选输入schema</x:v>
      </x:c>
      <x:c r="E3974" s="30" t="str">
        <x:v>按执行角色权限读取；策略只能使用可访问快照</x:v>
      </x:c>
    </x:row>
    <x:row r="3975" ht="32" customHeight="1">
      <x:c r="A3975" s="30" t="str">
        <x:v>A046</x:v>
      </x:c>
      <x:c r="B3975" s="30" t="str">
        <x:v>F338</x:v>
      </x:c>
      <x:c r="C3975" s="30" t="str">
        <x:v>job.start_s</x:v>
      </x:c>
      <x:c r="D3975" s="30" t="str">
        <x:v>候选输入schema</x:v>
      </x:c>
      <x:c r="E3975" s="30" t="str">
        <x:v>按执行角色权限读取；策略只能使用可访问快照</x:v>
      </x:c>
    </x:row>
    <x:row r="3976" ht="32" customHeight="1">
      <x:c r="A3976" s="30" t="str">
        <x:v>A046</x:v>
      </x:c>
      <x:c r="B3976" s="30" t="str">
        <x:v>F339</x:v>
      </x:c>
      <x:c r="C3976" s="30" t="str">
        <x:v>job.finish_s</x:v>
      </x:c>
      <x:c r="D3976" s="30" t="str">
        <x:v>候选输入schema</x:v>
      </x:c>
      <x:c r="E3976" s="30" t="str">
        <x:v>按执行角色权限读取；策略只能使用可访问快照</x:v>
      </x:c>
    </x:row>
    <x:row r="3977" ht="32" customHeight="1">
      <x:c r="A3977" s="30" t="str">
        <x:v>A046</x:v>
      </x:c>
      <x:c r="B3977" s="30" t="str">
        <x:v>F340</x:v>
      </x:c>
      <x:c r="C3977" s="30" t="str">
        <x:v>job.deadline_s</x:v>
      </x:c>
      <x:c r="D3977" s="30" t="str">
        <x:v>候选输入schema</x:v>
      </x:c>
      <x:c r="E3977" s="30" t="str">
        <x:v>按执行角色权限读取；策略只能使用可访问快照</x:v>
      </x:c>
    </x:row>
    <x:row r="3978" ht="32" customHeight="1">
      <x:c r="A3978" s="30" t="str">
        <x:v>A046</x:v>
      </x:c>
      <x:c r="B3978" s="30" t="str">
        <x:v>F341</x:v>
      </x:c>
      <x:c r="C3978" s="30" t="str">
        <x:v>job.cpu_request</x:v>
      </x:c>
      <x:c r="D3978" s="30" t="str">
        <x:v>候选输入schema</x:v>
      </x:c>
      <x:c r="E3978" s="30" t="str">
        <x:v>按执行角色权限读取；策略只能使用可访问快照</x:v>
      </x:c>
    </x:row>
    <x:row r="3979" ht="32" customHeight="1">
      <x:c r="A3979" s="30" t="str">
        <x:v>A046</x:v>
      </x:c>
      <x:c r="B3979" s="30" t="str">
        <x:v>F342</x:v>
      </x:c>
      <x:c r="C3979" s="30" t="str">
        <x:v>job.memory_request_bytes</x:v>
      </x:c>
      <x:c r="D3979" s="30" t="str">
        <x:v>候选输入schema</x:v>
      </x:c>
      <x:c r="E3979" s="30" t="str">
        <x:v>按执行角色权限读取；策略只能使用可访问快照</x:v>
      </x:c>
    </x:row>
    <x:row r="3980" ht="32" customHeight="1">
      <x:c r="A3980" s="30" t="str">
        <x:v>A046</x:v>
      </x:c>
      <x:c r="B3980" s="30" t="str">
        <x:v>F343</x:v>
      </x:c>
      <x:c r="C3980" s="30" t="str">
        <x:v>job.prefill_s</x:v>
      </x:c>
      <x:c r="D3980" s="30" t="str">
        <x:v>候选输入schema</x:v>
      </x:c>
      <x:c r="E3980" s="30" t="str">
        <x:v>按执行角色权限读取；策略只能使用可访问快照</x:v>
      </x:c>
    </x:row>
    <x:row r="3981" ht="32" customHeight="1">
      <x:c r="A3981" s="30" t="str">
        <x:v>A046</x:v>
      </x:c>
      <x:c r="B3981" s="30" t="str">
        <x:v>F344</x:v>
      </x:c>
      <x:c r="C3981" s="30" t="str">
        <x:v>job.decode_s</x:v>
      </x:c>
      <x:c r="D3981" s="30" t="str">
        <x:v>候选输入schema</x:v>
      </x:c>
      <x:c r="E3981" s="30" t="str">
        <x:v>按执行角色权限读取；策略只能使用可访问快照</x:v>
      </x:c>
    </x:row>
    <x:row r="3982" ht="32" customHeight="1">
      <x:c r="A3982" s="30" t="str">
        <x:v>A046</x:v>
      </x:c>
      <x:c r="B3982" s="30" t="str">
        <x:v>F345</x:v>
      </x:c>
      <x:c r="C3982" s="30" t="str">
        <x:v>job.wall_time_s</x:v>
      </x:c>
      <x:c r="D3982" s="30" t="str">
        <x:v>候选输入schema</x:v>
      </x:c>
      <x:c r="E3982" s="30" t="str">
        <x:v>按执行角色权限读取；策略只能使用可访问快照</x:v>
      </x:c>
    </x:row>
    <x:row r="3983" ht="32" customHeight="1">
      <x:c r="A3983" s="30" t="str">
        <x:v>A046</x:v>
      </x:c>
      <x:c r="B3983" s="30" t="str">
        <x:v>F346</x:v>
      </x:c>
      <x:c r="C3983" s="30" t="str">
        <x:v>job.result_ref</x:v>
      </x:c>
      <x:c r="D3983" s="30" t="str">
        <x:v>候选输入schema</x:v>
      </x:c>
      <x:c r="E3983" s="30" t="str">
        <x:v>按执行角色权限读取；策略只能使用可访问快照</x:v>
      </x:c>
    </x:row>
    <x:row r="3984" ht="32" customHeight="1">
      <x:c r="A3984" s="30" t="str">
        <x:v>A046</x:v>
      </x:c>
      <x:c r="B3984" s="30" t="str">
        <x:v>F347</x:v>
      </x:c>
      <x:c r="C3984" s="30" t="str">
        <x:v>job.checkpoint_ref</x:v>
      </x:c>
      <x:c r="D3984" s="30" t="str">
        <x:v>候选输入schema</x:v>
      </x:c>
      <x:c r="E3984" s="30" t="str">
        <x:v>按执行角色权限读取；策略只能使用可访问快照</x:v>
      </x:c>
    </x:row>
    <x:row r="3985" ht="32" customHeight="1">
      <x:c r="A3985" s="30" t="str">
        <x:v>A046</x:v>
      </x:c>
      <x:c r="B3985" s="30" t="str">
        <x:v>F348</x:v>
      </x:c>
      <x:c r="C3985" s="30" t="str">
        <x:v>job.failure_reason</x:v>
      </x:c>
      <x:c r="D3985" s="30" t="str">
        <x:v>候选输入schema</x:v>
      </x:c>
      <x:c r="E3985" s="30" t="str">
        <x:v>按执行角色权限读取；策略只能使用可访问快照</x:v>
      </x:c>
    </x:row>
    <x:row r="3986" ht="32" customHeight="1">
      <x:c r="A3986" s="30" t="str">
        <x:v>A046</x:v>
      </x:c>
      <x:c r="B3986" s="30" t="str">
        <x:v>F349</x:v>
      </x:c>
      <x:c r="C3986" s="30" t="str">
        <x:v>cache.owner_id</x:v>
      </x:c>
      <x:c r="D3986" s="30" t="str">
        <x:v>候选输入schema</x:v>
      </x:c>
      <x:c r="E3986" s="30" t="str">
        <x:v>按执行角色权限读取；策略只能使用可访问快照</x:v>
      </x:c>
    </x:row>
    <x:row r="3987" ht="32" customHeight="1">
      <x:c r="A3987" s="30" t="str">
        <x:v>A046</x:v>
      </x:c>
      <x:c r="B3987" s="30" t="str">
        <x:v>F350</x:v>
      </x:c>
      <x:c r="C3987" s="30" t="str">
        <x:v>cache.kind</x:v>
      </x:c>
      <x:c r="D3987" s="30" t="str">
        <x:v>候选输入schema</x:v>
      </x:c>
      <x:c r="E3987" s="30" t="str">
        <x:v>按执行角色权限读取；策略只能使用可访问快照</x:v>
      </x:c>
    </x:row>
    <x:row r="3988" ht="32" customHeight="1">
      <x:c r="A3988" s="30" t="str">
        <x:v>A046</x:v>
      </x:c>
      <x:c r="B3988" s="30" t="str">
        <x:v>F351</x:v>
      </x:c>
      <x:c r="C3988" s="30" t="str">
        <x:v>cache.model_version</x:v>
      </x:c>
      <x:c r="D3988" s="30" t="str">
        <x:v>候选输入schema</x:v>
      </x:c>
      <x:c r="E3988" s="30" t="str">
        <x:v>按执行角色权限读取；策略只能使用可访问快照</x:v>
      </x:c>
    </x:row>
    <x:row r="3989" ht="32" customHeight="1">
      <x:c r="A3989" s="30" t="str">
        <x:v>A046</x:v>
      </x:c>
      <x:c r="B3989" s="30" t="str">
        <x:v>F352</x:v>
      </x:c>
      <x:c r="C3989" s="30" t="str">
        <x:v>cache.content_ids</x:v>
      </x:c>
      <x:c r="D3989" s="30" t="str">
        <x:v>候选输入schema</x:v>
      </x:c>
      <x:c r="E3989" s="30" t="str">
        <x:v>按执行角色权限读取；策略只能使用可访问快照</x:v>
      </x:c>
    </x:row>
    <x:row r="3990" ht="32" customHeight="1">
      <x:c r="A3990" s="30" t="str">
        <x:v>A046</x:v>
      </x:c>
      <x:c r="B3990" s="30" t="str">
        <x:v>F353</x:v>
      </x:c>
      <x:c r="C3990" s="30" t="str">
        <x:v>cache.size_bytes</x:v>
      </x:c>
      <x:c r="D3990" s="30" t="str">
        <x:v>候选输入schema</x:v>
      </x:c>
      <x:c r="E3990" s="30" t="str">
        <x:v>按执行角色权限读取；策略只能使用可访问快照</x:v>
      </x:c>
    </x:row>
    <x:row r="3991" ht="32" customHeight="1">
      <x:c r="A3991" s="30" t="str">
        <x:v>A046</x:v>
      </x:c>
      <x:c r="B3991" s="30" t="str">
        <x:v>F354</x:v>
      </x:c>
      <x:c r="C3991" s="30" t="str">
        <x:v>cache.location</x:v>
      </x:c>
      <x:c r="D3991" s="30" t="str">
        <x:v>候选输入schema</x:v>
      </x:c>
      <x:c r="E3991" s="30" t="str">
        <x:v>按执行角色权限读取；策略只能使用可访问快照</x:v>
      </x:c>
    </x:row>
    <x:row r="3992" ht="32" customHeight="1">
      <x:c r="A3992" s="30" t="str">
        <x:v>A046</x:v>
      </x:c>
      <x:c r="B3992" s="30" t="str">
        <x:v>F355</x:v>
      </x:c>
      <x:c r="C3992" s="30" t="str">
        <x:v>cache.valid_until_s</x:v>
      </x:c>
      <x:c r="D3992" s="30" t="str">
        <x:v>候选输入schema</x:v>
      </x:c>
      <x:c r="E3992" s="30" t="str">
        <x:v>按执行角色权限读取；策略只能使用可访问快照</x:v>
      </x:c>
    </x:row>
    <x:row r="3993" ht="32" customHeight="1">
      <x:c r="A3993" s="30" t="str">
        <x:v>A046</x:v>
      </x:c>
      <x:c r="B3993" s="30" t="str">
        <x:v>F356</x:v>
      </x:c>
      <x:c r="C3993" s="30" t="str">
        <x:v>cache.reuse_compatible</x:v>
      </x:c>
      <x:c r="D3993" s="30" t="str">
        <x:v>候选输入schema</x:v>
      </x:c>
      <x:c r="E3993" s="30" t="str">
        <x:v>按执行角色权限读取；策略只能使用可访问快照</x:v>
      </x:c>
    </x:row>
    <x:row r="3994" ht="32" customHeight="1">
      <x:c r="A3994" s="30" t="str">
        <x:v>A046</x:v>
      </x:c>
      <x:c r="B3994" s="30" t="str">
        <x:v>F357</x:v>
      </x:c>
      <x:c r="C3994" s="30" t="str">
        <x:v>cache.hit_count</x:v>
      </x:c>
      <x:c r="D3994" s="30" t="str">
        <x:v>候选输入schema</x:v>
      </x:c>
      <x:c r="E3994" s="30" t="str">
        <x:v>按执行角色权限读取；策略只能使用可访问快照</x:v>
      </x:c>
    </x:row>
    <x:row r="3995" ht="32" customHeight="1">
      <x:c r="A3995" s="30" t="str">
        <x:v>A046</x:v>
      </x:c>
      <x:c r="B3995" s="30" t="str">
        <x:v>F358</x:v>
      </x:c>
      <x:c r="C3995" s="30" t="str">
        <x:v>cache.eviction_state</x:v>
      </x:c>
      <x:c r="D3995" s="30" t="str">
        <x:v>候选输入schema</x:v>
      </x:c>
      <x:c r="E3995" s="30" t="str">
        <x:v>按执行角色权限读取；策略只能使用可访问快照</x:v>
      </x:c>
    </x:row>
    <x:row r="3996" ht="32" customHeight="1">
      <x:c r="A3996" s="30" t="str">
        <x:v>A046</x:v>
      </x:c>
      <x:c r="B3996" s="30" t="str">
        <x:v>F358</x:v>
      </x:c>
      <x:c r="C3996" s="30" t="str">
        <x:v>cache.eviction_state</x:v>
      </x:c>
      <x:c r="D3996" s="30" t="str">
        <x:v>直接效果</x:v>
      </x:c>
      <x:c r="E3996" s="30" t="str">
        <x:v>经实际执行/回执提交；不是规划时提前修改</x:v>
      </x:c>
    </x:row>
    <x:row r="3997" ht="32" customHeight="1">
      <x:c r="A3997" s="30" t="str">
        <x:v>A046</x:v>
      </x:c>
      <x:c r="B3997" s="30" t="str">
        <x:v>F353</x:v>
      </x:c>
      <x:c r="C3997" s="30" t="str">
        <x:v>cache.size_bytes</x:v>
      </x:c>
      <x:c r="D3997" s="30" t="str">
        <x:v>直接效果</x:v>
      </x:c>
      <x:c r="E3997" s="30" t="str">
        <x:v>经实际执行/回执提交；不是规划时提前修改</x:v>
      </x:c>
    </x:row>
    <x:row r="3998" ht="32" customHeight="1">
      <x:c r="A3998" s="30" t="str">
        <x:v>A046</x:v>
      </x:c>
      <x:c r="B3998" s="30" t="str">
        <x:v>F357</x:v>
      </x:c>
      <x:c r="C3998" s="30" t="str">
        <x:v>cache.hit_count</x:v>
      </x:c>
      <x:c r="D3998" s="30" t="str">
        <x:v>直接效果</x:v>
      </x:c>
      <x:c r="E3998" s="30" t="str">
        <x:v>经实际执行/回执提交；不是规划时提前修改</x:v>
      </x:c>
    </x:row>
    <x:row r="3999" ht="32" customHeight="1">
      <x:c r="A3999" s="30" t="str">
        <x:v>A046</x:v>
      </x:c>
      <x:c r="B3999" s="30" t="str">
        <x:v>F356</x:v>
      </x:c>
      <x:c r="C3999" s="30" t="str">
        <x:v>cache.reuse_compatible</x:v>
      </x:c>
      <x:c r="D3999" s="30" t="str">
        <x:v>直接效果</x:v>
      </x:c>
      <x:c r="E3999" s="30" t="str">
        <x:v>经实际执行/回执提交；不是规划时提前修改</x:v>
      </x:c>
    </x:row>
    <x:row r="4000" ht="32" customHeight="1">
      <x:c r="A4000" s="30" t="str">
        <x:v>A047</x:v>
      </x:c>
      <x:c r="B4000" s="30" t="str">
        <x:v>F196</x:v>
      </x:c>
      <x:c r="C4000" s="30" t="str">
        <x:v>task.type</x:v>
      </x:c>
      <x:c r="D4000" s="30" t="str">
        <x:v>候选输入schema</x:v>
      </x:c>
      <x:c r="E4000" s="30" t="str">
        <x:v>按执行角色权限读取；策略只能使用可访问快照</x:v>
      </x:c>
    </x:row>
    <x:row r="4001" ht="32" customHeight="1">
      <x:c r="A4001" s="30" t="str">
        <x:v>A047</x:v>
      </x:c>
      <x:c r="B4001" s="30" t="str">
        <x:v>F197</x:v>
      </x:c>
      <x:c r="C4001" s="30" t="str">
        <x:v>task.creator_id</x:v>
      </x:c>
      <x:c r="D4001" s="30" t="str">
        <x:v>候选输入schema</x:v>
      </x:c>
      <x:c r="E4001" s="30" t="str">
        <x:v>按执行角色权限读取；策略只能使用可访问快照</x:v>
      </x:c>
    </x:row>
    <x:row r="4002" ht="32" customHeight="1">
      <x:c r="A4002" s="30" t="str">
        <x:v>A047</x:v>
      </x:c>
      <x:c r="B4002" s="30" t="str">
        <x:v>F198</x:v>
      </x:c>
      <x:c r="C4002" s="30" t="str">
        <x:v>task.target_ref</x:v>
      </x:c>
      <x:c r="D4002" s="30" t="str">
        <x:v>候选输入schema</x:v>
      </x:c>
      <x:c r="E4002" s="30" t="str">
        <x:v>按执行角色权限读取；策略只能使用可访问快照</x:v>
      </x:c>
    </x:row>
    <x:row r="4003" ht="32" customHeight="1">
      <x:c r="A4003" s="30" t="str">
        <x:v>A047</x:v>
      </x:c>
      <x:c r="B4003" s="30" t="str">
        <x:v>F199</x:v>
      </x:c>
      <x:c r="C4003" s="30" t="str">
        <x:v>task.goal_predicate</x:v>
      </x:c>
      <x:c r="D4003" s="30" t="str">
        <x:v>候选输入schema</x:v>
      </x:c>
      <x:c r="E4003" s="30" t="str">
        <x:v>按执行角色权限读取；策略只能使用可访问快照</x:v>
      </x:c>
    </x:row>
    <x:row r="4004" ht="32" customHeight="1">
      <x:c r="A4004" s="30" t="str">
        <x:v>A047</x:v>
      </x:c>
      <x:c r="B4004" s="30" t="str">
        <x:v>F200</x:v>
      </x:c>
      <x:c r="C4004" s="30" t="str">
        <x:v>task.revision</x:v>
      </x:c>
      <x:c r="D4004" s="30" t="str">
        <x:v>候选输入schema</x:v>
      </x:c>
      <x:c r="E4004" s="30" t="str">
        <x:v>按执行角色权限读取；策略只能使用可访问快照</x:v>
      </x:c>
    </x:row>
    <x:row r="4005" ht="32" customHeight="1">
      <x:c r="A4005" s="30" t="str">
        <x:v>A047</x:v>
      </x:c>
      <x:c r="B4005" s="30" t="str">
        <x:v>F201</x:v>
      </x:c>
      <x:c r="C4005" s="30" t="str">
        <x:v>task.status</x:v>
      </x:c>
      <x:c r="D4005" s="30" t="str">
        <x:v>候选输入schema</x:v>
      </x:c>
      <x:c r="E4005" s="30" t="str">
        <x:v>按执行角色权限读取；策略只能使用可访问快照</x:v>
      </x:c>
    </x:row>
    <x:row r="4006" ht="32" customHeight="1">
      <x:c r="A4006" s="30" t="str">
        <x:v>A047</x:v>
      </x:c>
      <x:c r="B4006" s="30" t="str">
        <x:v>F202</x:v>
      </x:c>
      <x:c r="C4006" s="30" t="str">
        <x:v>task.priority</x:v>
      </x:c>
      <x:c r="D4006" s="30" t="str">
        <x:v>候选输入schema</x:v>
      </x:c>
      <x:c r="E4006" s="30" t="str">
        <x:v>按执行角色权限读取；策略只能使用可访问快照</x:v>
      </x:c>
    </x:row>
    <x:row r="4007" ht="32" customHeight="1">
      <x:c r="A4007" s="30" t="str">
        <x:v>A047</x:v>
      </x:c>
      <x:c r="B4007" s="30" t="str">
        <x:v>F203</x:v>
      </x:c>
      <x:c r="C4007" s="30" t="str">
        <x:v>task.deadline_s</x:v>
      </x:c>
      <x:c r="D4007" s="30" t="str">
        <x:v>候选输入schema</x:v>
      </x:c>
      <x:c r="E4007" s="30" t="str">
        <x:v>按执行角色权限读取；策略只能使用可访问快照</x:v>
      </x:c>
    </x:row>
    <x:row r="4008" ht="32" customHeight="1">
      <x:c r="A4008" s="30" t="str">
        <x:v>A047</x:v>
      </x:c>
      <x:c r="B4008" s="30" t="str">
        <x:v>F204</x:v>
      </x:c>
      <x:c r="C4008" s="30" t="str">
        <x:v>task.dependency_ids</x:v>
      </x:c>
      <x:c r="D4008" s="30" t="str">
        <x:v>候选输入schema</x:v>
      </x:c>
      <x:c r="E4008" s="30" t="str">
        <x:v>按执行角色权限读取；策略只能使用可访问快照</x:v>
      </x:c>
    </x:row>
    <x:row r="4009" ht="32" customHeight="1">
      <x:c r="A4009" s="30" t="str">
        <x:v>A047</x:v>
      </x:c>
      <x:c r="B4009" s="30" t="str">
        <x:v>F205</x:v>
      </x:c>
      <x:c r="C4009" s="30" t="str">
        <x:v>task.required_capability_ids</x:v>
      </x:c>
      <x:c r="D4009" s="30" t="str">
        <x:v>候选输入schema</x:v>
      </x:c>
      <x:c r="E4009" s="30" t="str">
        <x:v>按执行角色权限读取；策略只能使用可访问快照</x:v>
      </x:c>
    </x:row>
    <x:row r="4010" ht="32" customHeight="1">
      <x:c r="A4010" s="30" t="str">
        <x:v>A047</x:v>
      </x:c>
      <x:c r="B4010" s="30" t="str">
        <x:v>F206</x:v>
      </x:c>
      <x:c r="C4010" s="30" t="str">
        <x:v>task.resource_budget</x:v>
      </x:c>
      <x:c r="D4010" s="30" t="str">
        <x:v>候选输入schema</x:v>
      </x:c>
      <x:c r="E4010" s="30" t="str">
        <x:v>按执行角色权限读取；策略只能使用可访问快照</x:v>
      </x:c>
    </x:row>
    <x:row r="4011" ht="32" customHeight="1">
      <x:c r="A4011" s="30" t="str">
        <x:v>A047</x:v>
      </x:c>
      <x:c r="B4011" s="30" t="str">
        <x:v>F207</x:v>
      </x:c>
      <x:c r="C4011" s="30" t="str">
        <x:v>task.assigned_to</x:v>
      </x:c>
      <x:c r="D4011" s="30" t="str">
        <x:v>候选输入schema</x:v>
      </x:c>
      <x:c r="E4011" s="30" t="str">
        <x:v>按执行角色权限读取；策略只能使用可访问快照</x:v>
      </x:c>
    </x:row>
    <x:row r="4012" ht="32" customHeight="1">
      <x:c r="A4012" s="30" t="str">
        <x:v>A047</x:v>
      </x:c>
      <x:c r="B4012" s="30" t="str">
        <x:v>F208</x:v>
      </x:c>
      <x:c r="C4012" s="30" t="str">
        <x:v>task.accepted_by</x:v>
      </x:c>
      <x:c r="D4012" s="30" t="str">
        <x:v>候选输入schema</x:v>
      </x:c>
      <x:c r="E4012" s="30" t="str">
        <x:v>按执行角色权限读取；策略只能使用可访问快照</x:v>
      </x:c>
    </x:row>
    <x:row r="4013" ht="32" customHeight="1">
      <x:c r="A4013" s="30" t="str">
        <x:v>A047</x:v>
      </x:c>
      <x:c r="B4013" s="30" t="str">
        <x:v>F209</x:v>
      </x:c>
      <x:c r="C4013" s="30" t="str">
        <x:v>task.commitment_window</x:v>
      </x:c>
      <x:c r="D4013" s="30" t="str">
        <x:v>候选输入schema</x:v>
      </x:c>
      <x:c r="E4013" s="30" t="str">
        <x:v>按执行角色权限读取；策略只能使用可访问快照</x:v>
      </x:c>
    </x:row>
    <x:row r="4014" ht="32" customHeight="1">
      <x:c r="A4014" s="30" t="str">
        <x:v>A047</x:v>
      </x:c>
      <x:c r="B4014" s="30" t="str">
        <x:v>F210</x:v>
      </x:c>
      <x:c r="C4014" s="30" t="str">
        <x:v>task.progress</x:v>
      </x:c>
      <x:c r="D4014" s="30" t="str">
        <x:v>候选输入schema</x:v>
      </x:c>
      <x:c r="E4014" s="30" t="str">
        <x:v>按执行角色权限读取；策略只能使用可访问快照</x:v>
      </x:c>
    </x:row>
    <x:row r="4015" ht="32" customHeight="1">
      <x:c r="A4015" s="30" t="str">
        <x:v>A047</x:v>
      </x:c>
      <x:c r="B4015" s="30" t="str">
        <x:v>F211</x:v>
      </x:c>
      <x:c r="C4015" s="30" t="str">
        <x:v>task.active_action_ids</x:v>
      </x:c>
      <x:c r="D4015" s="30" t="str">
        <x:v>候选输入schema</x:v>
      </x:c>
      <x:c r="E4015" s="30" t="str">
        <x:v>按执行角色权限读取；策略只能使用可访问快照</x:v>
      </x:c>
    </x:row>
    <x:row r="4016" ht="32" customHeight="1">
      <x:c r="A4016" s="30" t="str">
        <x:v>A047</x:v>
      </x:c>
      <x:c r="B4016" s="30" t="str">
        <x:v>F212</x:v>
      </x:c>
      <x:c r="C4016" s="30" t="str">
        <x:v>task.interruptibility</x:v>
      </x:c>
      <x:c r="D4016" s="30" t="str">
        <x:v>候选输入schema</x:v>
      </x:c>
      <x:c r="E4016" s="30" t="str">
        <x:v>按执行角色权限读取；策略只能使用可访问快照</x:v>
      </x:c>
    </x:row>
    <x:row r="4017" ht="32" customHeight="1">
      <x:c r="A4017" s="30" t="str">
        <x:v>A047</x:v>
      </x:c>
      <x:c r="B4017" s="30" t="str">
        <x:v>F213</x:v>
      </x:c>
      <x:c r="C4017" s="30" t="str">
        <x:v>task.original_task_id</x:v>
      </x:c>
      <x:c r="D4017" s="30" t="str">
        <x:v>候选输入schema</x:v>
      </x:c>
      <x:c r="E4017" s="30" t="str">
        <x:v>按执行角色权限读取；策略只能使用可访问快照</x:v>
      </x:c>
    </x:row>
    <x:row r="4018" ht="32" customHeight="1">
      <x:c r="A4018" s="30" t="str">
        <x:v>A047</x:v>
      </x:c>
      <x:c r="B4018" s="30" t="str">
        <x:v>F214</x:v>
      </x:c>
      <x:c r="C4018" s="30" t="str">
        <x:v>task.resume_checkpoint</x:v>
      </x:c>
      <x:c r="D4018" s="30" t="str">
        <x:v>候选输入schema</x:v>
      </x:c>
      <x:c r="E4018" s="30" t="str">
        <x:v>按执行角色权限读取；策略只能使用可访问快照</x:v>
      </x:c>
    </x:row>
    <x:row r="4019" ht="32" customHeight="1">
      <x:c r="A4019" s="30" t="str">
        <x:v>A047</x:v>
      </x:c>
      <x:c r="B4019" s="30" t="str">
        <x:v>F215</x:v>
      </x:c>
      <x:c r="C4019" s="30" t="str">
        <x:v>task.handoff_target_id</x:v>
      </x:c>
      <x:c r="D4019" s="30" t="str">
        <x:v>候选输入schema</x:v>
      </x:c>
      <x:c r="E4019" s="30" t="str">
        <x:v>按执行角色权限读取；策略只能使用可访问快照</x:v>
      </x:c>
    </x:row>
    <x:row r="4020" ht="32" customHeight="1">
      <x:c r="A4020" s="30" t="str">
        <x:v>A047</x:v>
      </x:c>
      <x:c r="B4020" s="30" t="str">
        <x:v>F216</x:v>
      </x:c>
      <x:c r="C4020" s="30" t="str">
        <x:v>task.result_evidence_ids</x:v>
      </x:c>
      <x:c r="D4020" s="30" t="str">
        <x:v>候选输入schema</x:v>
      </x:c>
      <x:c r="E4020" s="30" t="str">
        <x:v>按执行角色权限读取；策略只能使用可访问快照</x:v>
      </x:c>
    </x:row>
    <x:row r="4021" ht="32" customHeight="1">
      <x:c r="A4021" s="30" t="str">
        <x:v>A047</x:v>
      </x:c>
      <x:c r="B4021" s="30" t="str">
        <x:v>F217</x:v>
      </x:c>
      <x:c r="C4021" s="30" t="str">
        <x:v>task.failure_reason</x:v>
      </x:c>
      <x:c r="D4021" s="30" t="str">
        <x:v>候选输入schema</x:v>
      </x:c>
      <x:c r="E4021" s="30" t="str">
        <x:v>按执行角色权限读取；策略只能使用可访问快照</x:v>
      </x:c>
    </x:row>
    <x:row r="4022" ht="32" customHeight="1">
      <x:c r="A4022" s="30" t="str">
        <x:v>A047</x:v>
      </x:c>
      <x:c r="B4022" s="30" t="str">
        <x:v>F218</x:v>
      </x:c>
      <x:c r="C4022" s="30" t="str">
        <x:v>task.last_event_s</x:v>
      </x:c>
      <x:c r="D4022" s="30" t="str">
        <x:v>候选输入schema</x:v>
      </x:c>
      <x:c r="E4022" s="30" t="str">
        <x:v>按执行角色权限读取；策略只能使用可访问快照</x:v>
      </x:c>
    </x:row>
    <x:row r="4023" ht="32" customHeight="1">
      <x:c r="A4023" s="30" t="str">
        <x:v>A047</x:v>
      </x:c>
      <x:c r="B4023" s="30" t="str">
        <x:v>F219</x:v>
      </x:c>
      <x:c r="C4023" s="30" t="str">
        <x:v>task.opportunity_cost</x:v>
      </x:c>
      <x:c r="D4023" s="30" t="str">
        <x:v>候选输入schema</x:v>
      </x:c>
      <x:c r="E4023" s="30" t="str">
        <x:v>按执行角色权限读取；策略只能使用可访问快照</x:v>
      </x:c>
    </x:row>
    <x:row r="4024" ht="32" customHeight="1">
      <x:c r="A4024" s="30" t="str">
        <x:v>A047</x:v>
      </x:c>
      <x:c r="B4024" s="30" t="str">
        <x:v>F275</x:v>
      </x:c>
      <x:c r="C4024" s="30" t="str">
        <x:v>message.kind</x:v>
      </x:c>
      <x:c r="D4024" s="30" t="str">
        <x:v>候选输入schema</x:v>
      </x:c>
      <x:c r="E4024" s="30" t="str">
        <x:v>按执行角色权限读取；策略只能使用可访问快照</x:v>
      </x:c>
    </x:row>
    <x:row r="4025" ht="32" customHeight="1">
      <x:c r="A4025" s="30" t="str">
        <x:v>A047</x:v>
      </x:c>
      <x:c r="B4025" s="30" t="str">
        <x:v>F276</x:v>
      </x:c>
      <x:c r="C4025" s="30" t="str">
        <x:v>message.sender_id</x:v>
      </x:c>
      <x:c r="D4025" s="30" t="str">
        <x:v>候选输入schema</x:v>
      </x:c>
      <x:c r="E4025" s="30" t="str">
        <x:v>按执行角色权限读取；策略只能使用可访问快照</x:v>
      </x:c>
    </x:row>
    <x:row r="4026" ht="32" customHeight="1">
      <x:c r="A4026" s="30" t="str">
        <x:v>A047</x:v>
      </x:c>
      <x:c r="B4026" s="30" t="str">
        <x:v>F277</x:v>
      </x:c>
      <x:c r="C4026" s="30" t="str">
        <x:v>message.receiver_ids</x:v>
      </x:c>
      <x:c r="D4026" s="30" t="str">
        <x:v>候选输入schema</x:v>
      </x:c>
      <x:c r="E4026" s="30" t="str">
        <x:v>按执行角色权限读取；策略只能使用可访问快照</x:v>
      </x:c>
    </x:row>
    <x:row r="4027" ht="32" customHeight="1">
      <x:c r="A4027" s="30" t="str">
        <x:v>A047</x:v>
      </x:c>
      <x:c r="B4027" s="30" t="str">
        <x:v>F278</x:v>
      </x:c>
      <x:c r="C4027" s="30" t="str">
        <x:v>message.payload_ref</x:v>
      </x:c>
      <x:c r="D4027" s="30" t="str">
        <x:v>候选输入schema</x:v>
      </x:c>
      <x:c r="E4027" s="30" t="str">
        <x:v>按执行角色权限读取；策略只能使用可访问快照</x:v>
      </x:c>
    </x:row>
    <x:row r="4028" ht="32" customHeight="1">
      <x:c r="A4028" s="30" t="str">
        <x:v>A047</x:v>
      </x:c>
      <x:c r="B4028" s="30" t="str">
        <x:v>F279</x:v>
      </x:c>
      <x:c r="C4028" s="30" t="str">
        <x:v>message.size_bytes</x:v>
      </x:c>
      <x:c r="D4028" s="30" t="str">
        <x:v>候选输入schema</x:v>
      </x:c>
      <x:c r="E4028" s="30" t="str">
        <x:v>按执行角色权限读取；策略只能使用可访问快照</x:v>
      </x:c>
    </x:row>
    <x:row r="4029" ht="32" customHeight="1">
      <x:c r="A4029" s="30" t="str">
        <x:v>A047</x:v>
      </x:c>
      <x:c r="B4029" s="30" t="str">
        <x:v>F280</x:v>
      </x:c>
      <x:c r="C4029" s="30" t="str">
        <x:v>message.fragment_count</x:v>
      </x:c>
      <x:c r="D4029" s="30" t="str">
        <x:v>候选输入schema</x:v>
      </x:c>
      <x:c r="E4029" s="30" t="str">
        <x:v>按执行角色权限读取；策略只能使用可访问快照</x:v>
      </x:c>
    </x:row>
    <x:row r="4030" ht="32" customHeight="1">
      <x:c r="A4030" s="30" t="str">
        <x:v>A047</x:v>
      </x:c>
      <x:c r="B4030" s="30" t="str">
        <x:v>F281</x:v>
      </x:c>
      <x:c r="C4030" s="30" t="str">
        <x:v>message.received_fragments</x:v>
      </x:c>
      <x:c r="D4030" s="30" t="str">
        <x:v>候选输入schema</x:v>
      </x:c>
      <x:c r="E4030" s="30" t="str">
        <x:v>按执行角色权限读取；策略只能使用可访问快照</x:v>
      </x:c>
    </x:row>
    <x:row r="4031" ht="32" customHeight="1">
      <x:c r="A4031" s="30" t="str">
        <x:v>A047</x:v>
      </x:c>
      <x:c r="B4031" s="30" t="str">
        <x:v>F282</x:v>
      </x:c>
      <x:c r="C4031" s="30" t="str">
        <x:v>message.content_hash</x:v>
      </x:c>
      <x:c r="D4031" s="30" t="str">
        <x:v>候选输入schema</x:v>
      </x:c>
      <x:c r="E4031" s="30" t="str">
        <x:v>按执行角色权限读取；策略只能使用可访问快照</x:v>
      </x:c>
    </x:row>
    <x:row r="4032" ht="32" customHeight="1">
      <x:c r="A4032" s="30" t="str">
        <x:v>A047</x:v>
      </x:c>
      <x:c r="B4032" s="30" t="str">
        <x:v>F283</x:v>
      </x:c>
      <x:c r="C4032" s="30" t="str">
        <x:v>message.priority</x:v>
      </x:c>
      <x:c r="D4032" s="30" t="str">
        <x:v>候选输入schema</x:v>
      </x:c>
      <x:c r="E4032" s="30" t="str">
        <x:v>按执行角色权限读取；策略只能使用可访问快照</x:v>
      </x:c>
    </x:row>
    <x:row r="4033" ht="32" customHeight="1">
      <x:c r="A4033" s="30" t="str">
        <x:v>A047</x:v>
      </x:c>
      <x:c r="B4033" s="30" t="str">
        <x:v>F284</x:v>
      </x:c>
      <x:c r="C4033" s="30" t="str">
        <x:v>message.ttl_s</x:v>
      </x:c>
      <x:c r="D4033" s="30" t="str">
        <x:v>候选输入schema</x:v>
      </x:c>
      <x:c r="E4033" s="30" t="str">
        <x:v>按执行角色权限读取；策略只能使用可访问快照</x:v>
      </x:c>
    </x:row>
    <x:row r="4034" ht="32" customHeight="1">
      <x:c r="A4034" s="30" t="str">
        <x:v>A047</x:v>
      </x:c>
      <x:c r="B4034" s="30" t="str">
        <x:v>F285</x:v>
      </x:c>
      <x:c r="C4034" s="30" t="str">
        <x:v>message.status</x:v>
      </x:c>
      <x:c r="D4034" s="30" t="str">
        <x:v>候选输入schema</x:v>
      </x:c>
      <x:c r="E4034" s="30" t="str">
        <x:v>按执行角色权限读取；策略只能使用可访问快照</x:v>
      </x:c>
    </x:row>
    <x:row r="4035" ht="32" customHeight="1">
      <x:c r="A4035" s="30" t="str">
        <x:v>A047</x:v>
      </x:c>
      <x:c r="B4035" s="30" t="str">
        <x:v>F286</x:v>
      </x:c>
      <x:c r="C4035" s="30" t="str">
        <x:v>message.sent_s</x:v>
      </x:c>
      <x:c r="D4035" s="30" t="str">
        <x:v>候选输入schema</x:v>
      </x:c>
      <x:c r="E4035" s="30" t="str">
        <x:v>按执行角色权限读取；策略只能使用可访问快照</x:v>
      </x:c>
    </x:row>
    <x:row r="4036" ht="32" customHeight="1">
      <x:c r="A4036" s="30" t="str">
        <x:v>A047</x:v>
      </x:c>
      <x:c r="B4036" s="30" t="str">
        <x:v>F287</x:v>
      </x:c>
      <x:c r="C4036" s="30" t="str">
        <x:v>message.delivered_s</x:v>
      </x:c>
      <x:c r="D4036" s="30" t="str">
        <x:v>候选输入schema</x:v>
      </x:c>
      <x:c r="E4036" s="30" t="str">
        <x:v>按执行角色权限读取；策略只能使用可访问快照</x:v>
      </x:c>
    </x:row>
    <x:row r="4037" ht="32" customHeight="1">
      <x:c r="A4037" s="30" t="str">
        <x:v>A047</x:v>
      </x:c>
      <x:c r="B4037" s="30" t="str">
        <x:v>F288</x:v>
      </x:c>
      <x:c r="C4037" s="30" t="str">
        <x:v>message.ack_state</x:v>
      </x:c>
      <x:c r="D4037" s="30" t="str">
        <x:v>候选输入schema</x:v>
      </x:c>
      <x:c r="E4037" s="30" t="str">
        <x:v>按执行角色权限读取；策略只能使用可访问快照</x:v>
      </x:c>
    </x:row>
    <x:row r="4038" ht="32" customHeight="1">
      <x:c r="A4038" s="30" t="str">
        <x:v>A047</x:v>
      </x:c>
      <x:c r="B4038" s="30" t="str">
        <x:v>F289</x:v>
      </x:c>
      <x:c r="C4038" s="30" t="str">
        <x:v>message.retry_count</x:v>
      </x:c>
      <x:c r="D4038" s="30" t="str">
        <x:v>候选输入schema</x:v>
      </x:c>
      <x:c r="E4038" s="30" t="str">
        <x:v>按执行角色权限读取；策略只能使用可访问快照</x:v>
      </x:c>
    </x:row>
    <x:row r="4039" ht="32" customHeight="1">
      <x:c r="A4039" s="30" t="str">
        <x:v>A047</x:v>
      </x:c>
      <x:c r="B4039" s="30" t="str">
        <x:v>F290</x:v>
      </x:c>
      <x:c r="C4039" s="30" t="str">
        <x:v>message.hop_trace</x:v>
      </x:c>
      <x:c r="D4039" s="30" t="str">
        <x:v>候选输入schema</x:v>
      </x:c>
      <x:c r="E4039" s="30" t="str">
        <x:v>按执行角色权限读取；策略只能使用可访问快照</x:v>
      </x:c>
    </x:row>
    <x:row r="4040" ht="32" customHeight="1">
      <x:c r="A4040" s="30" t="str">
        <x:v>A047</x:v>
      </x:c>
      <x:c r="B4040" s="30" t="str">
        <x:v>F291</x:v>
      </x:c>
      <x:c r="C4040" s="30" t="str">
        <x:v>message.correlation_id</x:v>
      </x:c>
      <x:c r="D4040" s="30" t="str">
        <x:v>候选输入schema</x:v>
      </x:c>
      <x:c r="E4040" s="30" t="str">
        <x:v>按执行角色权限读取；策略只能使用可访问快照</x:v>
      </x:c>
    </x:row>
    <x:row r="4041" ht="32" customHeight="1">
      <x:c r="A4041" s="30" t="str">
        <x:v>A047</x:v>
      </x:c>
      <x:c r="B4041" s="30" t="str">
        <x:v>F292</x:v>
      </x:c>
      <x:c r="C4041" s="30" t="str">
        <x:v>message.local_availability</x:v>
      </x:c>
      <x:c r="D4041" s="30" t="str">
        <x:v>候选输入schema</x:v>
      </x:c>
      <x:c r="E4041" s="30" t="str">
        <x:v>按执行角色权限读取；策略只能使用可访问快照</x:v>
      </x:c>
    </x:row>
    <x:row r="4042" ht="32" customHeight="1">
      <x:c r="A4042" s="30" t="str">
        <x:v>A047</x:v>
      </x:c>
      <x:c r="B4042" s="30" t="str">
        <x:v>F293</x:v>
      </x:c>
      <x:c r="C4042" s="30" t="str">
        <x:v>compute.node_id</x:v>
      </x:c>
      <x:c r="D4042" s="30" t="str">
        <x:v>候选输入schema</x:v>
      </x:c>
      <x:c r="E4042" s="30" t="str">
        <x:v>按执行角色权限读取；策略只能使用可访问快照</x:v>
      </x:c>
    </x:row>
    <x:row r="4043" ht="32" customHeight="1">
      <x:c r="A4043" s="30" t="str">
        <x:v>A047</x:v>
      </x:c>
      <x:c r="B4043" s="30" t="str">
        <x:v>F294</x:v>
      </x:c>
      <x:c r="C4043" s="30" t="str">
        <x:v>compute.device_kind</x:v>
      </x:c>
      <x:c r="D4043" s="30" t="str">
        <x:v>候选输入schema</x:v>
      </x:c>
      <x:c r="E4043" s="30" t="str">
        <x:v>按执行角色权限读取；策略只能使用可访问快照</x:v>
      </x:c>
    </x:row>
    <x:row r="4044" ht="32" customHeight="1">
      <x:c r="A4044" s="30" t="str">
        <x:v>A047</x:v>
      </x:c>
      <x:c r="B4044" s="30" t="str">
        <x:v>F295</x:v>
      </x:c>
      <x:c r="C4044" s="30" t="str">
        <x:v>compute.cpu_capacity</x:v>
      </x:c>
      <x:c r="D4044" s="30" t="str">
        <x:v>候选输入schema</x:v>
      </x:c>
      <x:c r="E4044" s="30" t="str">
        <x:v>按执行角色权限读取；策略只能使用可访问快照</x:v>
      </x:c>
    </x:row>
    <x:row r="4045" ht="32" customHeight="1">
      <x:c r="A4045" s="30" t="str">
        <x:v>A047</x:v>
      </x:c>
      <x:c r="B4045" s="30" t="str">
        <x:v>F296</x:v>
      </x:c>
      <x:c r="C4045" s="30" t="str">
        <x:v>compute.accelerator_capacity</x:v>
      </x:c>
      <x:c r="D4045" s="30" t="str">
        <x:v>候选输入schema</x:v>
      </x:c>
      <x:c r="E4045" s="30" t="str">
        <x:v>按执行角色权限读取；策略只能使用可访问快照</x:v>
      </x:c>
    </x:row>
    <x:row r="4046" ht="32" customHeight="1">
      <x:c r="A4046" s="30" t="str">
        <x:v>A047</x:v>
      </x:c>
      <x:c r="B4046" s="30" t="str">
        <x:v>F297</x:v>
      </x:c>
      <x:c r="C4046" s="30" t="str">
        <x:v>compute.memory_capacity_bytes</x:v>
      </x:c>
      <x:c r="D4046" s="30" t="str">
        <x:v>候选输入schema</x:v>
      </x:c>
      <x:c r="E4046" s="30" t="str">
        <x:v>按执行角色权限读取；策略只能使用可访问快照</x:v>
      </x:c>
    </x:row>
    <x:row r="4047" ht="32" customHeight="1">
      <x:c r="A4047" s="30" t="str">
        <x:v>A047</x:v>
      </x:c>
      <x:c r="B4047" s="30" t="str">
        <x:v>F298</x:v>
      </x:c>
      <x:c r="C4047" s="30" t="str">
        <x:v>compute.memory_used_bytes</x:v>
      </x:c>
      <x:c r="D4047" s="30" t="str">
        <x:v>候选输入schema</x:v>
      </x:c>
      <x:c r="E4047" s="30" t="str">
        <x:v>按执行角色权限读取；策略只能使用可访问快照</x:v>
      </x:c>
    </x:row>
    <x:row r="4048" ht="32" customHeight="1">
      <x:c r="A4048" s="30" t="str">
        <x:v>A047</x:v>
      </x:c>
      <x:c r="B4048" s="30" t="str">
        <x:v>F299</x:v>
      </x:c>
      <x:c r="C4048" s="30" t="str">
        <x:v>compute.cpu_allocated</x:v>
      </x:c>
      <x:c r="D4048" s="30" t="str">
        <x:v>候选输入schema</x:v>
      </x:c>
      <x:c r="E4048" s="30" t="str">
        <x:v>按执行角色权限读取；策略只能使用可访问快照</x:v>
      </x:c>
    </x:row>
    <x:row r="4049" ht="32" customHeight="1">
      <x:c r="A4049" s="30" t="str">
        <x:v>A047</x:v>
      </x:c>
      <x:c r="B4049" s="30" t="str">
        <x:v>F300</x:v>
      </x:c>
      <x:c r="C4049" s="30" t="str">
        <x:v>compute.accelerator_allocated</x:v>
      </x:c>
      <x:c r="D4049" s="30" t="str">
        <x:v>候选输入schema</x:v>
      </x:c>
      <x:c r="E4049" s="30" t="str">
        <x:v>按执行角色权限读取；策略只能使用可访问快照</x:v>
      </x:c>
    </x:row>
    <x:row r="4050" ht="32" customHeight="1">
      <x:c r="A4050" s="30" t="str">
        <x:v>A047</x:v>
      </x:c>
      <x:c r="B4050" s="30" t="str">
        <x:v>F301</x:v>
      </x:c>
      <x:c r="C4050" s="30" t="str">
        <x:v>compute.max_concurrency</x:v>
      </x:c>
      <x:c r="D4050" s="30" t="str">
        <x:v>候选输入schema</x:v>
      </x:c>
      <x:c r="E4050" s="30" t="str">
        <x:v>按执行角色权限读取；策略只能使用可访问快照</x:v>
      </x:c>
    </x:row>
    <x:row r="4051" ht="32" customHeight="1">
      <x:c r="A4051" s="30" t="str">
        <x:v>A047</x:v>
      </x:c>
      <x:c r="B4051" s="30" t="str">
        <x:v>F302</x:v>
      </x:c>
      <x:c r="C4051" s="30" t="str">
        <x:v>compute.queue_ids</x:v>
      </x:c>
      <x:c r="D4051" s="30" t="str">
        <x:v>候选输入schema</x:v>
      </x:c>
      <x:c r="E4051" s="30" t="str">
        <x:v>按执行角色权限读取；策略只能使用可访问快照</x:v>
      </x:c>
    </x:row>
    <x:row r="4052" ht="32" customHeight="1">
      <x:c r="A4052" s="30" t="str">
        <x:v>A047</x:v>
      </x:c>
      <x:c r="B4052" s="30" t="str">
        <x:v>F303</x:v>
      </x:c>
      <x:c r="C4052" s="30" t="str">
        <x:v>compute.running_job_ids</x:v>
      </x:c>
      <x:c r="D4052" s="30" t="str">
        <x:v>候选输入schema</x:v>
      </x:c>
      <x:c r="E4052" s="30" t="str">
        <x:v>按执行角色权限读取；策略只能使用可访问快照</x:v>
      </x:c>
    </x:row>
    <x:row r="4053" ht="32" customHeight="1">
      <x:c r="A4053" s="30" t="str">
        <x:v>A047</x:v>
      </x:c>
      <x:c r="B4053" s="30" t="str">
        <x:v>F304</x:v>
      </x:c>
      <x:c r="C4053" s="30" t="str">
        <x:v>compute.availability</x:v>
      </x:c>
      <x:c r="D4053" s="30" t="str">
        <x:v>候选输入schema</x:v>
      </x:c>
      <x:c r="E4053" s="30" t="str">
        <x:v>按执行角色权限读取；策略只能使用可访问快照</x:v>
      </x:c>
    </x:row>
    <x:row r="4054" ht="32" customHeight="1">
      <x:c r="A4054" s="30" t="str">
        <x:v>A047</x:v>
      </x:c>
      <x:c r="B4054" s="30" t="str">
        <x:v>F305</x:v>
      </x:c>
      <x:c r="C4054" s="30" t="str">
        <x:v>compute.power_model</x:v>
      </x:c>
      <x:c r="D4054" s="30" t="str">
        <x:v>候选输入schema</x:v>
      </x:c>
      <x:c r="E4054" s="30" t="str">
        <x:v>按执行角色权限读取；策略只能使用可访问快照</x:v>
      </x:c>
    </x:row>
    <x:row r="4055" ht="32" customHeight="1">
      <x:c r="A4055" s="30" t="str">
        <x:v>A047</x:v>
      </x:c>
      <x:c r="B4055" s="30" t="str">
        <x:v>F306</x:v>
      </x:c>
      <x:c r="C4055" s="30" t="str">
        <x:v>compute.energy_Wh</x:v>
      </x:c>
      <x:c r="D4055" s="30" t="str">
        <x:v>候选输入schema</x:v>
      </x:c>
      <x:c r="E4055" s="30" t="str">
        <x:v>按执行角色权限读取；策略只能使用可访问快照</x:v>
      </x:c>
    </x:row>
    <x:row r="4056" ht="32" customHeight="1">
      <x:c r="A4056" s="30" t="str">
        <x:v>A047</x:v>
      </x:c>
      <x:c r="B4056" s="30" t="str">
        <x:v>F307</x:v>
      </x:c>
      <x:c r="C4056" s="30" t="str">
        <x:v>compute.service_ids</x:v>
      </x:c>
      <x:c r="D4056" s="30" t="str">
        <x:v>候选输入schema</x:v>
      </x:c>
      <x:c r="E4056" s="30" t="str">
        <x:v>按执行角色权限读取；策略只能使用可访问快照</x:v>
      </x:c>
    </x:row>
    <x:row r="4057" ht="32" customHeight="1">
      <x:c r="A4057" s="30" t="str">
        <x:v>A047</x:v>
      </x:c>
      <x:c r="B4057" s="30" t="str">
        <x:v>F308</x:v>
      </x:c>
      <x:c r="C4057" s="30" t="str">
        <x:v>compute.storage_free_bytes</x:v>
      </x:c>
      <x:c r="D4057" s="30" t="str">
        <x:v>候选输入schema</x:v>
      </x:c>
      <x:c r="E4057" s="30" t="str">
        <x:v>按执行角色权限读取；策略只能使用可访问快照</x:v>
      </x:c>
    </x:row>
    <x:row r="4058" ht="32" customHeight="1">
      <x:c r="A4058" s="30" t="str">
        <x:v>A047</x:v>
      </x:c>
      <x:c r="B4058" s="30" t="str">
        <x:v>F309</x:v>
      </x:c>
      <x:c r="C4058" s="30" t="str">
        <x:v>compute.clock_policy</x:v>
      </x:c>
      <x:c r="D4058" s="30" t="str">
        <x:v>候选输入schema</x:v>
      </x:c>
      <x:c r="E4058" s="30" t="str">
        <x:v>按执行角色权限读取；策略只能使用可访问快照</x:v>
      </x:c>
    </x:row>
    <x:row r="4059" ht="32" customHeight="1">
      <x:c r="A4059" s="30" t="str">
        <x:v>A047</x:v>
      </x:c>
      <x:c r="B4059" s="30" t="str">
        <x:v>F310</x:v>
      </x:c>
      <x:c r="C4059" s="30" t="str">
        <x:v>compute.timing_profile_id</x:v>
      </x:c>
      <x:c r="D4059" s="30" t="str">
        <x:v>候选输入schema</x:v>
      </x:c>
      <x:c r="E4059" s="30" t="str">
        <x:v>按执行角色权限读取；策略只能使用可访问快照</x:v>
      </x:c>
    </x:row>
    <x:row r="4060" ht="32" customHeight="1">
      <x:c r="A4060" s="30" t="str">
        <x:v>A047</x:v>
      </x:c>
      <x:c r="B4060" s="30" t="str">
        <x:v>F311</x:v>
      </x:c>
      <x:c r="C4060" s="30" t="str">
        <x:v>compute.temperature_state</x:v>
      </x:c>
      <x:c r="D4060" s="30" t="str">
        <x:v>候选输入schema</x:v>
      </x:c>
      <x:c r="E4060" s="30" t="str">
        <x:v>按执行角色权限读取；策略只能使用可访问快照</x:v>
      </x:c>
    </x:row>
    <x:row r="4061" ht="32" customHeight="1">
      <x:c r="A4061" s="30" t="str">
        <x:v>A047</x:v>
      </x:c>
      <x:c r="B4061" s="30" t="str">
        <x:v>F312</x:v>
      </x:c>
      <x:c r="C4061" s="30" t="str">
        <x:v>compute.network_endpoint</x:v>
      </x:c>
      <x:c r="D4061" s="30" t="str">
        <x:v>候选输入schema</x:v>
      </x:c>
      <x:c r="E4061" s="30" t="str">
        <x:v>按执行角色权限读取；策略只能使用可访问快照</x:v>
      </x:c>
    </x:row>
    <x:row r="4062" ht="32" customHeight="1">
      <x:c r="A4062" s="30" t="str">
        <x:v>A047</x:v>
      </x:c>
      <x:c r="B4062" s="30" t="str">
        <x:v>F313</x:v>
      </x:c>
      <x:c r="C4062" s="30" t="str">
        <x:v>service.kind</x:v>
      </x:c>
      <x:c r="D4062" s="30" t="str">
        <x:v>候选输入schema</x:v>
      </x:c>
      <x:c r="E4062" s="30" t="str">
        <x:v>按执行角色权限读取；策略只能使用可访问快照</x:v>
      </x:c>
    </x:row>
    <x:row r="4063" ht="32" customHeight="1">
      <x:c r="A4063" s="30" t="str">
        <x:v>A047</x:v>
      </x:c>
      <x:c r="B4063" s="30" t="str">
        <x:v>F314</x:v>
      </x:c>
      <x:c r="C4063" s="30" t="str">
        <x:v>service.model_id</x:v>
      </x:c>
      <x:c r="D4063" s="30" t="str">
        <x:v>候选输入schema</x:v>
      </x:c>
      <x:c r="E4063" s="30" t="str">
        <x:v>按执行角色权限读取；策略只能使用可访问快照</x:v>
      </x:c>
    </x:row>
    <x:row r="4064" ht="32" customHeight="1">
      <x:c r="A4064" s="30" t="str">
        <x:v>A047</x:v>
      </x:c>
      <x:c r="B4064" s="30" t="str">
        <x:v>F315</x:v>
      </x:c>
      <x:c r="C4064" s="30" t="str">
        <x:v>service.version</x:v>
      </x:c>
      <x:c r="D4064" s="30" t="str">
        <x:v>候选输入schema</x:v>
      </x:c>
      <x:c r="E4064" s="30" t="str">
        <x:v>按执行角色权限读取；策略只能使用可访问快照</x:v>
      </x:c>
    </x:row>
    <x:row r="4065" ht="32" customHeight="1">
      <x:c r="A4065" s="30" t="str">
        <x:v>A047</x:v>
      </x:c>
      <x:c r="B4065" s="30" t="str">
        <x:v>F316</x:v>
      </x:c>
      <x:c r="C4065" s="30" t="str">
        <x:v>service.host_id</x:v>
      </x:c>
      <x:c r="D4065" s="30" t="str">
        <x:v>候选输入schema</x:v>
      </x:c>
      <x:c r="E4065" s="30" t="str">
        <x:v>按执行角色权限读取；策略只能使用可访问快照</x:v>
      </x:c>
    </x:row>
    <x:row r="4066" ht="32" customHeight="1">
      <x:c r="A4066" s="30" t="str">
        <x:v>A047</x:v>
      </x:c>
      <x:c r="B4066" s="30" t="str">
        <x:v>F317</x:v>
      </x:c>
      <x:c r="C4066" s="30" t="str">
        <x:v>service.status</x:v>
      </x:c>
      <x:c r="D4066" s="30" t="str">
        <x:v>候选输入schema</x:v>
      </x:c>
      <x:c r="E4066" s="30" t="str">
        <x:v>按执行角色权限读取；策略只能使用可访问快照</x:v>
      </x:c>
    </x:row>
    <x:row r="4067" ht="32" customHeight="1">
      <x:c r="A4067" s="30" t="str">
        <x:v>A047</x:v>
      </x:c>
      <x:c r="B4067" s="30" t="str">
        <x:v>F318</x:v>
      </x:c>
      <x:c r="C4067" s="30" t="str">
        <x:v>service.input_schema</x:v>
      </x:c>
      <x:c r="D4067" s="30" t="str">
        <x:v>候选输入schema</x:v>
      </x:c>
      <x:c r="E4067" s="30" t="str">
        <x:v>按执行角色权限读取；策略只能使用可访问快照</x:v>
      </x:c>
    </x:row>
    <x:row r="4068" ht="32" customHeight="1">
      <x:c r="A4068" s="30" t="str">
        <x:v>A047</x:v>
      </x:c>
      <x:c r="B4068" s="30" t="str">
        <x:v>F319</x:v>
      </x:c>
      <x:c r="C4068" s="30" t="str">
        <x:v>service.output_schema</x:v>
      </x:c>
      <x:c r="D4068" s="30" t="str">
        <x:v>候选输入schema</x:v>
      </x:c>
      <x:c r="E4068" s="30" t="str">
        <x:v>按执行角色权限读取；策略只能使用可访问快照</x:v>
      </x:c>
    </x:row>
    <x:row r="4069" ht="32" customHeight="1">
      <x:c r="A4069" s="30" t="str">
        <x:v>A047</x:v>
      </x:c>
      <x:c r="B4069" s="30" t="str">
        <x:v>F320</x:v>
      </x:c>
      <x:c r="C4069" s="30" t="str">
        <x:v>service.precision</x:v>
      </x:c>
      <x:c r="D4069" s="30" t="str">
        <x:v>候选输入schema</x:v>
      </x:c>
      <x:c r="E4069" s="30" t="str">
        <x:v>按执行角色权限读取；策略只能使用可访问快照</x:v>
      </x:c>
    </x:row>
    <x:row r="4070" ht="32" customHeight="1">
      <x:c r="A4070" s="30" t="str">
        <x:v>A047</x:v>
      </x:c>
      <x:c r="B4070" s="30" t="str">
        <x:v>F321</x:v>
      </x:c>
      <x:c r="C4070" s="30" t="str">
        <x:v>service.weights_bytes</x:v>
      </x:c>
      <x:c r="D4070" s="30" t="str">
        <x:v>候选输入schema</x:v>
      </x:c>
      <x:c r="E4070" s="30" t="str">
        <x:v>按执行角色权限读取；策略只能使用可访问快照</x:v>
      </x:c>
    </x:row>
    <x:row r="4071" ht="32" customHeight="1">
      <x:c r="A4071" s="30" t="str">
        <x:v>A047</x:v>
      </x:c>
      <x:c r="B4071" s="30" t="str">
        <x:v>F322</x:v>
      </x:c>
      <x:c r="C4071" s="30" t="str">
        <x:v>service.working_memory_bytes</x:v>
      </x:c>
      <x:c r="D4071" s="30" t="str">
        <x:v>候选输入schema</x:v>
      </x:c>
      <x:c r="E4071" s="30" t="str">
        <x:v>按执行角色权限读取；策略只能使用可访问快照</x:v>
      </x:c>
    </x:row>
    <x:row r="4072" ht="32" customHeight="1">
      <x:c r="A4072" s="30" t="str">
        <x:v>A047</x:v>
      </x:c>
      <x:c r="B4072" s="30" t="str">
        <x:v>F323</x:v>
      </x:c>
      <x:c r="C4072" s="30" t="str">
        <x:v>service.load_latency_profile</x:v>
      </x:c>
      <x:c r="D4072" s="30" t="str">
        <x:v>候选输入schema</x:v>
      </x:c>
      <x:c r="E4072" s="30" t="str">
        <x:v>按执行角色权限读取；策略只能使用可访问快照</x:v>
      </x:c>
    </x:row>
    <x:row r="4073" ht="32" customHeight="1">
      <x:c r="A4073" s="30" t="str">
        <x:v>A047</x:v>
      </x:c>
      <x:c r="B4073" s="30" t="str">
        <x:v>F324</x:v>
      </x:c>
      <x:c r="C4073" s="30" t="str">
        <x:v>service.batch_policy</x:v>
      </x:c>
      <x:c r="D4073" s="30" t="str">
        <x:v>候选输入schema</x:v>
      </x:c>
      <x:c r="E4073" s="30" t="str">
        <x:v>按执行角色权限读取；策略只能使用可访问快照</x:v>
      </x:c>
    </x:row>
    <x:row r="4074" ht="32" customHeight="1">
      <x:c r="A4074" s="30" t="str">
        <x:v>A047</x:v>
      </x:c>
      <x:c r="B4074" s="30" t="str">
        <x:v>F325</x:v>
      </x:c>
      <x:c r="C4074" s="30" t="str">
        <x:v>service.context_limit</x:v>
      </x:c>
      <x:c r="D4074" s="30" t="str">
        <x:v>候选输入schema</x:v>
      </x:c>
      <x:c r="E4074" s="30" t="str">
        <x:v>按执行角色权限读取；策略只能使用可访问快照</x:v>
      </x:c>
    </x:row>
    <x:row r="4075" ht="32" customHeight="1">
      <x:c r="A4075" s="30" t="str">
        <x:v>A047</x:v>
      </x:c>
      <x:c r="B4075" s="30" t="str">
        <x:v>F326</x:v>
      </x:c>
      <x:c r="C4075" s="30" t="str">
        <x:v>service.quality_profile</x:v>
      </x:c>
      <x:c r="D4075" s="30" t="str">
        <x:v>候选输入schema</x:v>
      </x:c>
      <x:c r="E4075" s="30" t="str">
        <x:v>按执行角色权限读取；策略只能使用可访问快照</x:v>
      </x:c>
    </x:row>
    <x:row r="4076" ht="32" customHeight="1">
      <x:c r="A4076" s="30" t="str">
        <x:v>A047</x:v>
      </x:c>
      <x:c r="B4076" s="30" t="str">
        <x:v>F327</x:v>
      </x:c>
      <x:c r="C4076" s="30" t="str">
        <x:v>service.compatible_representations</x:v>
      </x:c>
      <x:c r="D4076" s="30" t="str">
        <x:v>候选输入schema</x:v>
      </x:c>
      <x:c r="E4076" s="30" t="str">
        <x:v>按执行角色权限读取；策略只能使用可访问快照</x:v>
      </x:c>
    </x:row>
    <x:row r="4077" ht="32" customHeight="1">
      <x:c r="A4077" s="30" t="str">
        <x:v>A047</x:v>
      </x:c>
      <x:c r="B4077" s="30" t="str">
        <x:v>F328</x:v>
      </x:c>
      <x:c r="C4077" s="30" t="str">
        <x:v>service.licence_scope</x:v>
      </x:c>
      <x:c r="D4077" s="30" t="str">
        <x:v>候选输入schema</x:v>
      </x:c>
      <x:c r="E4077" s="30" t="str">
        <x:v>按执行角色权限读取；策略只能使用可访问快照</x:v>
      </x:c>
    </x:row>
    <x:row r="4078" ht="32" customHeight="1">
      <x:c r="A4078" s="30" t="str">
        <x:v>A047</x:v>
      </x:c>
      <x:c r="B4078" s="30" t="str">
        <x:v>F329</x:v>
      </x:c>
      <x:c r="C4078" s="30" t="str">
        <x:v>job.requester_id</x:v>
      </x:c>
      <x:c r="D4078" s="30" t="str">
        <x:v>候选输入schema</x:v>
      </x:c>
      <x:c r="E4078" s="30" t="str">
        <x:v>按执行角色权限读取；策略只能使用可访问快照</x:v>
      </x:c>
    </x:row>
    <x:row r="4079" ht="32" customHeight="1">
      <x:c r="A4079" s="30" t="str">
        <x:v>A047</x:v>
      </x:c>
      <x:c r="B4079" s="30" t="str">
        <x:v>F330</x:v>
      </x:c>
      <x:c r="C4079" s="30" t="str">
        <x:v>job.task_ref</x:v>
      </x:c>
      <x:c r="D4079" s="30" t="str">
        <x:v>候选输入schema</x:v>
      </x:c>
      <x:c r="E4079" s="30" t="str">
        <x:v>按执行角色权限读取；策略只能使用可访问快照</x:v>
      </x:c>
    </x:row>
    <x:row r="4080" ht="32" customHeight="1">
      <x:c r="A4080" s="30" t="str">
        <x:v>A047</x:v>
      </x:c>
      <x:c r="B4080" s="30" t="str">
        <x:v>F331</x:v>
      </x:c>
      <x:c r="C4080" s="30" t="str">
        <x:v>job.service_id</x:v>
      </x:c>
      <x:c r="D4080" s="30" t="str">
        <x:v>候选输入schema</x:v>
      </x:c>
      <x:c r="E4080" s="30" t="str">
        <x:v>按执行角色权限读取；策略只能使用可访问快照</x:v>
      </x:c>
    </x:row>
    <x:row r="4081" ht="32" customHeight="1">
      <x:c r="A4081" s="30" t="str">
        <x:v>A047</x:v>
      </x:c>
      <x:c r="B4081" s="30" t="str">
        <x:v>F332</x:v>
      </x:c>
      <x:c r="C4081" s="30" t="str">
        <x:v>job.input_evidence_ids</x:v>
      </x:c>
      <x:c r="D4081" s="30" t="str">
        <x:v>候选输入schema</x:v>
      </x:c>
      <x:c r="E4081" s="30" t="str">
        <x:v>按执行角色权限读取；策略只能使用可访问快照</x:v>
      </x:c>
    </x:row>
    <x:row r="4082" ht="32" customHeight="1">
      <x:c r="A4082" s="30" t="str">
        <x:v>A047</x:v>
      </x:c>
      <x:c r="B4082" s="30" t="str">
        <x:v>F333</x:v>
      </x:c>
      <x:c r="C4082" s="30" t="str">
        <x:v>job.input_bytes</x:v>
      </x:c>
      <x:c r="D4082" s="30" t="str">
        <x:v>候选输入schema</x:v>
      </x:c>
      <x:c r="E4082" s="30" t="str">
        <x:v>按执行角色权限读取；策略只能使用可访问快照</x:v>
      </x:c>
    </x:row>
    <x:row r="4083" ht="32" customHeight="1">
      <x:c r="A4083" s="30" t="str">
        <x:v>A047</x:v>
      </x:c>
      <x:c r="B4083" s="30" t="str">
        <x:v>F334</x:v>
      </x:c>
      <x:c r="C4083" s="30" t="str">
        <x:v>job.input_tokens</x:v>
      </x:c>
      <x:c r="D4083" s="30" t="str">
        <x:v>候选输入schema</x:v>
      </x:c>
      <x:c r="E4083" s="30" t="str">
        <x:v>按执行角色权限读取；策略只能使用可访问快照</x:v>
      </x:c>
    </x:row>
    <x:row r="4084" ht="32" customHeight="1">
      <x:c r="A4084" s="30" t="str">
        <x:v>A047</x:v>
      </x:c>
      <x:c r="B4084" s="30" t="str">
        <x:v>F335</x:v>
      </x:c>
      <x:c r="C4084" s="30" t="str">
        <x:v>job.output_tokens</x:v>
      </x:c>
      <x:c r="D4084" s="30" t="str">
        <x:v>候选输入schema</x:v>
      </x:c>
      <x:c r="E4084" s="30" t="str">
        <x:v>按执行角色权限读取；策略只能使用可访问快照</x:v>
      </x:c>
    </x:row>
    <x:row r="4085" ht="32" customHeight="1">
      <x:c r="A4085" s="30" t="str">
        <x:v>A047</x:v>
      </x:c>
      <x:c r="B4085" s="30" t="str">
        <x:v>F336</x:v>
      </x:c>
      <x:c r="C4085" s="30" t="str">
        <x:v>job.status</x:v>
      </x:c>
      <x:c r="D4085" s="30" t="str">
        <x:v>候选输入schema</x:v>
      </x:c>
      <x:c r="E4085" s="30" t="str">
        <x:v>按执行角色权限读取；策略只能使用可访问快照</x:v>
      </x:c>
    </x:row>
    <x:row r="4086" ht="32" customHeight="1">
      <x:c r="A4086" s="30" t="str">
        <x:v>A047</x:v>
      </x:c>
      <x:c r="B4086" s="30" t="str">
        <x:v>F337</x:v>
      </x:c>
      <x:c r="C4086" s="30" t="str">
        <x:v>job.queue_enter_s</x:v>
      </x:c>
      <x:c r="D4086" s="30" t="str">
        <x:v>候选输入schema</x:v>
      </x:c>
      <x:c r="E4086" s="30" t="str">
        <x:v>按执行角色权限读取；策略只能使用可访问快照</x:v>
      </x:c>
    </x:row>
    <x:row r="4087" ht="32" customHeight="1">
      <x:c r="A4087" s="30" t="str">
        <x:v>A047</x:v>
      </x:c>
      <x:c r="B4087" s="30" t="str">
        <x:v>F338</x:v>
      </x:c>
      <x:c r="C4087" s="30" t="str">
        <x:v>job.start_s</x:v>
      </x:c>
      <x:c r="D4087" s="30" t="str">
        <x:v>候选输入schema</x:v>
      </x:c>
      <x:c r="E4087" s="30" t="str">
        <x:v>按执行角色权限读取；策略只能使用可访问快照</x:v>
      </x:c>
    </x:row>
    <x:row r="4088" ht="32" customHeight="1">
      <x:c r="A4088" s="30" t="str">
        <x:v>A047</x:v>
      </x:c>
      <x:c r="B4088" s="30" t="str">
        <x:v>F339</x:v>
      </x:c>
      <x:c r="C4088" s="30" t="str">
        <x:v>job.finish_s</x:v>
      </x:c>
      <x:c r="D4088" s="30" t="str">
        <x:v>候选输入schema</x:v>
      </x:c>
      <x:c r="E4088" s="30" t="str">
        <x:v>按执行角色权限读取；策略只能使用可访问快照</x:v>
      </x:c>
    </x:row>
    <x:row r="4089" ht="32" customHeight="1">
      <x:c r="A4089" s="30" t="str">
        <x:v>A047</x:v>
      </x:c>
      <x:c r="B4089" s="30" t="str">
        <x:v>F340</x:v>
      </x:c>
      <x:c r="C4089" s="30" t="str">
        <x:v>job.deadline_s</x:v>
      </x:c>
      <x:c r="D4089" s="30" t="str">
        <x:v>候选输入schema</x:v>
      </x:c>
      <x:c r="E4089" s="30" t="str">
        <x:v>按执行角色权限读取；策略只能使用可访问快照</x:v>
      </x:c>
    </x:row>
    <x:row r="4090" ht="32" customHeight="1">
      <x:c r="A4090" s="30" t="str">
        <x:v>A047</x:v>
      </x:c>
      <x:c r="B4090" s="30" t="str">
        <x:v>F341</x:v>
      </x:c>
      <x:c r="C4090" s="30" t="str">
        <x:v>job.cpu_request</x:v>
      </x:c>
      <x:c r="D4090" s="30" t="str">
        <x:v>候选输入schema</x:v>
      </x:c>
      <x:c r="E4090" s="30" t="str">
        <x:v>按执行角色权限读取；策略只能使用可访问快照</x:v>
      </x:c>
    </x:row>
    <x:row r="4091" ht="32" customHeight="1">
      <x:c r="A4091" s="30" t="str">
        <x:v>A047</x:v>
      </x:c>
      <x:c r="B4091" s="30" t="str">
        <x:v>F342</x:v>
      </x:c>
      <x:c r="C4091" s="30" t="str">
        <x:v>job.memory_request_bytes</x:v>
      </x:c>
      <x:c r="D4091" s="30" t="str">
        <x:v>候选输入schema</x:v>
      </x:c>
      <x:c r="E4091" s="30" t="str">
        <x:v>按执行角色权限读取；策略只能使用可访问快照</x:v>
      </x:c>
    </x:row>
    <x:row r="4092" ht="32" customHeight="1">
      <x:c r="A4092" s="30" t="str">
        <x:v>A047</x:v>
      </x:c>
      <x:c r="B4092" s="30" t="str">
        <x:v>F343</x:v>
      </x:c>
      <x:c r="C4092" s="30" t="str">
        <x:v>job.prefill_s</x:v>
      </x:c>
      <x:c r="D4092" s="30" t="str">
        <x:v>候选输入schema</x:v>
      </x:c>
      <x:c r="E4092" s="30" t="str">
        <x:v>按执行角色权限读取；策略只能使用可访问快照</x:v>
      </x:c>
    </x:row>
    <x:row r="4093" ht="32" customHeight="1">
      <x:c r="A4093" s="30" t="str">
        <x:v>A047</x:v>
      </x:c>
      <x:c r="B4093" s="30" t="str">
        <x:v>F344</x:v>
      </x:c>
      <x:c r="C4093" s="30" t="str">
        <x:v>job.decode_s</x:v>
      </x:c>
      <x:c r="D4093" s="30" t="str">
        <x:v>候选输入schema</x:v>
      </x:c>
      <x:c r="E4093" s="30" t="str">
        <x:v>按执行角色权限读取；策略只能使用可访问快照</x:v>
      </x:c>
    </x:row>
    <x:row r="4094" ht="32" customHeight="1">
      <x:c r="A4094" s="30" t="str">
        <x:v>A047</x:v>
      </x:c>
      <x:c r="B4094" s="30" t="str">
        <x:v>F345</x:v>
      </x:c>
      <x:c r="C4094" s="30" t="str">
        <x:v>job.wall_time_s</x:v>
      </x:c>
      <x:c r="D4094" s="30" t="str">
        <x:v>候选输入schema</x:v>
      </x:c>
      <x:c r="E4094" s="30" t="str">
        <x:v>按执行角色权限读取；策略只能使用可访问快照</x:v>
      </x:c>
    </x:row>
    <x:row r="4095" ht="32" customHeight="1">
      <x:c r="A4095" s="30" t="str">
        <x:v>A047</x:v>
      </x:c>
      <x:c r="B4095" s="30" t="str">
        <x:v>F346</x:v>
      </x:c>
      <x:c r="C4095" s="30" t="str">
        <x:v>job.result_ref</x:v>
      </x:c>
      <x:c r="D4095" s="30" t="str">
        <x:v>候选输入schema</x:v>
      </x:c>
      <x:c r="E4095" s="30" t="str">
        <x:v>按执行角色权限读取；策略只能使用可访问快照</x:v>
      </x:c>
    </x:row>
    <x:row r="4096" ht="32" customHeight="1">
      <x:c r="A4096" s="30" t="str">
        <x:v>A047</x:v>
      </x:c>
      <x:c r="B4096" s="30" t="str">
        <x:v>F347</x:v>
      </x:c>
      <x:c r="C4096" s="30" t="str">
        <x:v>job.checkpoint_ref</x:v>
      </x:c>
      <x:c r="D4096" s="30" t="str">
        <x:v>候选输入schema</x:v>
      </x:c>
      <x:c r="E4096" s="30" t="str">
        <x:v>按执行角色权限读取；策略只能使用可访问快照</x:v>
      </x:c>
    </x:row>
    <x:row r="4097" ht="32" customHeight="1">
      <x:c r="A4097" s="30" t="str">
        <x:v>A047</x:v>
      </x:c>
      <x:c r="B4097" s="30" t="str">
        <x:v>F348</x:v>
      </x:c>
      <x:c r="C4097" s="30" t="str">
        <x:v>job.failure_reason</x:v>
      </x:c>
      <x:c r="D4097" s="30" t="str">
        <x:v>候选输入schema</x:v>
      </x:c>
      <x:c r="E4097" s="30" t="str">
        <x:v>按执行角色权限读取；策略只能使用可访问快照</x:v>
      </x:c>
    </x:row>
    <x:row r="4098" ht="32" customHeight="1">
      <x:c r="A4098" s="30" t="str">
        <x:v>A047</x:v>
      </x:c>
      <x:c r="B4098" s="30" t="str">
        <x:v>F349</x:v>
      </x:c>
      <x:c r="C4098" s="30" t="str">
        <x:v>cache.owner_id</x:v>
      </x:c>
      <x:c r="D4098" s="30" t="str">
        <x:v>候选输入schema</x:v>
      </x:c>
      <x:c r="E4098" s="30" t="str">
        <x:v>按执行角色权限读取；策略只能使用可访问快照</x:v>
      </x:c>
    </x:row>
    <x:row r="4099" ht="32" customHeight="1">
      <x:c r="A4099" s="30" t="str">
        <x:v>A047</x:v>
      </x:c>
      <x:c r="B4099" s="30" t="str">
        <x:v>F350</x:v>
      </x:c>
      <x:c r="C4099" s="30" t="str">
        <x:v>cache.kind</x:v>
      </x:c>
      <x:c r="D4099" s="30" t="str">
        <x:v>候选输入schema</x:v>
      </x:c>
      <x:c r="E4099" s="30" t="str">
        <x:v>按执行角色权限读取；策略只能使用可访问快照</x:v>
      </x:c>
    </x:row>
    <x:row r="4100" ht="32" customHeight="1">
      <x:c r="A4100" s="30" t="str">
        <x:v>A047</x:v>
      </x:c>
      <x:c r="B4100" s="30" t="str">
        <x:v>F351</x:v>
      </x:c>
      <x:c r="C4100" s="30" t="str">
        <x:v>cache.model_version</x:v>
      </x:c>
      <x:c r="D4100" s="30" t="str">
        <x:v>候选输入schema</x:v>
      </x:c>
      <x:c r="E4100" s="30" t="str">
        <x:v>按执行角色权限读取；策略只能使用可访问快照</x:v>
      </x:c>
    </x:row>
    <x:row r="4101" ht="32" customHeight="1">
      <x:c r="A4101" s="30" t="str">
        <x:v>A047</x:v>
      </x:c>
      <x:c r="B4101" s="30" t="str">
        <x:v>F352</x:v>
      </x:c>
      <x:c r="C4101" s="30" t="str">
        <x:v>cache.content_ids</x:v>
      </x:c>
      <x:c r="D4101" s="30" t="str">
        <x:v>候选输入schema</x:v>
      </x:c>
      <x:c r="E4101" s="30" t="str">
        <x:v>按执行角色权限读取；策略只能使用可访问快照</x:v>
      </x:c>
    </x:row>
    <x:row r="4102" ht="32" customHeight="1">
      <x:c r="A4102" s="30" t="str">
        <x:v>A047</x:v>
      </x:c>
      <x:c r="B4102" s="30" t="str">
        <x:v>F353</x:v>
      </x:c>
      <x:c r="C4102" s="30" t="str">
        <x:v>cache.size_bytes</x:v>
      </x:c>
      <x:c r="D4102" s="30" t="str">
        <x:v>候选输入schema</x:v>
      </x:c>
      <x:c r="E4102" s="30" t="str">
        <x:v>按执行角色权限读取；策略只能使用可访问快照</x:v>
      </x:c>
    </x:row>
    <x:row r="4103" ht="32" customHeight="1">
      <x:c r="A4103" s="30" t="str">
        <x:v>A047</x:v>
      </x:c>
      <x:c r="B4103" s="30" t="str">
        <x:v>F354</x:v>
      </x:c>
      <x:c r="C4103" s="30" t="str">
        <x:v>cache.location</x:v>
      </x:c>
      <x:c r="D4103" s="30" t="str">
        <x:v>候选输入schema</x:v>
      </x:c>
      <x:c r="E4103" s="30" t="str">
        <x:v>按执行角色权限读取；策略只能使用可访问快照</x:v>
      </x:c>
    </x:row>
    <x:row r="4104" ht="32" customHeight="1">
      <x:c r="A4104" s="30" t="str">
        <x:v>A047</x:v>
      </x:c>
      <x:c r="B4104" s="30" t="str">
        <x:v>F355</x:v>
      </x:c>
      <x:c r="C4104" s="30" t="str">
        <x:v>cache.valid_until_s</x:v>
      </x:c>
      <x:c r="D4104" s="30" t="str">
        <x:v>候选输入schema</x:v>
      </x:c>
      <x:c r="E4104" s="30" t="str">
        <x:v>按执行角色权限读取；策略只能使用可访问快照</x:v>
      </x:c>
    </x:row>
    <x:row r="4105" ht="32" customHeight="1">
      <x:c r="A4105" s="30" t="str">
        <x:v>A047</x:v>
      </x:c>
      <x:c r="B4105" s="30" t="str">
        <x:v>F356</x:v>
      </x:c>
      <x:c r="C4105" s="30" t="str">
        <x:v>cache.reuse_compatible</x:v>
      </x:c>
      <x:c r="D4105" s="30" t="str">
        <x:v>候选输入schema</x:v>
      </x:c>
      <x:c r="E4105" s="30" t="str">
        <x:v>按执行角色权限读取；策略只能使用可访问快照</x:v>
      </x:c>
    </x:row>
    <x:row r="4106" ht="32" customHeight="1">
      <x:c r="A4106" s="30" t="str">
        <x:v>A047</x:v>
      </x:c>
      <x:c r="B4106" s="30" t="str">
        <x:v>F357</x:v>
      </x:c>
      <x:c r="C4106" s="30" t="str">
        <x:v>cache.hit_count</x:v>
      </x:c>
      <x:c r="D4106" s="30" t="str">
        <x:v>候选输入schema</x:v>
      </x:c>
      <x:c r="E4106" s="30" t="str">
        <x:v>按执行角色权限读取；策略只能使用可访问快照</x:v>
      </x:c>
    </x:row>
    <x:row r="4107" ht="32" customHeight="1">
      <x:c r="A4107" s="30" t="str">
        <x:v>A047</x:v>
      </x:c>
      <x:c r="B4107" s="30" t="str">
        <x:v>F358</x:v>
      </x:c>
      <x:c r="C4107" s="30" t="str">
        <x:v>cache.eviction_state</x:v>
      </x:c>
      <x:c r="D4107" s="30" t="str">
        <x:v>候选输入schema</x:v>
      </x:c>
      <x:c r="E4107" s="30" t="str">
        <x:v>按执行角色权限读取；策略只能使用可访问快照</x:v>
      </x:c>
    </x:row>
    <x:row r="4108" ht="32" customHeight="1">
      <x:c r="A4108" s="30" t="str">
        <x:v>A047</x:v>
      </x:c>
      <x:c r="B4108" s="30" t="str">
        <x:v>F347</x:v>
      </x:c>
      <x:c r="C4108" s="30" t="str">
        <x:v>job.checkpoint_ref</x:v>
      </x:c>
      <x:c r="D4108" s="30" t="str">
        <x:v>直接效果</x:v>
      </x:c>
      <x:c r="E4108" s="30" t="str">
        <x:v>经实际执行/回执提交；不是规划时提前修改</x:v>
      </x:c>
    </x:row>
    <x:row r="4109" ht="32" customHeight="1">
      <x:c r="A4109" s="30" t="str">
        <x:v>A047</x:v>
      </x:c>
      <x:c r="B4109" s="30" t="str">
        <x:v>F336</x:v>
      </x:c>
      <x:c r="C4109" s="30" t="str">
        <x:v>job.status</x:v>
      </x:c>
      <x:c r="D4109" s="30" t="str">
        <x:v>直接效果</x:v>
      </x:c>
      <x:c r="E4109" s="30" t="str">
        <x:v>经实际执行/回执提交；不是规划时提前修改</x:v>
      </x:c>
    </x:row>
    <x:row r="4110" ht="32" customHeight="1">
      <x:c r="A4110" s="30" t="str">
        <x:v>A047</x:v>
      </x:c>
      <x:c r="B4110" s="30" t="str">
        <x:v>F316</x:v>
      </x:c>
      <x:c r="C4110" s="30" t="str">
        <x:v>service.host_id</x:v>
      </x:c>
      <x:c r="D4110" s="30" t="str">
        <x:v>直接效果</x:v>
      </x:c>
      <x:c r="E4110" s="30" t="str">
        <x:v>经实际执行/回执提交；不是规划时提前修改</x:v>
      </x:c>
    </x:row>
    <x:row r="4111" ht="32" customHeight="1">
      <x:c r="A4111" s="30" t="str">
        <x:v>A048</x:v>
      </x:c>
      <x:c r="B4111" s="30" t="str">
        <x:v>F196</x:v>
      </x:c>
      <x:c r="C4111" s="30" t="str">
        <x:v>task.type</x:v>
      </x:c>
      <x:c r="D4111" s="30" t="str">
        <x:v>候选输入schema</x:v>
      </x:c>
      <x:c r="E4111" s="30" t="str">
        <x:v>按执行角色权限读取；策略只能使用可访问快照</x:v>
      </x:c>
    </x:row>
    <x:row r="4112" ht="32" customHeight="1">
      <x:c r="A4112" s="30" t="str">
        <x:v>A048</x:v>
      </x:c>
      <x:c r="B4112" s="30" t="str">
        <x:v>F197</x:v>
      </x:c>
      <x:c r="C4112" s="30" t="str">
        <x:v>task.creator_id</x:v>
      </x:c>
      <x:c r="D4112" s="30" t="str">
        <x:v>候选输入schema</x:v>
      </x:c>
      <x:c r="E4112" s="30" t="str">
        <x:v>按执行角色权限读取；策略只能使用可访问快照</x:v>
      </x:c>
    </x:row>
    <x:row r="4113" ht="32" customHeight="1">
      <x:c r="A4113" s="30" t="str">
        <x:v>A048</x:v>
      </x:c>
      <x:c r="B4113" s="30" t="str">
        <x:v>F198</x:v>
      </x:c>
      <x:c r="C4113" s="30" t="str">
        <x:v>task.target_ref</x:v>
      </x:c>
      <x:c r="D4113" s="30" t="str">
        <x:v>候选输入schema</x:v>
      </x:c>
      <x:c r="E4113" s="30" t="str">
        <x:v>按执行角色权限读取；策略只能使用可访问快照</x:v>
      </x:c>
    </x:row>
    <x:row r="4114" ht="32" customHeight="1">
      <x:c r="A4114" s="30" t="str">
        <x:v>A048</x:v>
      </x:c>
      <x:c r="B4114" s="30" t="str">
        <x:v>F199</x:v>
      </x:c>
      <x:c r="C4114" s="30" t="str">
        <x:v>task.goal_predicate</x:v>
      </x:c>
      <x:c r="D4114" s="30" t="str">
        <x:v>候选输入schema</x:v>
      </x:c>
      <x:c r="E4114" s="30" t="str">
        <x:v>按执行角色权限读取；策略只能使用可访问快照</x:v>
      </x:c>
    </x:row>
    <x:row r="4115" ht="32" customHeight="1">
      <x:c r="A4115" s="30" t="str">
        <x:v>A048</x:v>
      </x:c>
      <x:c r="B4115" s="30" t="str">
        <x:v>F200</x:v>
      </x:c>
      <x:c r="C4115" s="30" t="str">
        <x:v>task.revision</x:v>
      </x:c>
      <x:c r="D4115" s="30" t="str">
        <x:v>候选输入schema</x:v>
      </x:c>
      <x:c r="E4115" s="30" t="str">
        <x:v>按执行角色权限读取；策略只能使用可访问快照</x:v>
      </x:c>
    </x:row>
    <x:row r="4116" ht="32" customHeight="1">
      <x:c r="A4116" s="30" t="str">
        <x:v>A048</x:v>
      </x:c>
      <x:c r="B4116" s="30" t="str">
        <x:v>F201</x:v>
      </x:c>
      <x:c r="C4116" s="30" t="str">
        <x:v>task.status</x:v>
      </x:c>
      <x:c r="D4116" s="30" t="str">
        <x:v>候选输入schema</x:v>
      </x:c>
      <x:c r="E4116" s="30" t="str">
        <x:v>按执行角色权限读取；策略只能使用可访问快照</x:v>
      </x:c>
    </x:row>
    <x:row r="4117" ht="32" customHeight="1">
      <x:c r="A4117" s="30" t="str">
        <x:v>A048</x:v>
      </x:c>
      <x:c r="B4117" s="30" t="str">
        <x:v>F202</x:v>
      </x:c>
      <x:c r="C4117" s="30" t="str">
        <x:v>task.priority</x:v>
      </x:c>
      <x:c r="D4117" s="30" t="str">
        <x:v>候选输入schema</x:v>
      </x:c>
      <x:c r="E4117" s="30" t="str">
        <x:v>按执行角色权限读取；策略只能使用可访问快照</x:v>
      </x:c>
    </x:row>
    <x:row r="4118" ht="32" customHeight="1">
      <x:c r="A4118" s="30" t="str">
        <x:v>A048</x:v>
      </x:c>
      <x:c r="B4118" s="30" t="str">
        <x:v>F203</x:v>
      </x:c>
      <x:c r="C4118" s="30" t="str">
        <x:v>task.deadline_s</x:v>
      </x:c>
      <x:c r="D4118" s="30" t="str">
        <x:v>候选输入schema</x:v>
      </x:c>
      <x:c r="E4118" s="30" t="str">
        <x:v>按执行角色权限读取；策略只能使用可访问快照</x:v>
      </x:c>
    </x:row>
    <x:row r="4119" ht="32" customHeight="1">
      <x:c r="A4119" s="30" t="str">
        <x:v>A048</x:v>
      </x:c>
      <x:c r="B4119" s="30" t="str">
        <x:v>F204</x:v>
      </x:c>
      <x:c r="C4119" s="30" t="str">
        <x:v>task.dependency_ids</x:v>
      </x:c>
      <x:c r="D4119" s="30" t="str">
        <x:v>候选输入schema</x:v>
      </x:c>
      <x:c r="E4119" s="30" t="str">
        <x:v>按执行角色权限读取；策略只能使用可访问快照</x:v>
      </x:c>
    </x:row>
    <x:row r="4120" ht="32" customHeight="1">
      <x:c r="A4120" s="30" t="str">
        <x:v>A048</x:v>
      </x:c>
      <x:c r="B4120" s="30" t="str">
        <x:v>F205</x:v>
      </x:c>
      <x:c r="C4120" s="30" t="str">
        <x:v>task.required_capability_ids</x:v>
      </x:c>
      <x:c r="D4120" s="30" t="str">
        <x:v>候选输入schema</x:v>
      </x:c>
      <x:c r="E4120" s="30" t="str">
        <x:v>按执行角色权限读取；策略只能使用可访问快照</x:v>
      </x:c>
    </x:row>
    <x:row r="4121" ht="32" customHeight="1">
      <x:c r="A4121" s="30" t="str">
        <x:v>A048</x:v>
      </x:c>
      <x:c r="B4121" s="30" t="str">
        <x:v>F206</x:v>
      </x:c>
      <x:c r="C4121" s="30" t="str">
        <x:v>task.resource_budget</x:v>
      </x:c>
      <x:c r="D4121" s="30" t="str">
        <x:v>候选输入schema</x:v>
      </x:c>
      <x:c r="E4121" s="30" t="str">
        <x:v>按执行角色权限读取；策略只能使用可访问快照</x:v>
      </x:c>
    </x:row>
    <x:row r="4122" ht="32" customHeight="1">
      <x:c r="A4122" s="30" t="str">
        <x:v>A048</x:v>
      </x:c>
      <x:c r="B4122" s="30" t="str">
        <x:v>F207</x:v>
      </x:c>
      <x:c r="C4122" s="30" t="str">
        <x:v>task.assigned_to</x:v>
      </x:c>
      <x:c r="D4122" s="30" t="str">
        <x:v>候选输入schema</x:v>
      </x:c>
      <x:c r="E4122" s="30" t="str">
        <x:v>按执行角色权限读取；策略只能使用可访问快照</x:v>
      </x:c>
    </x:row>
    <x:row r="4123" ht="32" customHeight="1">
      <x:c r="A4123" s="30" t="str">
        <x:v>A048</x:v>
      </x:c>
      <x:c r="B4123" s="30" t="str">
        <x:v>F208</x:v>
      </x:c>
      <x:c r="C4123" s="30" t="str">
        <x:v>task.accepted_by</x:v>
      </x:c>
      <x:c r="D4123" s="30" t="str">
        <x:v>候选输入schema</x:v>
      </x:c>
      <x:c r="E4123" s="30" t="str">
        <x:v>按执行角色权限读取；策略只能使用可访问快照</x:v>
      </x:c>
    </x:row>
    <x:row r="4124" ht="32" customHeight="1">
      <x:c r="A4124" s="30" t="str">
        <x:v>A048</x:v>
      </x:c>
      <x:c r="B4124" s="30" t="str">
        <x:v>F209</x:v>
      </x:c>
      <x:c r="C4124" s="30" t="str">
        <x:v>task.commitment_window</x:v>
      </x:c>
      <x:c r="D4124" s="30" t="str">
        <x:v>候选输入schema</x:v>
      </x:c>
      <x:c r="E4124" s="30" t="str">
        <x:v>按执行角色权限读取；策略只能使用可访问快照</x:v>
      </x:c>
    </x:row>
    <x:row r="4125" ht="32" customHeight="1">
      <x:c r="A4125" s="30" t="str">
        <x:v>A048</x:v>
      </x:c>
      <x:c r="B4125" s="30" t="str">
        <x:v>F210</x:v>
      </x:c>
      <x:c r="C4125" s="30" t="str">
        <x:v>task.progress</x:v>
      </x:c>
      <x:c r="D4125" s="30" t="str">
        <x:v>候选输入schema</x:v>
      </x:c>
      <x:c r="E4125" s="30" t="str">
        <x:v>按执行角色权限读取；策略只能使用可访问快照</x:v>
      </x:c>
    </x:row>
    <x:row r="4126" ht="32" customHeight="1">
      <x:c r="A4126" s="30" t="str">
        <x:v>A048</x:v>
      </x:c>
      <x:c r="B4126" s="30" t="str">
        <x:v>F211</x:v>
      </x:c>
      <x:c r="C4126" s="30" t="str">
        <x:v>task.active_action_ids</x:v>
      </x:c>
      <x:c r="D4126" s="30" t="str">
        <x:v>候选输入schema</x:v>
      </x:c>
      <x:c r="E4126" s="30" t="str">
        <x:v>按执行角色权限读取；策略只能使用可访问快照</x:v>
      </x:c>
    </x:row>
    <x:row r="4127" ht="32" customHeight="1">
      <x:c r="A4127" s="30" t="str">
        <x:v>A048</x:v>
      </x:c>
      <x:c r="B4127" s="30" t="str">
        <x:v>F212</x:v>
      </x:c>
      <x:c r="C4127" s="30" t="str">
        <x:v>task.interruptibility</x:v>
      </x:c>
      <x:c r="D4127" s="30" t="str">
        <x:v>候选输入schema</x:v>
      </x:c>
      <x:c r="E4127" s="30" t="str">
        <x:v>按执行角色权限读取；策略只能使用可访问快照</x:v>
      </x:c>
    </x:row>
    <x:row r="4128" ht="32" customHeight="1">
      <x:c r="A4128" s="30" t="str">
        <x:v>A048</x:v>
      </x:c>
      <x:c r="B4128" s="30" t="str">
        <x:v>F213</x:v>
      </x:c>
      <x:c r="C4128" s="30" t="str">
        <x:v>task.original_task_id</x:v>
      </x:c>
      <x:c r="D4128" s="30" t="str">
        <x:v>候选输入schema</x:v>
      </x:c>
      <x:c r="E4128" s="30" t="str">
        <x:v>按执行角色权限读取；策略只能使用可访问快照</x:v>
      </x:c>
    </x:row>
    <x:row r="4129" ht="32" customHeight="1">
      <x:c r="A4129" s="30" t="str">
        <x:v>A048</x:v>
      </x:c>
      <x:c r="B4129" s="30" t="str">
        <x:v>F214</x:v>
      </x:c>
      <x:c r="C4129" s="30" t="str">
        <x:v>task.resume_checkpoint</x:v>
      </x:c>
      <x:c r="D4129" s="30" t="str">
        <x:v>候选输入schema</x:v>
      </x:c>
      <x:c r="E4129" s="30" t="str">
        <x:v>按执行角色权限读取；策略只能使用可访问快照</x:v>
      </x:c>
    </x:row>
    <x:row r="4130" ht="32" customHeight="1">
      <x:c r="A4130" s="30" t="str">
        <x:v>A048</x:v>
      </x:c>
      <x:c r="B4130" s="30" t="str">
        <x:v>F215</x:v>
      </x:c>
      <x:c r="C4130" s="30" t="str">
        <x:v>task.handoff_target_id</x:v>
      </x:c>
      <x:c r="D4130" s="30" t="str">
        <x:v>候选输入schema</x:v>
      </x:c>
      <x:c r="E4130" s="30" t="str">
        <x:v>按执行角色权限读取；策略只能使用可访问快照</x:v>
      </x:c>
    </x:row>
    <x:row r="4131" ht="32" customHeight="1">
      <x:c r="A4131" s="30" t="str">
        <x:v>A048</x:v>
      </x:c>
      <x:c r="B4131" s="30" t="str">
        <x:v>F216</x:v>
      </x:c>
      <x:c r="C4131" s="30" t="str">
        <x:v>task.result_evidence_ids</x:v>
      </x:c>
      <x:c r="D4131" s="30" t="str">
        <x:v>候选输入schema</x:v>
      </x:c>
      <x:c r="E4131" s="30" t="str">
        <x:v>按执行角色权限读取；策略只能使用可访问快照</x:v>
      </x:c>
    </x:row>
    <x:row r="4132" ht="32" customHeight="1">
      <x:c r="A4132" s="30" t="str">
        <x:v>A048</x:v>
      </x:c>
      <x:c r="B4132" s="30" t="str">
        <x:v>F217</x:v>
      </x:c>
      <x:c r="C4132" s="30" t="str">
        <x:v>task.failure_reason</x:v>
      </x:c>
      <x:c r="D4132" s="30" t="str">
        <x:v>候选输入schema</x:v>
      </x:c>
      <x:c r="E4132" s="30" t="str">
        <x:v>按执行角色权限读取；策略只能使用可访问快照</x:v>
      </x:c>
    </x:row>
    <x:row r="4133" ht="32" customHeight="1">
      <x:c r="A4133" s="30" t="str">
        <x:v>A048</x:v>
      </x:c>
      <x:c r="B4133" s="30" t="str">
        <x:v>F218</x:v>
      </x:c>
      <x:c r="C4133" s="30" t="str">
        <x:v>task.last_event_s</x:v>
      </x:c>
      <x:c r="D4133" s="30" t="str">
        <x:v>候选输入schema</x:v>
      </x:c>
      <x:c r="E4133" s="30" t="str">
        <x:v>按执行角色权限读取；策略只能使用可访问快照</x:v>
      </x:c>
    </x:row>
    <x:row r="4134" ht="32" customHeight="1">
      <x:c r="A4134" s="30" t="str">
        <x:v>A048</x:v>
      </x:c>
      <x:c r="B4134" s="30" t="str">
        <x:v>F219</x:v>
      </x:c>
      <x:c r="C4134" s="30" t="str">
        <x:v>task.opportunity_cost</x:v>
      </x:c>
      <x:c r="D4134" s="30" t="str">
        <x:v>候选输入schema</x:v>
      </x:c>
      <x:c r="E4134" s="30" t="str">
        <x:v>按执行角色权限读取；策略只能使用可访问快照</x:v>
      </x:c>
    </x:row>
    <x:row r="4135" ht="32" customHeight="1">
      <x:c r="A4135" s="30" t="str">
        <x:v>A048</x:v>
      </x:c>
      <x:c r="B4135" s="30" t="str">
        <x:v>F293</x:v>
      </x:c>
      <x:c r="C4135" s="30" t="str">
        <x:v>compute.node_id</x:v>
      </x:c>
      <x:c r="D4135" s="30" t="str">
        <x:v>候选输入schema</x:v>
      </x:c>
      <x:c r="E4135" s="30" t="str">
        <x:v>按执行角色权限读取；策略只能使用可访问快照</x:v>
      </x:c>
    </x:row>
    <x:row r="4136" ht="32" customHeight="1">
      <x:c r="A4136" s="30" t="str">
        <x:v>A048</x:v>
      </x:c>
      <x:c r="B4136" s="30" t="str">
        <x:v>F294</x:v>
      </x:c>
      <x:c r="C4136" s="30" t="str">
        <x:v>compute.device_kind</x:v>
      </x:c>
      <x:c r="D4136" s="30" t="str">
        <x:v>候选输入schema</x:v>
      </x:c>
      <x:c r="E4136" s="30" t="str">
        <x:v>按执行角色权限读取；策略只能使用可访问快照</x:v>
      </x:c>
    </x:row>
    <x:row r="4137" ht="32" customHeight="1">
      <x:c r="A4137" s="30" t="str">
        <x:v>A048</x:v>
      </x:c>
      <x:c r="B4137" s="30" t="str">
        <x:v>F295</x:v>
      </x:c>
      <x:c r="C4137" s="30" t="str">
        <x:v>compute.cpu_capacity</x:v>
      </x:c>
      <x:c r="D4137" s="30" t="str">
        <x:v>候选输入schema</x:v>
      </x:c>
      <x:c r="E4137" s="30" t="str">
        <x:v>按执行角色权限读取；策略只能使用可访问快照</x:v>
      </x:c>
    </x:row>
    <x:row r="4138" ht="32" customHeight="1">
      <x:c r="A4138" s="30" t="str">
        <x:v>A048</x:v>
      </x:c>
      <x:c r="B4138" s="30" t="str">
        <x:v>F296</x:v>
      </x:c>
      <x:c r="C4138" s="30" t="str">
        <x:v>compute.accelerator_capacity</x:v>
      </x:c>
      <x:c r="D4138" s="30" t="str">
        <x:v>候选输入schema</x:v>
      </x:c>
      <x:c r="E4138" s="30" t="str">
        <x:v>按执行角色权限读取；策略只能使用可访问快照</x:v>
      </x:c>
    </x:row>
    <x:row r="4139" ht="32" customHeight="1">
      <x:c r="A4139" s="30" t="str">
        <x:v>A048</x:v>
      </x:c>
      <x:c r="B4139" s="30" t="str">
        <x:v>F297</x:v>
      </x:c>
      <x:c r="C4139" s="30" t="str">
        <x:v>compute.memory_capacity_bytes</x:v>
      </x:c>
      <x:c r="D4139" s="30" t="str">
        <x:v>候选输入schema</x:v>
      </x:c>
      <x:c r="E4139" s="30" t="str">
        <x:v>按执行角色权限读取；策略只能使用可访问快照</x:v>
      </x:c>
    </x:row>
    <x:row r="4140" ht="32" customHeight="1">
      <x:c r="A4140" s="30" t="str">
        <x:v>A048</x:v>
      </x:c>
      <x:c r="B4140" s="30" t="str">
        <x:v>F298</x:v>
      </x:c>
      <x:c r="C4140" s="30" t="str">
        <x:v>compute.memory_used_bytes</x:v>
      </x:c>
      <x:c r="D4140" s="30" t="str">
        <x:v>候选输入schema</x:v>
      </x:c>
      <x:c r="E4140" s="30" t="str">
        <x:v>按执行角色权限读取；策略只能使用可访问快照</x:v>
      </x:c>
    </x:row>
    <x:row r="4141" ht="32" customHeight="1">
      <x:c r="A4141" s="30" t="str">
        <x:v>A048</x:v>
      </x:c>
      <x:c r="B4141" s="30" t="str">
        <x:v>F299</x:v>
      </x:c>
      <x:c r="C4141" s="30" t="str">
        <x:v>compute.cpu_allocated</x:v>
      </x:c>
      <x:c r="D4141" s="30" t="str">
        <x:v>候选输入schema</x:v>
      </x:c>
      <x:c r="E4141" s="30" t="str">
        <x:v>按执行角色权限读取；策略只能使用可访问快照</x:v>
      </x:c>
    </x:row>
    <x:row r="4142" ht="32" customHeight="1">
      <x:c r="A4142" s="30" t="str">
        <x:v>A048</x:v>
      </x:c>
      <x:c r="B4142" s="30" t="str">
        <x:v>F300</x:v>
      </x:c>
      <x:c r="C4142" s="30" t="str">
        <x:v>compute.accelerator_allocated</x:v>
      </x:c>
      <x:c r="D4142" s="30" t="str">
        <x:v>候选输入schema</x:v>
      </x:c>
      <x:c r="E4142" s="30" t="str">
        <x:v>按执行角色权限读取；策略只能使用可访问快照</x:v>
      </x:c>
    </x:row>
    <x:row r="4143" ht="32" customHeight="1">
      <x:c r="A4143" s="30" t="str">
        <x:v>A048</x:v>
      </x:c>
      <x:c r="B4143" s="30" t="str">
        <x:v>F301</x:v>
      </x:c>
      <x:c r="C4143" s="30" t="str">
        <x:v>compute.max_concurrency</x:v>
      </x:c>
      <x:c r="D4143" s="30" t="str">
        <x:v>候选输入schema</x:v>
      </x:c>
      <x:c r="E4143" s="30" t="str">
        <x:v>按执行角色权限读取；策略只能使用可访问快照</x:v>
      </x:c>
    </x:row>
    <x:row r="4144" ht="32" customHeight="1">
      <x:c r="A4144" s="30" t="str">
        <x:v>A048</x:v>
      </x:c>
      <x:c r="B4144" s="30" t="str">
        <x:v>F302</x:v>
      </x:c>
      <x:c r="C4144" s="30" t="str">
        <x:v>compute.queue_ids</x:v>
      </x:c>
      <x:c r="D4144" s="30" t="str">
        <x:v>候选输入schema</x:v>
      </x:c>
      <x:c r="E4144" s="30" t="str">
        <x:v>按执行角色权限读取；策略只能使用可访问快照</x:v>
      </x:c>
    </x:row>
    <x:row r="4145" ht="32" customHeight="1">
      <x:c r="A4145" s="30" t="str">
        <x:v>A048</x:v>
      </x:c>
      <x:c r="B4145" s="30" t="str">
        <x:v>F303</x:v>
      </x:c>
      <x:c r="C4145" s="30" t="str">
        <x:v>compute.running_job_ids</x:v>
      </x:c>
      <x:c r="D4145" s="30" t="str">
        <x:v>候选输入schema</x:v>
      </x:c>
      <x:c r="E4145" s="30" t="str">
        <x:v>按执行角色权限读取；策略只能使用可访问快照</x:v>
      </x:c>
    </x:row>
    <x:row r="4146" ht="32" customHeight="1">
      <x:c r="A4146" s="30" t="str">
        <x:v>A048</x:v>
      </x:c>
      <x:c r="B4146" s="30" t="str">
        <x:v>F304</x:v>
      </x:c>
      <x:c r="C4146" s="30" t="str">
        <x:v>compute.availability</x:v>
      </x:c>
      <x:c r="D4146" s="30" t="str">
        <x:v>候选输入schema</x:v>
      </x:c>
      <x:c r="E4146" s="30" t="str">
        <x:v>按执行角色权限读取；策略只能使用可访问快照</x:v>
      </x:c>
    </x:row>
    <x:row r="4147" ht="32" customHeight="1">
      <x:c r="A4147" s="30" t="str">
        <x:v>A048</x:v>
      </x:c>
      <x:c r="B4147" s="30" t="str">
        <x:v>F305</x:v>
      </x:c>
      <x:c r="C4147" s="30" t="str">
        <x:v>compute.power_model</x:v>
      </x:c>
      <x:c r="D4147" s="30" t="str">
        <x:v>候选输入schema</x:v>
      </x:c>
      <x:c r="E4147" s="30" t="str">
        <x:v>按执行角色权限读取；策略只能使用可访问快照</x:v>
      </x:c>
    </x:row>
    <x:row r="4148" ht="32" customHeight="1">
      <x:c r="A4148" s="30" t="str">
        <x:v>A048</x:v>
      </x:c>
      <x:c r="B4148" s="30" t="str">
        <x:v>F306</x:v>
      </x:c>
      <x:c r="C4148" s="30" t="str">
        <x:v>compute.energy_Wh</x:v>
      </x:c>
      <x:c r="D4148" s="30" t="str">
        <x:v>候选输入schema</x:v>
      </x:c>
      <x:c r="E4148" s="30" t="str">
        <x:v>按执行角色权限读取；策略只能使用可访问快照</x:v>
      </x:c>
    </x:row>
    <x:row r="4149" ht="32" customHeight="1">
      <x:c r="A4149" s="30" t="str">
        <x:v>A048</x:v>
      </x:c>
      <x:c r="B4149" s="30" t="str">
        <x:v>F307</x:v>
      </x:c>
      <x:c r="C4149" s="30" t="str">
        <x:v>compute.service_ids</x:v>
      </x:c>
      <x:c r="D4149" s="30" t="str">
        <x:v>候选输入schema</x:v>
      </x:c>
      <x:c r="E4149" s="30" t="str">
        <x:v>按执行角色权限读取；策略只能使用可访问快照</x:v>
      </x:c>
    </x:row>
    <x:row r="4150" ht="32" customHeight="1">
      <x:c r="A4150" s="30" t="str">
        <x:v>A048</x:v>
      </x:c>
      <x:c r="B4150" s="30" t="str">
        <x:v>F308</x:v>
      </x:c>
      <x:c r="C4150" s="30" t="str">
        <x:v>compute.storage_free_bytes</x:v>
      </x:c>
      <x:c r="D4150" s="30" t="str">
        <x:v>候选输入schema</x:v>
      </x:c>
      <x:c r="E4150" s="30" t="str">
        <x:v>按执行角色权限读取；策略只能使用可访问快照</x:v>
      </x:c>
    </x:row>
    <x:row r="4151" ht="32" customHeight="1">
      <x:c r="A4151" s="30" t="str">
        <x:v>A048</x:v>
      </x:c>
      <x:c r="B4151" s="30" t="str">
        <x:v>F309</x:v>
      </x:c>
      <x:c r="C4151" s="30" t="str">
        <x:v>compute.clock_policy</x:v>
      </x:c>
      <x:c r="D4151" s="30" t="str">
        <x:v>候选输入schema</x:v>
      </x:c>
      <x:c r="E4151" s="30" t="str">
        <x:v>按执行角色权限读取；策略只能使用可访问快照</x:v>
      </x:c>
    </x:row>
    <x:row r="4152" ht="32" customHeight="1">
      <x:c r="A4152" s="30" t="str">
        <x:v>A048</x:v>
      </x:c>
      <x:c r="B4152" s="30" t="str">
        <x:v>F310</x:v>
      </x:c>
      <x:c r="C4152" s="30" t="str">
        <x:v>compute.timing_profile_id</x:v>
      </x:c>
      <x:c r="D4152" s="30" t="str">
        <x:v>候选输入schema</x:v>
      </x:c>
      <x:c r="E4152" s="30" t="str">
        <x:v>按执行角色权限读取；策略只能使用可访问快照</x:v>
      </x:c>
    </x:row>
    <x:row r="4153" ht="32" customHeight="1">
      <x:c r="A4153" s="30" t="str">
        <x:v>A048</x:v>
      </x:c>
      <x:c r="B4153" s="30" t="str">
        <x:v>F311</x:v>
      </x:c>
      <x:c r="C4153" s="30" t="str">
        <x:v>compute.temperature_state</x:v>
      </x:c>
      <x:c r="D4153" s="30" t="str">
        <x:v>候选输入schema</x:v>
      </x:c>
      <x:c r="E4153" s="30" t="str">
        <x:v>按执行角色权限读取；策略只能使用可访问快照</x:v>
      </x:c>
    </x:row>
    <x:row r="4154" ht="32" customHeight="1">
      <x:c r="A4154" s="30" t="str">
        <x:v>A048</x:v>
      </x:c>
      <x:c r="B4154" s="30" t="str">
        <x:v>F312</x:v>
      </x:c>
      <x:c r="C4154" s="30" t="str">
        <x:v>compute.network_endpoint</x:v>
      </x:c>
      <x:c r="D4154" s="30" t="str">
        <x:v>候选输入schema</x:v>
      </x:c>
      <x:c r="E4154" s="30" t="str">
        <x:v>按执行角色权限读取；策略只能使用可访问快照</x:v>
      </x:c>
    </x:row>
    <x:row r="4155" ht="32" customHeight="1">
      <x:c r="A4155" s="30" t="str">
        <x:v>A048</x:v>
      </x:c>
      <x:c r="B4155" s="30" t="str">
        <x:v>F313</x:v>
      </x:c>
      <x:c r="C4155" s="30" t="str">
        <x:v>service.kind</x:v>
      </x:c>
      <x:c r="D4155" s="30" t="str">
        <x:v>候选输入schema</x:v>
      </x:c>
      <x:c r="E4155" s="30" t="str">
        <x:v>按执行角色权限读取；策略只能使用可访问快照</x:v>
      </x:c>
    </x:row>
    <x:row r="4156" ht="32" customHeight="1">
      <x:c r="A4156" s="30" t="str">
        <x:v>A048</x:v>
      </x:c>
      <x:c r="B4156" s="30" t="str">
        <x:v>F314</x:v>
      </x:c>
      <x:c r="C4156" s="30" t="str">
        <x:v>service.model_id</x:v>
      </x:c>
      <x:c r="D4156" s="30" t="str">
        <x:v>候选输入schema</x:v>
      </x:c>
      <x:c r="E4156" s="30" t="str">
        <x:v>按执行角色权限读取；策略只能使用可访问快照</x:v>
      </x:c>
    </x:row>
    <x:row r="4157" ht="32" customHeight="1">
      <x:c r="A4157" s="30" t="str">
        <x:v>A048</x:v>
      </x:c>
      <x:c r="B4157" s="30" t="str">
        <x:v>F315</x:v>
      </x:c>
      <x:c r="C4157" s="30" t="str">
        <x:v>service.version</x:v>
      </x:c>
      <x:c r="D4157" s="30" t="str">
        <x:v>候选输入schema</x:v>
      </x:c>
      <x:c r="E4157" s="30" t="str">
        <x:v>按执行角色权限读取；策略只能使用可访问快照</x:v>
      </x:c>
    </x:row>
    <x:row r="4158" ht="32" customHeight="1">
      <x:c r="A4158" s="30" t="str">
        <x:v>A048</x:v>
      </x:c>
      <x:c r="B4158" s="30" t="str">
        <x:v>F316</x:v>
      </x:c>
      <x:c r="C4158" s="30" t="str">
        <x:v>service.host_id</x:v>
      </x:c>
      <x:c r="D4158" s="30" t="str">
        <x:v>候选输入schema</x:v>
      </x:c>
      <x:c r="E4158" s="30" t="str">
        <x:v>按执行角色权限读取；策略只能使用可访问快照</x:v>
      </x:c>
    </x:row>
    <x:row r="4159" ht="32" customHeight="1">
      <x:c r="A4159" s="30" t="str">
        <x:v>A048</x:v>
      </x:c>
      <x:c r="B4159" s="30" t="str">
        <x:v>F317</x:v>
      </x:c>
      <x:c r="C4159" s="30" t="str">
        <x:v>service.status</x:v>
      </x:c>
      <x:c r="D4159" s="30" t="str">
        <x:v>候选输入schema</x:v>
      </x:c>
      <x:c r="E4159" s="30" t="str">
        <x:v>按执行角色权限读取；策略只能使用可访问快照</x:v>
      </x:c>
    </x:row>
    <x:row r="4160" ht="32" customHeight="1">
      <x:c r="A4160" s="30" t="str">
        <x:v>A048</x:v>
      </x:c>
      <x:c r="B4160" s="30" t="str">
        <x:v>F318</x:v>
      </x:c>
      <x:c r="C4160" s="30" t="str">
        <x:v>service.input_schema</x:v>
      </x:c>
      <x:c r="D4160" s="30" t="str">
        <x:v>候选输入schema</x:v>
      </x:c>
      <x:c r="E4160" s="30" t="str">
        <x:v>按执行角色权限读取；策略只能使用可访问快照</x:v>
      </x:c>
    </x:row>
    <x:row r="4161" ht="32" customHeight="1">
      <x:c r="A4161" s="30" t="str">
        <x:v>A048</x:v>
      </x:c>
      <x:c r="B4161" s="30" t="str">
        <x:v>F319</x:v>
      </x:c>
      <x:c r="C4161" s="30" t="str">
        <x:v>service.output_schema</x:v>
      </x:c>
      <x:c r="D4161" s="30" t="str">
        <x:v>候选输入schema</x:v>
      </x:c>
      <x:c r="E4161" s="30" t="str">
        <x:v>按执行角色权限读取；策略只能使用可访问快照</x:v>
      </x:c>
    </x:row>
    <x:row r="4162" ht="32" customHeight="1">
      <x:c r="A4162" s="30" t="str">
        <x:v>A048</x:v>
      </x:c>
      <x:c r="B4162" s="30" t="str">
        <x:v>F320</x:v>
      </x:c>
      <x:c r="C4162" s="30" t="str">
        <x:v>service.precision</x:v>
      </x:c>
      <x:c r="D4162" s="30" t="str">
        <x:v>候选输入schema</x:v>
      </x:c>
      <x:c r="E4162" s="30" t="str">
        <x:v>按执行角色权限读取；策略只能使用可访问快照</x:v>
      </x:c>
    </x:row>
    <x:row r="4163" ht="32" customHeight="1">
      <x:c r="A4163" s="30" t="str">
        <x:v>A048</x:v>
      </x:c>
      <x:c r="B4163" s="30" t="str">
        <x:v>F321</x:v>
      </x:c>
      <x:c r="C4163" s="30" t="str">
        <x:v>service.weights_bytes</x:v>
      </x:c>
      <x:c r="D4163" s="30" t="str">
        <x:v>候选输入schema</x:v>
      </x:c>
      <x:c r="E4163" s="30" t="str">
        <x:v>按执行角色权限读取；策略只能使用可访问快照</x:v>
      </x:c>
    </x:row>
    <x:row r="4164" ht="32" customHeight="1">
      <x:c r="A4164" s="30" t="str">
        <x:v>A048</x:v>
      </x:c>
      <x:c r="B4164" s="30" t="str">
        <x:v>F322</x:v>
      </x:c>
      <x:c r="C4164" s="30" t="str">
        <x:v>service.working_memory_bytes</x:v>
      </x:c>
      <x:c r="D4164" s="30" t="str">
        <x:v>候选输入schema</x:v>
      </x:c>
      <x:c r="E4164" s="30" t="str">
        <x:v>按执行角色权限读取；策略只能使用可访问快照</x:v>
      </x:c>
    </x:row>
    <x:row r="4165" ht="32" customHeight="1">
      <x:c r="A4165" s="30" t="str">
        <x:v>A048</x:v>
      </x:c>
      <x:c r="B4165" s="30" t="str">
        <x:v>F323</x:v>
      </x:c>
      <x:c r="C4165" s="30" t="str">
        <x:v>service.load_latency_profile</x:v>
      </x:c>
      <x:c r="D4165" s="30" t="str">
        <x:v>候选输入schema</x:v>
      </x:c>
      <x:c r="E4165" s="30" t="str">
        <x:v>按执行角色权限读取；策略只能使用可访问快照</x:v>
      </x:c>
    </x:row>
    <x:row r="4166" ht="32" customHeight="1">
      <x:c r="A4166" s="30" t="str">
        <x:v>A048</x:v>
      </x:c>
      <x:c r="B4166" s="30" t="str">
        <x:v>F324</x:v>
      </x:c>
      <x:c r="C4166" s="30" t="str">
        <x:v>service.batch_policy</x:v>
      </x:c>
      <x:c r="D4166" s="30" t="str">
        <x:v>候选输入schema</x:v>
      </x:c>
      <x:c r="E4166" s="30" t="str">
        <x:v>按执行角色权限读取；策略只能使用可访问快照</x:v>
      </x:c>
    </x:row>
    <x:row r="4167" ht="32" customHeight="1">
      <x:c r="A4167" s="30" t="str">
        <x:v>A048</x:v>
      </x:c>
      <x:c r="B4167" s="30" t="str">
        <x:v>F325</x:v>
      </x:c>
      <x:c r="C4167" s="30" t="str">
        <x:v>service.context_limit</x:v>
      </x:c>
      <x:c r="D4167" s="30" t="str">
        <x:v>候选输入schema</x:v>
      </x:c>
      <x:c r="E4167" s="30" t="str">
        <x:v>按执行角色权限读取；策略只能使用可访问快照</x:v>
      </x:c>
    </x:row>
    <x:row r="4168" ht="32" customHeight="1">
      <x:c r="A4168" s="30" t="str">
        <x:v>A048</x:v>
      </x:c>
      <x:c r="B4168" s="30" t="str">
        <x:v>F326</x:v>
      </x:c>
      <x:c r="C4168" s="30" t="str">
        <x:v>service.quality_profile</x:v>
      </x:c>
      <x:c r="D4168" s="30" t="str">
        <x:v>候选输入schema</x:v>
      </x:c>
      <x:c r="E4168" s="30" t="str">
        <x:v>按执行角色权限读取；策略只能使用可访问快照</x:v>
      </x:c>
    </x:row>
    <x:row r="4169" ht="32" customHeight="1">
      <x:c r="A4169" s="30" t="str">
        <x:v>A048</x:v>
      </x:c>
      <x:c r="B4169" s="30" t="str">
        <x:v>F327</x:v>
      </x:c>
      <x:c r="C4169" s="30" t="str">
        <x:v>service.compatible_representations</x:v>
      </x:c>
      <x:c r="D4169" s="30" t="str">
        <x:v>候选输入schema</x:v>
      </x:c>
      <x:c r="E4169" s="30" t="str">
        <x:v>按执行角色权限读取；策略只能使用可访问快照</x:v>
      </x:c>
    </x:row>
    <x:row r="4170" ht="32" customHeight="1">
      <x:c r="A4170" s="30" t="str">
        <x:v>A048</x:v>
      </x:c>
      <x:c r="B4170" s="30" t="str">
        <x:v>F328</x:v>
      </x:c>
      <x:c r="C4170" s="30" t="str">
        <x:v>service.licence_scope</x:v>
      </x:c>
      <x:c r="D4170" s="30" t="str">
        <x:v>候选输入schema</x:v>
      </x:c>
      <x:c r="E4170" s="30" t="str">
        <x:v>按执行角色权限读取；策略只能使用可访问快照</x:v>
      </x:c>
    </x:row>
    <x:row r="4171" ht="32" customHeight="1">
      <x:c r="A4171" s="30" t="str">
        <x:v>A048</x:v>
      </x:c>
      <x:c r="B4171" s="30" t="str">
        <x:v>F329</x:v>
      </x:c>
      <x:c r="C4171" s="30" t="str">
        <x:v>job.requester_id</x:v>
      </x:c>
      <x:c r="D4171" s="30" t="str">
        <x:v>候选输入schema</x:v>
      </x:c>
      <x:c r="E4171" s="30" t="str">
        <x:v>按执行角色权限读取；策略只能使用可访问快照</x:v>
      </x:c>
    </x:row>
    <x:row r="4172" ht="32" customHeight="1">
      <x:c r="A4172" s="30" t="str">
        <x:v>A048</x:v>
      </x:c>
      <x:c r="B4172" s="30" t="str">
        <x:v>F330</x:v>
      </x:c>
      <x:c r="C4172" s="30" t="str">
        <x:v>job.task_ref</x:v>
      </x:c>
      <x:c r="D4172" s="30" t="str">
        <x:v>候选输入schema</x:v>
      </x:c>
      <x:c r="E4172" s="30" t="str">
        <x:v>按执行角色权限读取；策略只能使用可访问快照</x:v>
      </x:c>
    </x:row>
    <x:row r="4173" ht="32" customHeight="1">
      <x:c r="A4173" s="30" t="str">
        <x:v>A048</x:v>
      </x:c>
      <x:c r="B4173" s="30" t="str">
        <x:v>F331</x:v>
      </x:c>
      <x:c r="C4173" s="30" t="str">
        <x:v>job.service_id</x:v>
      </x:c>
      <x:c r="D4173" s="30" t="str">
        <x:v>候选输入schema</x:v>
      </x:c>
      <x:c r="E4173" s="30" t="str">
        <x:v>按执行角色权限读取；策略只能使用可访问快照</x:v>
      </x:c>
    </x:row>
    <x:row r="4174" ht="32" customHeight="1">
      <x:c r="A4174" s="30" t="str">
        <x:v>A048</x:v>
      </x:c>
      <x:c r="B4174" s="30" t="str">
        <x:v>F332</x:v>
      </x:c>
      <x:c r="C4174" s="30" t="str">
        <x:v>job.input_evidence_ids</x:v>
      </x:c>
      <x:c r="D4174" s="30" t="str">
        <x:v>候选输入schema</x:v>
      </x:c>
      <x:c r="E4174" s="30" t="str">
        <x:v>按执行角色权限读取；策略只能使用可访问快照</x:v>
      </x:c>
    </x:row>
    <x:row r="4175" ht="32" customHeight="1">
      <x:c r="A4175" s="30" t="str">
        <x:v>A048</x:v>
      </x:c>
      <x:c r="B4175" s="30" t="str">
        <x:v>F333</x:v>
      </x:c>
      <x:c r="C4175" s="30" t="str">
        <x:v>job.input_bytes</x:v>
      </x:c>
      <x:c r="D4175" s="30" t="str">
        <x:v>候选输入schema</x:v>
      </x:c>
      <x:c r="E4175" s="30" t="str">
        <x:v>按执行角色权限读取；策略只能使用可访问快照</x:v>
      </x:c>
    </x:row>
    <x:row r="4176" ht="32" customHeight="1">
      <x:c r="A4176" s="30" t="str">
        <x:v>A048</x:v>
      </x:c>
      <x:c r="B4176" s="30" t="str">
        <x:v>F334</x:v>
      </x:c>
      <x:c r="C4176" s="30" t="str">
        <x:v>job.input_tokens</x:v>
      </x:c>
      <x:c r="D4176" s="30" t="str">
        <x:v>候选输入schema</x:v>
      </x:c>
      <x:c r="E4176" s="30" t="str">
        <x:v>按执行角色权限读取；策略只能使用可访问快照</x:v>
      </x:c>
    </x:row>
    <x:row r="4177" ht="32" customHeight="1">
      <x:c r="A4177" s="30" t="str">
        <x:v>A048</x:v>
      </x:c>
      <x:c r="B4177" s="30" t="str">
        <x:v>F335</x:v>
      </x:c>
      <x:c r="C4177" s="30" t="str">
        <x:v>job.output_tokens</x:v>
      </x:c>
      <x:c r="D4177" s="30" t="str">
        <x:v>候选输入schema</x:v>
      </x:c>
      <x:c r="E4177" s="30" t="str">
        <x:v>按执行角色权限读取；策略只能使用可访问快照</x:v>
      </x:c>
    </x:row>
    <x:row r="4178" ht="32" customHeight="1">
      <x:c r="A4178" s="30" t="str">
        <x:v>A048</x:v>
      </x:c>
      <x:c r="B4178" s="30" t="str">
        <x:v>F336</x:v>
      </x:c>
      <x:c r="C4178" s="30" t="str">
        <x:v>job.status</x:v>
      </x:c>
      <x:c r="D4178" s="30" t="str">
        <x:v>候选输入schema</x:v>
      </x:c>
      <x:c r="E4178" s="30" t="str">
        <x:v>按执行角色权限读取；策略只能使用可访问快照</x:v>
      </x:c>
    </x:row>
    <x:row r="4179" ht="32" customHeight="1">
      <x:c r="A4179" s="30" t="str">
        <x:v>A048</x:v>
      </x:c>
      <x:c r="B4179" s="30" t="str">
        <x:v>F337</x:v>
      </x:c>
      <x:c r="C4179" s="30" t="str">
        <x:v>job.queue_enter_s</x:v>
      </x:c>
      <x:c r="D4179" s="30" t="str">
        <x:v>候选输入schema</x:v>
      </x:c>
      <x:c r="E4179" s="30" t="str">
        <x:v>按执行角色权限读取；策略只能使用可访问快照</x:v>
      </x:c>
    </x:row>
    <x:row r="4180" ht="32" customHeight="1">
      <x:c r="A4180" s="30" t="str">
        <x:v>A048</x:v>
      </x:c>
      <x:c r="B4180" s="30" t="str">
        <x:v>F338</x:v>
      </x:c>
      <x:c r="C4180" s="30" t="str">
        <x:v>job.start_s</x:v>
      </x:c>
      <x:c r="D4180" s="30" t="str">
        <x:v>候选输入schema</x:v>
      </x:c>
      <x:c r="E4180" s="30" t="str">
        <x:v>按执行角色权限读取；策略只能使用可访问快照</x:v>
      </x:c>
    </x:row>
    <x:row r="4181" ht="32" customHeight="1">
      <x:c r="A4181" s="30" t="str">
        <x:v>A048</x:v>
      </x:c>
      <x:c r="B4181" s="30" t="str">
        <x:v>F339</x:v>
      </x:c>
      <x:c r="C4181" s="30" t="str">
        <x:v>job.finish_s</x:v>
      </x:c>
      <x:c r="D4181" s="30" t="str">
        <x:v>候选输入schema</x:v>
      </x:c>
      <x:c r="E4181" s="30" t="str">
        <x:v>按执行角色权限读取；策略只能使用可访问快照</x:v>
      </x:c>
    </x:row>
    <x:row r="4182" ht="32" customHeight="1">
      <x:c r="A4182" s="30" t="str">
        <x:v>A048</x:v>
      </x:c>
      <x:c r="B4182" s="30" t="str">
        <x:v>F340</x:v>
      </x:c>
      <x:c r="C4182" s="30" t="str">
        <x:v>job.deadline_s</x:v>
      </x:c>
      <x:c r="D4182" s="30" t="str">
        <x:v>候选输入schema</x:v>
      </x:c>
      <x:c r="E4182" s="30" t="str">
        <x:v>按执行角色权限读取；策略只能使用可访问快照</x:v>
      </x:c>
    </x:row>
    <x:row r="4183" ht="32" customHeight="1">
      <x:c r="A4183" s="30" t="str">
        <x:v>A048</x:v>
      </x:c>
      <x:c r="B4183" s="30" t="str">
        <x:v>F341</x:v>
      </x:c>
      <x:c r="C4183" s="30" t="str">
        <x:v>job.cpu_request</x:v>
      </x:c>
      <x:c r="D4183" s="30" t="str">
        <x:v>候选输入schema</x:v>
      </x:c>
      <x:c r="E4183" s="30" t="str">
        <x:v>按执行角色权限读取；策略只能使用可访问快照</x:v>
      </x:c>
    </x:row>
    <x:row r="4184" ht="32" customHeight="1">
      <x:c r="A4184" s="30" t="str">
        <x:v>A048</x:v>
      </x:c>
      <x:c r="B4184" s="30" t="str">
        <x:v>F342</x:v>
      </x:c>
      <x:c r="C4184" s="30" t="str">
        <x:v>job.memory_request_bytes</x:v>
      </x:c>
      <x:c r="D4184" s="30" t="str">
        <x:v>候选输入schema</x:v>
      </x:c>
      <x:c r="E4184" s="30" t="str">
        <x:v>按执行角色权限读取；策略只能使用可访问快照</x:v>
      </x:c>
    </x:row>
    <x:row r="4185" ht="32" customHeight="1">
      <x:c r="A4185" s="30" t="str">
        <x:v>A048</x:v>
      </x:c>
      <x:c r="B4185" s="30" t="str">
        <x:v>F343</x:v>
      </x:c>
      <x:c r="C4185" s="30" t="str">
        <x:v>job.prefill_s</x:v>
      </x:c>
      <x:c r="D4185" s="30" t="str">
        <x:v>候选输入schema</x:v>
      </x:c>
      <x:c r="E4185" s="30" t="str">
        <x:v>按执行角色权限读取；策略只能使用可访问快照</x:v>
      </x:c>
    </x:row>
    <x:row r="4186" ht="32" customHeight="1">
      <x:c r="A4186" s="30" t="str">
        <x:v>A048</x:v>
      </x:c>
      <x:c r="B4186" s="30" t="str">
        <x:v>F344</x:v>
      </x:c>
      <x:c r="C4186" s="30" t="str">
        <x:v>job.decode_s</x:v>
      </x:c>
      <x:c r="D4186" s="30" t="str">
        <x:v>候选输入schema</x:v>
      </x:c>
      <x:c r="E4186" s="30" t="str">
        <x:v>按执行角色权限读取；策略只能使用可访问快照</x:v>
      </x:c>
    </x:row>
    <x:row r="4187" ht="32" customHeight="1">
      <x:c r="A4187" s="30" t="str">
        <x:v>A048</x:v>
      </x:c>
      <x:c r="B4187" s="30" t="str">
        <x:v>F345</x:v>
      </x:c>
      <x:c r="C4187" s="30" t="str">
        <x:v>job.wall_time_s</x:v>
      </x:c>
      <x:c r="D4187" s="30" t="str">
        <x:v>候选输入schema</x:v>
      </x:c>
      <x:c r="E4187" s="30" t="str">
        <x:v>按执行角色权限读取；策略只能使用可访问快照</x:v>
      </x:c>
    </x:row>
    <x:row r="4188" ht="32" customHeight="1">
      <x:c r="A4188" s="30" t="str">
        <x:v>A048</x:v>
      </x:c>
      <x:c r="B4188" s="30" t="str">
        <x:v>F346</x:v>
      </x:c>
      <x:c r="C4188" s="30" t="str">
        <x:v>job.result_ref</x:v>
      </x:c>
      <x:c r="D4188" s="30" t="str">
        <x:v>候选输入schema</x:v>
      </x:c>
      <x:c r="E4188" s="30" t="str">
        <x:v>按执行角色权限读取；策略只能使用可访问快照</x:v>
      </x:c>
    </x:row>
    <x:row r="4189" ht="32" customHeight="1">
      <x:c r="A4189" s="30" t="str">
        <x:v>A048</x:v>
      </x:c>
      <x:c r="B4189" s="30" t="str">
        <x:v>F347</x:v>
      </x:c>
      <x:c r="C4189" s="30" t="str">
        <x:v>job.checkpoint_ref</x:v>
      </x:c>
      <x:c r="D4189" s="30" t="str">
        <x:v>候选输入schema</x:v>
      </x:c>
      <x:c r="E4189" s="30" t="str">
        <x:v>按执行角色权限读取；策略只能使用可访问快照</x:v>
      </x:c>
    </x:row>
    <x:row r="4190" ht="32" customHeight="1">
      <x:c r="A4190" s="30" t="str">
        <x:v>A048</x:v>
      </x:c>
      <x:c r="B4190" s="30" t="str">
        <x:v>F348</x:v>
      </x:c>
      <x:c r="C4190" s="30" t="str">
        <x:v>job.failure_reason</x:v>
      </x:c>
      <x:c r="D4190" s="30" t="str">
        <x:v>候选输入schema</x:v>
      </x:c>
      <x:c r="E4190" s="30" t="str">
        <x:v>按执行角色权限读取；策略只能使用可访问快照</x:v>
      </x:c>
    </x:row>
    <x:row r="4191" ht="32" customHeight="1">
      <x:c r="A4191" s="30" t="str">
        <x:v>A048</x:v>
      </x:c>
      <x:c r="B4191" s="30" t="str">
        <x:v>F336</x:v>
      </x:c>
      <x:c r="C4191" s="30" t="str">
        <x:v>job.status</x:v>
      </x:c>
      <x:c r="D4191" s="30" t="str">
        <x:v>直接效果</x:v>
      </x:c>
      <x:c r="E4191" s="30" t="str">
        <x:v>经实际执行/回执提交；不是规划时提前修改</x:v>
      </x:c>
    </x:row>
    <x:row r="4192" ht="32" customHeight="1">
      <x:c r="A4192" s="30" t="str">
        <x:v>A048</x:v>
      </x:c>
      <x:c r="B4192" s="30" t="str">
        <x:v>F348</x:v>
      </x:c>
      <x:c r="C4192" s="30" t="str">
        <x:v>job.failure_reason</x:v>
      </x:c>
      <x:c r="D4192" s="30" t="str">
        <x:v>直接效果</x:v>
      </x:c>
      <x:c r="E4192" s="30" t="str">
        <x:v>经实际执行/回执提交；不是规划时提前修改</x:v>
      </x:c>
    </x:row>
    <x:row r="4193" ht="32" customHeight="1">
      <x:c r="A4193" s="30" t="str">
        <x:v>A048</x:v>
      </x:c>
      <x:c r="B4193" s="30" t="str">
        <x:v>F302</x:v>
      </x:c>
      <x:c r="C4193" s="30" t="str">
        <x:v>compute.queue_ids</x:v>
      </x:c>
      <x:c r="D4193" s="30" t="str">
        <x:v>直接效果</x:v>
      </x:c>
      <x:c r="E4193" s="30" t="str">
        <x:v>经实际执行/回执提交；不是规划时提前修改</x:v>
      </x:c>
    </x:row>
    <x:row r="4194" ht="32" customHeight="1">
      <x:c r="A4194" s="30" t="str">
        <x:v>A048</x:v>
      </x:c>
      <x:c r="B4194" s="30" t="str">
        <x:v>F303</x:v>
      </x:c>
      <x:c r="C4194" s="30" t="str">
        <x:v>compute.running_job_ids</x:v>
      </x:c>
      <x:c r="D4194" s="30" t="str">
        <x:v>直接效果</x:v>
      </x:c>
      <x:c r="E4194" s="30" t="str">
        <x:v>经实际执行/回执提交；不是规划时提前修改</x:v>
      </x:c>
    </x:row>
    <x:row r="4195" ht="32" customHeight="1">
      <x:c r="A4195" s="30" t="str">
        <x:v>A049</x:v>
      </x:c>
      <x:c r="B4195" s="30" t="str">
        <x:v>F293</x:v>
      </x:c>
      <x:c r="C4195" s="30" t="str">
        <x:v>compute.node_id</x:v>
      </x:c>
      <x:c r="D4195" s="30" t="str">
        <x:v>候选输入schema</x:v>
      </x:c>
      <x:c r="E4195" s="30" t="str">
        <x:v>按执行角色权限读取；策略只能使用可访问快照</x:v>
      </x:c>
    </x:row>
    <x:row r="4196" ht="32" customHeight="1">
      <x:c r="A4196" s="30" t="str">
        <x:v>A049</x:v>
      </x:c>
      <x:c r="B4196" s="30" t="str">
        <x:v>F294</x:v>
      </x:c>
      <x:c r="C4196" s="30" t="str">
        <x:v>compute.device_kind</x:v>
      </x:c>
      <x:c r="D4196" s="30" t="str">
        <x:v>候选输入schema</x:v>
      </x:c>
      <x:c r="E4196" s="30" t="str">
        <x:v>按执行角色权限读取；策略只能使用可访问快照</x:v>
      </x:c>
    </x:row>
    <x:row r="4197" ht="32" customHeight="1">
      <x:c r="A4197" s="30" t="str">
        <x:v>A049</x:v>
      </x:c>
      <x:c r="B4197" s="30" t="str">
        <x:v>F295</x:v>
      </x:c>
      <x:c r="C4197" s="30" t="str">
        <x:v>compute.cpu_capacity</x:v>
      </x:c>
      <x:c r="D4197" s="30" t="str">
        <x:v>候选输入schema</x:v>
      </x:c>
      <x:c r="E4197" s="30" t="str">
        <x:v>按执行角色权限读取；策略只能使用可访问快照</x:v>
      </x:c>
    </x:row>
    <x:row r="4198" ht="32" customHeight="1">
      <x:c r="A4198" s="30" t="str">
        <x:v>A049</x:v>
      </x:c>
      <x:c r="B4198" s="30" t="str">
        <x:v>F296</x:v>
      </x:c>
      <x:c r="C4198" s="30" t="str">
        <x:v>compute.accelerator_capacity</x:v>
      </x:c>
      <x:c r="D4198" s="30" t="str">
        <x:v>候选输入schema</x:v>
      </x:c>
      <x:c r="E4198" s="30" t="str">
        <x:v>按执行角色权限读取；策略只能使用可访问快照</x:v>
      </x:c>
    </x:row>
    <x:row r="4199" ht="32" customHeight="1">
      <x:c r="A4199" s="30" t="str">
        <x:v>A049</x:v>
      </x:c>
      <x:c r="B4199" s="30" t="str">
        <x:v>F297</x:v>
      </x:c>
      <x:c r="C4199" s="30" t="str">
        <x:v>compute.memory_capacity_bytes</x:v>
      </x:c>
      <x:c r="D4199" s="30" t="str">
        <x:v>候选输入schema</x:v>
      </x:c>
      <x:c r="E4199" s="30" t="str">
        <x:v>按执行角色权限读取；策略只能使用可访问快照</x:v>
      </x:c>
    </x:row>
    <x:row r="4200" ht="32" customHeight="1">
      <x:c r="A4200" s="30" t="str">
        <x:v>A049</x:v>
      </x:c>
      <x:c r="B4200" s="30" t="str">
        <x:v>F298</x:v>
      </x:c>
      <x:c r="C4200" s="30" t="str">
        <x:v>compute.memory_used_bytes</x:v>
      </x:c>
      <x:c r="D4200" s="30" t="str">
        <x:v>候选输入schema</x:v>
      </x:c>
      <x:c r="E4200" s="30" t="str">
        <x:v>按执行角色权限读取；策略只能使用可访问快照</x:v>
      </x:c>
    </x:row>
    <x:row r="4201" ht="32" customHeight="1">
      <x:c r="A4201" s="30" t="str">
        <x:v>A049</x:v>
      </x:c>
      <x:c r="B4201" s="30" t="str">
        <x:v>F299</x:v>
      </x:c>
      <x:c r="C4201" s="30" t="str">
        <x:v>compute.cpu_allocated</x:v>
      </x:c>
      <x:c r="D4201" s="30" t="str">
        <x:v>候选输入schema</x:v>
      </x:c>
      <x:c r="E4201" s="30" t="str">
        <x:v>按执行角色权限读取；策略只能使用可访问快照</x:v>
      </x:c>
    </x:row>
    <x:row r="4202" ht="32" customHeight="1">
      <x:c r="A4202" s="30" t="str">
        <x:v>A049</x:v>
      </x:c>
      <x:c r="B4202" s="30" t="str">
        <x:v>F300</x:v>
      </x:c>
      <x:c r="C4202" s="30" t="str">
        <x:v>compute.accelerator_allocated</x:v>
      </x:c>
      <x:c r="D4202" s="30" t="str">
        <x:v>候选输入schema</x:v>
      </x:c>
      <x:c r="E4202" s="30" t="str">
        <x:v>按执行角色权限读取；策略只能使用可访问快照</x:v>
      </x:c>
    </x:row>
    <x:row r="4203" ht="32" customHeight="1">
      <x:c r="A4203" s="30" t="str">
        <x:v>A049</x:v>
      </x:c>
      <x:c r="B4203" s="30" t="str">
        <x:v>F301</x:v>
      </x:c>
      <x:c r="C4203" s="30" t="str">
        <x:v>compute.max_concurrency</x:v>
      </x:c>
      <x:c r="D4203" s="30" t="str">
        <x:v>候选输入schema</x:v>
      </x:c>
      <x:c r="E4203" s="30" t="str">
        <x:v>按执行角色权限读取；策略只能使用可访问快照</x:v>
      </x:c>
    </x:row>
    <x:row r="4204" ht="32" customHeight="1">
      <x:c r="A4204" s="30" t="str">
        <x:v>A049</x:v>
      </x:c>
      <x:c r="B4204" s="30" t="str">
        <x:v>F302</x:v>
      </x:c>
      <x:c r="C4204" s="30" t="str">
        <x:v>compute.queue_ids</x:v>
      </x:c>
      <x:c r="D4204" s="30" t="str">
        <x:v>候选输入schema</x:v>
      </x:c>
      <x:c r="E4204" s="30" t="str">
        <x:v>按执行角色权限读取；策略只能使用可访问快照</x:v>
      </x:c>
    </x:row>
    <x:row r="4205" ht="32" customHeight="1">
      <x:c r="A4205" s="30" t="str">
        <x:v>A049</x:v>
      </x:c>
      <x:c r="B4205" s="30" t="str">
        <x:v>F303</x:v>
      </x:c>
      <x:c r="C4205" s="30" t="str">
        <x:v>compute.running_job_ids</x:v>
      </x:c>
      <x:c r="D4205" s="30" t="str">
        <x:v>候选输入schema</x:v>
      </x:c>
      <x:c r="E4205" s="30" t="str">
        <x:v>按执行角色权限读取；策略只能使用可访问快照</x:v>
      </x:c>
    </x:row>
    <x:row r="4206" ht="32" customHeight="1">
      <x:c r="A4206" s="30" t="str">
        <x:v>A049</x:v>
      </x:c>
      <x:c r="B4206" s="30" t="str">
        <x:v>F304</x:v>
      </x:c>
      <x:c r="C4206" s="30" t="str">
        <x:v>compute.availability</x:v>
      </x:c>
      <x:c r="D4206" s="30" t="str">
        <x:v>候选输入schema</x:v>
      </x:c>
      <x:c r="E4206" s="30" t="str">
        <x:v>按执行角色权限读取；策略只能使用可访问快照</x:v>
      </x:c>
    </x:row>
    <x:row r="4207" ht="32" customHeight="1">
      <x:c r="A4207" s="30" t="str">
        <x:v>A049</x:v>
      </x:c>
      <x:c r="B4207" s="30" t="str">
        <x:v>F305</x:v>
      </x:c>
      <x:c r="C4207" s="30" t="str">
        <x:v>compute.power_model</x:v>
      </x:c>
      <x:c r="D4207" s="30" t="str">
        <x:v>候选输入schema</x:v>
      </x:c>
      <x:c r="E4207" s="30" t="str">
        <x:v>按执行角色权限读取；策略只能使用可访问快照</x:v>
      </x:c>
    </x:row>
    <x:row r="4208" ht="32" customHeight="1">
      <x:c r="A4208" s="30" t="str">
        <x:v>A049</x:v>
      </x:c>
      <x:c r="B4208" s="30" t="str">
        <x:v>F306</x:v>
      </x:c>
      <x:c r="C4208" s="30" t="str">
        <x:v>compute.energy_Wh</x:v>
      </x:c>
      <x:c r="D4208" s="30" t="str">
        <x:v>候选输入schema</x:v>
      </x:c>
      <x:c r="E4208" s="30" t="str">
        <x:v>按执行角色权限读取；策略只能使用可访问快照</x:v>
      </x:c>
    </x:row>
    <x:row r="4209" ht="32" customHeight="1">
      <x:c r="A4209" s="30" t="str">
        <x:v>A049</x:v>
      </x:c>
      <x:c r="B4209" s="30" t="str">
        <x:v>F307</x:v>
      </x:c>
      <x:c r="C4209" s="30" t="str">
        <x:v>compute.service_ids</x:v>
      </x:c>
      <x:c r="D4209" s="30" t="str">
        <x:v>候选输入schema</x:v>
      </x:c>
      <x:c r="E4209" s="30" t="str">
        <x:v>按执行角色权限读取；策略只能使用可访问快照</x:v>
      </x:c>
    </x:row>
    <x:row r="4210" ht="32" customHeight="1">
      <x:c r="A4210" s="30" t="str">
        <x:v>A049</x:v>
      </x:c>
      <x:c r="B4210" s="30" t="str">
        <x:v>F308</x:v>
      </x:c>
      <x:c r="C4210" s="30" t="str">
        <x:v>compute.storage_free_bytes</x:v>
      </x:c>
      <x:c r="D4210" s="30" t="str">
        <x:v>候选输入schema</x:v>
      </x:c>
      <x:c r="E4210" s="30" t="str">
        <x:v>按执行角色权限读取；策略只能使用可访问快照</x:v>
      </x:c>
    </x:row>
    <x:row r="4211" ht="32" customHeight="1">
      <x:c r="A4211" s="30" t="str">
        <x:v>A049</x:v>
      </x:c>
      <x:c r="B4211" s="30" t="str">
        <x:v>F309</x:v>
      </x:c>
      <x:c r="C4211" s="30" t="str">
        <x:v>compute.clock_policy</x:v>
      </x:c>
      <x:c r="D4211" s="30" t="str">
        <x:v>候选输入schema</x:v>
      </x:c>
      <x:c r="E4211" s="30" t="str">
        <x:v>按执行角色权限读取；策略只能使用可访问快照</x:v>
      </x:c>
    </x:row>
    <x:row r="4212" ht="32" customHeight="1">
      <x:c r="A4212" s="30" t="str">
        <x:v>A049</x:v>
      </x:c>
      <x:c r="B4212" s="30" t="str">
        <x:v>F310</x:v>
      </x:c>
      <x:c r="C4212" s="30" t="str">
        <x:v>compute.timing_profile_id</x:v>
      </x:c>
      <x:c r="D4212" s="30" t="str">
        <x:v>候选输入schema</x:v>
      </x:c>
      <x:c r="E4212" s="30" t="str">
        <x:v>按执行角色权限读取；策略只能使用可访问快照</x:v>
      </x:c>
    </x:row>
    <x:row r="4213" ht="32" customHeight="1">
      <x:c r="A4213" s="30" t="str">
        <x:v>A049</x:v>
      </x:c>
      <x:c r="B4213" s="30" t="str">
        <x:v>F311</x:v>
      </x:c>
      <x:c r="C4213" s="30" t="str">
        <x:v>compute.temperature_state</x:v>
      </x:c>
      <x:c r="D4213" s="30" t="str">
        <x:v>候选输入schema</x:v>
      </x:c>
      <x:c r="E4213" s="30" t="str">
        <x:v>按执行角色权限读取；策略只能使用可访问快照</x:v>
      </x:c>
    </x:row>
    <x:row r="4214" ht="32" customHeight="1">
      <x:c r="A4214" s="30" t="str">
        <x:v>A049</x:v>
      </x:c>
      <x:c r="B4214" s="30" t="str">
        <x:v>F312</x:v>
      </x:c>
      <x:c r="C4214" s="30" t="str">
        <x:v>compute.network_endpoint</x:v>
      </x:c>
      <x:c r="D4214" s="30" t="str">
        <x:v>候选输入schema</x:v>
      </x:c>
      <x:c r="E4214" s="30" t="str">
        <x:v>按执行角色权限读取；策略只能使用可访问快照</x:v>
      </x:c>
    </x:row>
    <x:row r="4215" ht="32" customHeight="1">
      <x:c r="A4215" s="30" t="str">
        <x:v>A049</x:v>
      </x:c>
      <x:c r="B4215" s="30" t="str">
        <x:v>F313</x:v>
      </x:c>
      <x:c r="C4215" s="30" t="str">
        <x:v>service.kind</x:v>
      </x:c>
      <x:c r="D4215" s="30" t="str">
        <x:v>候选输入schema</x:v>
      </x:c>
      <x:c r="E4215" s="30" t="str">
        <x:v>按执行角色权限读取；策略只能使用可访问快照</x:v>
      </x:c>
    </x:row>
    <x:row r="4216" ht="32" customHeight="1">
      <x:c r="A4216" s="30" t="str">
        <x:v>A049</x:v>
      </x:c>
      <x:c r="B4216" s="30" t="str">
        <x:v>F314</x:v>
      </x:c>
      <x:c r="C4216" s="30" t="str">
        <x:v>service.model_id</x:v>
      </x:c>
      <x:c r="D4216" s="30" t="str">
        <x:v>候选输入schema</x:v>
      </x:c>
      <x:c r="E4216" s="30" t="str">
        <x:v>按执行角色权限读取；策略只能使用可访问快照</x:v>
      </x:c>
    </x:row>
    <x:row r="4217" ht="32" customHeight="1">
      <x:c r="A4217" s="30" t="str">
        <x:v>A049</x:v>
      </x:c>
      <x:c r="B4217" s="30" t="str">
        <x:v>F315</x:v>
      </x:c>
      <x:c r="C4217" s="30" t="str">
        <x:v>service.version</x:v>
      </x:c>
      <x:c r="D4217" s="30" t="str">
        <x:v>候选输入schema</x:v>
      </x:c>
      <x:c r="E4217" s="30" t="str">
        <x:v>按执行角色权限读取；策略只能使用可访问快照</x:v>
      </x:c>
    </x:row>
    <x:row r="4218" ht="32" customHeight="1">
      <x:c r="A4218" s="30" t="str">
        <x:v>A049</x:v>
      </x:c>
      <x:c r="B4218" s="30" t="str">
        <x:v>F316</x:v>
      </x:c>
      <x:c r="C4218" s="30" t="str">
        <x:v>service.host_id</x:v>
      </x:c>
      <x:c r="D4218" s="30" t="str">
        <x:v>候选输入schema</x:v>
      </x:c>
      <x:c r="E4218" s="30" t="str">
        <x:v>按执行角色权限读取；策略只能使用可访问快照</x:v>
      </x:c>
    </x:row>
    <x:row r="4219" ht="32" customHeight="1">
      <x:c r="A4219" s="30" t="str">
        <x:v>A049</x:v>
      </x:c>
      <x:c r="B4219" s="30" t="str">
        <x:v>F317</x:v>
      </x:c>
      <x:c r="C4219" s="30" t="str">
        <x:v>service.status</x:v>
      </x:c>
      <x:c r="D4219" s="30" t="str">
        <x:v>候选输入schema</x:v>
      </x:c>
      <x:c r="E4219" s="30" t="str">
        <x:v>按执行角色权限读取；策略只能使用可访问快照</x:v>
      </x:c>
    </x:row>
    <x:row r="4220" ht="32" customHeight="1">
      <x:c r="A4220" s="30" t="str">
        <x:v>A049</x:v>
      </x:c>
      <x:c r="B4220" s="30" t="str">
        <x:v>F318</x:v>
      </x:c>
      <x:c r="C4220" s="30" t="str">
        <x:v>service.input_schema</x:v>
      </x:c>
      <x:c r="D4220" s="30" t="str">
        <x:v>候选输入schema</x:v>
      </x:c>
      <x:c r="E4220" s="30" t="str">
        <x:v>按执行角色权限读取；策略只能使用可访问快照</x:v>
      </x:c>
    </x:row>
    <x:row r="4221" ht="32" customHeight="1">
      <x:c r="A4221" s="30" t="str">
        <x:v>A049</x:v>
      </x:c>
      <x:c r="B4221" s="30" t="str">
        <x:v>F319</x:v>
      </x:c>
      <x:c r="C4221" s="30" t="str">
        <x:v>service.output_schema</x:v>
      </x:c>
      <x:c r="D4221" s="30" t="str">
        <x:v>候选输入schema</x:v>
      </x:c>
      <x:c r="E4221" s="30" t="str">
        <x:v>按执行角色权限读取；策略只能使用可访问快照</x:v>
      </x:c>
    </x:row>
    <x:row r="4222" ht="32" customHeight="1">
      <x:c r="A4222" s="30" t="str">
        <x:v>A049</x:v>
      </x:c>
      <x:c r="B4222" s="30" t="str">
        <x:v>F320</x:v>
      </x:c>
      <x:c r="C4222" s="30" t="str">
        <x:v>service.precision</x:v>
      </x:c>
      <x:c r="D4222" s="30" t="str">
        <x:v>候选输入schema</x:v>
      </x:c>
      <x:c r="E4222" s="30" t="str">
        <x:v>按执行角色权限读取；策略只能使用可访问快照</x:v>
      </x:c>
    </x:row>
    <x:row r="4223" ht="32" customHeight="1">
      <x:c r="A4223" s="30" t="str">
        <x:v>A049</x:v>
      </x:c>
      <x:c r="B4223" s="30" t="str">
        <x:v>F321</x:v>
      </x:c>
      <x:c r="C4223" s="30" t="str">
        <x:v>service.weights_bytes</x:v>
      </x:c>
      <x:c r="D4223" s="30" t="str">
        <x:v>候选输入schema</x:v>
      </x:c>
      <x:c r="E4223" s="30" t="str">
        <x:v>按执行角色权限读取；策略只能使用可访问快照</x:v>
      </x:c>
    </x:row>
    <x:row r="4224" ht="32" customHeight="1">
      <x:c r="A4224" s="30" t="str">
        <x:v>A049</x:v>
      </x:c>
      <x:c r="B4224" s="30" t="str">
        <x:v>F322</x:v>
      </x:c>
      <x:c r="C4224" s="30" t="str">
        <x:v>service.working_memory_bytes</x:v>
      </x:c>
      <x:c r="D4224" s="30" t="str">
        <x:v>候选输入schema</x:v>
      </x:c>
      <x:c r="E4224" s="30" t="str">
        <x:v>按执行角色权限读取；策略只能使用可访问快照</x:v>
      </x:c>
    </x:row>
    <x:row r="4225" ht="32" customHeight="1">
      <x:c r="A4225" s="30" t="str">
        <x:v>A049</x:v>
      </x:c>
      <x:c r="B4225" s="30" t="str">
        <x:v>F323</x:v>
      </x:c>
      <x:c r="C4225" s="30" t="str">
        <x:v>service.load_latency_profile</x:v>
      </x:c>
      <x:c r="D4225" s="30" t="str">
        <x:v>候选输入schema</x:v>
      </x:c>
      <x:c r="E4225" s="30" t="str">
        <x:v>按执行角色权限读取；策略只能使用可访问快照</x:v>
      </x:c>
    </x:row>
    <x:row r="4226" ht="32" customHeight="1">
      <x:c r="A4226" s="30" t="str">
        <x:v>A049</x:v>
      </x:c>
      <x:c r="B4226" s="30" t="str">
        <x:v>F324</x:v>
      </x:c>
      <x:c r="C4226" s="30" t="str">
        <x:v>service.batch_policy</x:v>
      </x:c>
      <x:c r="D4226" s="30" t="str">
        <x:v>候选输入schema</x:v>
      </x:c>
      <x:c r="E4226" s="30" t="str">
        <x:v>按执行角色权限读取；策略只能使用可访问快照</x:v>
      </x:c>
    </x:row>
    <x:row r="4227" ht="32" customHeight="1">
      <x:c r="A4227" s="30" t="str">
        <x:v>A049</x:v>
      </x:c>
      <x:c r="B4227" s="30" t="str">
        <x:v>F325</x:v>
      </x:c>
      <x:c r="C4227" s="30" t="str">
        <x:v>service.context_limit</x:v>
      </x:c>
      <x:c r="D4227" s="30" t="str">
        <x:v>候选输入schema</x:v>
      </x:c>
      <x:c r="E4227" s="30" t="str">
        <x:v>按执行角色权限读取；策略只能使用可访问快照</x:v>
      </x:c>
    </x:row>
    <x:row r="4228" ht="32" customHeight="1">
      <x:c r="A4228" s="30" t="str">
        <x:v>A049</x:v>
      </x:c>
      <x:c r="B4228" s="30" t="str">
        <x:v>F326</x:v>
      </x:c>
      <x:c r="C4228" s="30" t="str">
        <x:v>service.quality_profile</x:v>
      </x:c>
      <x:c r="D4228" s="30" t="str">
        <x:v>候选输入schema</x:v>
      </x:c>
      <x:c r="E4228" s="30" t="str">
        <x:v>按执行角色权限读取；策略只能使用可访问快照</x:v>
      </x:c>
    </x:row>
    <x:row r="4229" ht="32" customHeight="1">
      <x:c r="A4229" s="30" t="str">
        <x:v>A049</x:v>
      </x:c>
      <x:c r="B4229" s="30" t="str">
        <x:v>F327</x:v>
      </x:c>
      <x:c r="C4229" s="30" t="str">
        <x:v>service.compatible_representations</x:v>
      </x:c>
      <x:c r="D4229" s="30" t="str">
        <x:v>候选输入schema</x:v>
      </x:c>
      <x:c r="E4229" s="30" t="str">
        <x:v>按执行角色权限读取；策略只能使用可访问快照</x:v>
      </x:c>
    </x:row>
    <x:row r="4230" ht="32" customHeight="1">
      <x:c r="A4230" s="30" t="str">
        <x:v>A049</x:v>
      </x:c>
      <x:c r="B4230" s="30" t="str">
        <x:v>F328</x:v>
      </x:c>
      <x:c r="C4230" s="30" t="str">
        <x:v>service.licence_scope</x:v>
      </x:c>
      <x:c r="D4230" s="30" t="str">
        <x:v>候选输入schema</x:v>
      </x:c>
      <x:c r="E4230" s="30" t="str">
        <x:v>按执行角色权限读取；策略只能使用可访问快照</x:v>
      </x:c>
    </x:row>
    <x:row r="4231" ht="32" customHeight="1">
      <x:c r="A4231" s="30" t="str">
        <x:v>A049</x:v>
      </x:c>
      <x:c r="B4231" s="30" t="str">
        <x:v>F329</x:v>
      </x:c>
      <x:c r="C4231" s="30" t="str">
        <x:v>job.requester_id</x:v>
      </x:c>
      <x:c r="D4231" s="30" t="str">
        <x:v>候选输入schema</x:v>
      </x:c>
      <x:c r="E4231" s="30" t="str">
        <x:v>按执行角色权限读取；策略只能使用可访问快照</x:v>
      </x:c>
    </x:row>
    <x:row r="4232" ht="32" customHeight="1">
      <x:c r="A4232" s="30" t="str">
        <x:v>A049</x:v>
      </x:c>
      <x:c r="B4232" s="30" t="str">
        <x:v>F330</x:v>
      </x:c>
      <x:c r="C4232" s="30" t="str">
        <x:v>job.task_ref</x:v>
      </x:c>
      <x:c r="D4232" s="30" t="str">
        <x:v>候选输入schema</x:v>
      </x:c>
      <x:c r="E4232" s="30" t="str">
        <x:v>按执行角色权限读取；策略只能使用可访问快照</x:v>
      </x:c>
    </x:row>
    <x:row r="4233" ht="32" customHeight="1">
      <x:c r="A4233" s="30" t="str">
        <x:v>A049</x:v>
      </x:c>
      <x:c r="B4233" s="30" t="str">
        <x:v>F331</x:v>
      </x:c>
      <x:c r="C4233" s="30" t="str">
        <x:v>job.service_id</x:v>
      </x:c>
      <x:c r="D4233" s="30" t="str">
        <x:v>候选输入schema</x:v>
      </x:c>
      <x:c r="E4233" s="30" t="str">
        <x:v>按执行角色权限读取；策略只能使用可访问快照</x:v>
      </x:c>
    </x:row>
    <x:row r="4234" ht="32" customHeight="1">
      <x:c r="A4234" s="30" t="str">
        <x:v>A049</x:v>
      </x:c>
      <x:c r="B4234" s="30" t="str">
        <x:v>F332</x:v>
      </x:c>
      <x:c r="C4234" s="30" t="str">
        <x:v>job.input_evidence_ids</x:v>
      </x:c>
      <x:c r="D4234" s="30" t="str">
        <x:v>候选输入schema</x:v>
      </x:c>
      <x:c r="E4234" s="30" t="str">
        <x:v>按执行角色权限读取；策略只能使用可访问快照</x:v>
      </x:c>
    </x:row>
    <x:row r="4235" ht="32" customHeight="1">
      <x:c r="A4235" s="30" t="str">
        <x:v>A049</x:v>
      </x:c>
      <x:c r="B4235" s="30" t="str">
        <x:v>F333</x:v>
      </x:c>
      <x:c r="C4235" s="30" t="str">
        <x:v>job.input_bytes</x:v>
      </x:c>
      <x:c r="D4235" s="30" t="str">
        <x:v>候选输入schema</x:v>
      </x:c>
      <x:c r="E4235" s="30" t="str">
        <x:v>按执行角色权限读取；策略只能使用可访问快照</x:v>
      </x:c>
    </x:row>
    <x:row r="4236" ht="32" customHeight="1">
      <x:c r="A4236" s="30" t="str">
        <x:v>A049</x:v>
      </x:c>
      <x:c r="B4236" s="30" t="str">
        <x:v>F334</x:v>
      </x:c>
      <x:c r="C4236" s="30" t="str">
        <x:v>job.input_tokens</x:v>
      </x:c>
      <x:c r="D4236" s="30" t="str">
        <x:v>候选输入schema</x:v>
      </x:c>
      <x:c r="E4236" s="30" t="str">
        <x:v>按执行角色权限读取；策略只能使用可访问快照</x:v>
      </x:c>
    </x:row>
    <x:row r="4237" ht="32" customHeight="1">
      <x:c r="A4237" s="30" t="str">
        <x:v>A049</x:v>
      </x:c>
      <x:c r="B4237" s="30" t="str">
        <x:v>F335</x:v>
      </x:c>
      <x:c r="C4237" s="30" t="str">
        <x:v>job.output_tokens</x:v>
      </x:c>
      <x:c r="D4237" s="30" t="str">
        <x:v>候选输入schema</x:v>
      </x:c>
      <x:c r="E4237" s="30" t="str">
        <x:v>按执行角色权限读取；策略只能使用可访问快照</x:v>
      </x:c>
    </x:row>
    <x:row r="4238" ht="32" customHeight="1">
      <x:c r="A4238" s="30" t="str">
        <x:v>A049</x:v>
      </x:c>
      <x:c r="B4238" s="30" t="str">
        <x:v>F336</x:v>
      </x:c>
      <x:c r="C4238" s="30" t="str">
        <x:v>job.status</x:v>
      </x:c>
      <x:c r="D4238" s="30" t="str">
        <x:v>候选输入schema</x:v>
      </x:c>
      <x:c r="E4238" s="30" t="str">
        <x:v>按执行角色权限读取；策略只能使用可访问快照</x:v>
      </x:c>
    </x:row>
    <x:row r="4239" ht="32" customHeight="1">
      <x:c r="A4239" s="30" t="str">
        <x:v>A049</x:v>
      </x:c>
      <x:c r="B4239" s="30" t="str">
        <x:v>F337</x:v>
      </x:c>
      <x:c r="C4239" s="30" t="str">
        <x:v>job.queue_enter_s</x:v>
      </x:c>
      <x:c r="D4239" s="30" t="str">
        <x:v>候选输入schema</x:v>
      </x:c>
      <x:c r="E4239" s="30" t="str">
        <x:v>按执行角色权限读取；策略只能使用可访问快照</x:v>
      </x:c>
    </x:row>
    <x:row r="4240" ht="32" customHeight="1">
      <x:c r="A4240" s="30" t="str">
        <x:v>A049</x:v>
      </x:c>
      <x:c r="B4240" s="30" t="str">
        <x:v>F338</x:v>
      </x:c>
      <x:c r="C4240" s="30" t="str">
        <x:v>job.start_s</x:v>
      </x:c>
      <x:c r="D4240" s="30" t="str">
        <x:v>候选输入schema</x:v>
      </x:c>
      <x:c r="E4240" s="30" t="str">
        <x:v>按执行角色权限读取；策略只能使用可访问快照</x:v>
      </x:c>
    </x:row>
    <x:row r="4241" ht="32" customHeight="1">
      <x:c r="A4241" s="30" t="str">
        <x:v>A049</x:v>
      </x:c>
      <x:c r="B4241" s="30" t="str">
        <x:v>F339</x:v>
      </x:c>
      <x:c r="C4241" s="30" t="str">
        <x:v>job.finish_s</x:v>
      </x:c>
      <x:c r="D4241" s="30" t="str">
        <x:v>候选输入schema</x:v>
      </x:c>
      <x:c r="E4241" s="30" t="str">
        <x:v>按执行角色权限读取；策略只能使用可访问快照</x:v>
      </x:c>
    </x:row>
    <x:row r="4242" ht="32" customHeight="1">
      <x:c r="A4242" s="30" t="str">
        <x:v>A049</x:v>
      </x:c>
      <x:c r="B4242" s="30" t="str">
        <x:v>F340</x:v>
      </x:c>
      <x:c r="C4242" s="30" t="str">
        <x:v>job.deadline_s</x:v>
      </x:c>
      <x:c r="D4242" s="30" t="str">
        <x:v>候选输入schema</x:v>
      </x:c>
      <x:c r="E4242" s="30" t="str">
        <x:v>按执行角色权限读取；策略只能使用可访问快照</x:v>
      </x:c>
    </x:row>
    <x:row r="4243" ht="32" customHeight="1">
      <x:c r="A4243" s="30" t="str">
        <x:v>A049</x:v>
      </x:c>
      <x:c r="B4243" s="30" t="str">
        <x:v>F341</x:v>
      </x:c>
      <x:c r="C4243" s="30" t="str">
        <x:v>job.cpu_request</x:v>
      </x:c>
      <x:c r="D4243" s="30" t="str">
        <x:v>候选输入schema</x:v>
      </x:c>
      <x:c r="E4243" s="30" t="str">
        <x:v>按执行角色权限读取；策略只能使用可访问快照</x:v>
      </x:c>
    </x:row>
    <x:row r="4244" ht="32" customHeight="1">
      <x:c r="A4244" s="30" t="str">
        <x:v>A049</x:v>
      </x:c>
      <x:c r="B4244" s="30" t="str">
        <x:v>F342</x:v>
      </x:c>
      <x:c r="C4244" s="30" t="str">
        <x:v>job.memory_request_bytes</x:v>
      </x:c>
      <x:c r="D4244" s="30" t="str">
        <x:v>候选输入schema</x:v>
      </x:c>
      <x:c r="E4244" s="30" t="str">
        <x:v>按执行角色权限读取；策略只能使用可访问快照</x:v>
      </x:c>
    </x:row>
    <x:row r="4245" ht="32" customHeight="1">
      <x:c r="A4245" s="30" t="str">
        <x:v>A049</x:v>
      </x:c>
      <x:c r="B4245" s="30" t="str">
        <x:v>F343</x:v>
      </x:c>
      <x:c r="C4245" s="30" t="str">
        <x:v>job.prefill_s</x:v>
      </x:c>
      <x:c r="D4245" s="30" t="str">
        <x:v>候选输入schema</x:v>
      </x:c>
      <x:c r="E4245" s="30" t="str">
        <x:v>按执行角色权限读取；策略只能使用可访问快照</x:v>
      </x:c>
    </x:row>
    <x:row r="4246" ht="32" customHeight="1">
      <x:c r="A4246" s="30" t="str">
        <x:v>A049</x:v>
      </x:c>
      <x:c r="B4246" s="30" t="str">
        <x:v>F344</x:v>
      </x:c>
      <x:c r="C4246" s="30" t="str">
        <x:v>job.decode_s</x:v>
      </x:c>
      <x:c r="D4246" s="30" t="str">
        <x:v>候选输入schema</x:v>
      </x:c>
      <x:c r="E4246" s="30" t="str">
        <x:v>按执行角色权限读取；策略只能使用可访问快照</x:v>
      </x:c>
    </x:row>
    <x:row r="4247" ht="32" customHeight="1">
      <x:c r="A4247" s="30" t="str">
        <x:v>A049</x:v>
      </x:c>
      <x:c r="B4247" s="30" t="str">
        <x:v>F345</x:v>
      </x:c>
      <x:c r="C4247" s="30" t="str">
        <x:v>job.wall_time_s</x:v>
      </x:c>
      <x:c r="D4247" s="30" t="str">
        <x:v>候选输入schema</x:v>
      </x:c>
      <x:c r="E4247" s="30" t="str">
        <x:v>按执行角色权限读取；策略只能使用可访问快照</x:v>
      </x:c>
    </x:row>
    <x:row r="4248" ht="32" customHeight="1">
      <x:c r="A4248" s="30" t="str">
        <x:v>A049</x:v>
      </x:c>
      <x:c r="B4248" s="30" t="str">
        <x:v>F346</x:v>
      </x:c>
      <x:c r="C4248" s="30" t="str">
        <x:v>job.result_ref</x:v>
      </x:c>
      <x:c r="D4248" s="30" t="str">
        <x:v>候选输入schema</x:v>
      </x:c>
      <x:c r="E4248" s="30" t="str">
        <x:v>按执行角色权限读取；策略只能使用可访问快照</x:v>
      </x:c>
    </x:row>
    <x:row r="4249" ht="32" customHeight="1">
      <x:c r="A4249" s="30" t="str">
        <x:v>A049</x:v>
      </x:c>
      <x:c r="B4249" s="30" t="str">
        <x:v>F347</x:v>
      </x:c>
      <x:c r="C4249" s="30" t="str">
        <x:v>job.checkpoint_ref</x:v>
      </x:c>
      <x:c r="D4249" s="30" t="str">
        <x:v>候选输入schema</x:v>
      </x:c>
      <x:c r="E4249" s="30" t="str">
        <x:v>按执行角色权限读取；策略只能使用可访问快照</x:v>
      </x:c>
    </x:row>
    <x:row r="4250" ht="32" customHeight="1">
      <x:c r="A4250" s="30" t="str">
        <x:v>A049</x:v>
      </x:c>
      <x:c r="B4250" s="30" t="str">
        <x:v>F348</x:v>
      </x:c>
      <x:c r="C4250" s="30" t="str">
        <x:v>job.failure_reason</x:v>
      </x:c>
      <x:c r="D4250" s="30" t="str">
        <x:v>候选输入schema</x:v>
      </x:c>
      <x:c r="E4250" s="30" t="str">
        <x:v>按执行角色权限读取；策略只能使用可访问快照</x:v>
      </x:c>
    </x:row>
    <x:row r="4251" ht="32" customHeight="1">
      <x:c r="A4251" s="30" t="str">
        <x:v>A049</x:v>
      </x:c>
      <x:c r="B4251" s="30" t="str">
        <x:v>F349</x:v>
      </x:c>
      <x:c r="C4251" s="30" t="str">
        <x:v>cache.owner_id</x:v>
      </x:c>
      <x:c r="D4251" s="30" t="str">
        <x:v>候选输入schema</x:v>
      </x:c>
      <x:c r="E4251" s="30" t="str">
        <x:v>按执行角色权限读取；策略只能使用可访问快照</x:v>
      </x:c>
    </x:row>
    <x:row r="4252" ht="32" customHeight="1">
      <x:c r="A4252" s="30" t="str">
        <x:v>A049</x:v>
      </x:c>
      <x:c r="B4252" s="30" t="str">
        <x:v>F350</x:v>
      </x:c>
      <x:c r="C4252" s="30" t="str">
        <x:v>cache.kind</x:v>
      </x:c>
      <x:c r="D4252" s="30" t="str">
        <x:v>候选输入schema</x:v>
      </x:c>
      <x:c r="E4252" s="30" t="str">
        <x:v>按执行角色权限读取；策略只能使用可访问快照</x:v>
      </x:c>
    </x:row>
    <x:row r="4253" ht="32" customHeight="1">
      <x:c r="A4253" s="30" t="str">
        <x:v>A049</x:v>
      </x:c>
      <x:c r="B4253" s="30" t="str">
        <x:v>F351</x:v>
      </x:c>
      <x:c r="C4253" s="30" t="str">
        <x:v>cache.model_version</x:v>
      </x:c>
      <x:c r="D4253" s="30" t="str">
        <x:v>候选输入schema</x:v>
      </x:c>
      <x:c r="E4253" s="30" t="str">
        <x:v>按执行角色权限读取；策略只能使用可访问快照</x:v>
      </x:c>
    </x:row>
    <x:row r="4254" ht="32" customHeight="1">
      <x:c r="A4254" s="30" t="str">
        <x:v>A049</x:v>
      </x:c>
      <x:c r="B4254" s="30" t="str">
        <x:v>F352</x:v>
      </x:c>
      <x:c r="C4254" s="30" t="str">
        <x:v>cache.content_ids</x:v>
      </x:c>
      <x:c r="D4254" s="30" t="str">
        <x:v>候选输入schema</x:v>
      </x:c>
      <x:c r="E4254" s="30" t="str">
        <x:v>按执行角色权限读取；策略只能使用可访问快照</x:v>
      </x:c>
    </x:row>
    <x:row r="4255" ht="32" customHeight="1">
      <x:c r="A4255" s="30" t="str">
        <x:v>A049</x:v>
      </x:c>
      <x:c r="B4255" s="30" t="str">
        <x:v>F353</x:v>
      </x:c>
      <x:c r="C4255" s="30" t="str">
        <x:v>cache.size_bytes</x:v>
      </x:c>
      <x:c r="D4255" s="30" t="str">
        <x:v>候选输入schema</x:v>
      </x:c>
      <x:c r="E4255" s="30" t="str">
        <x:v>按执行角色权限读取；策略只能使用可访问快照</x:v>
      </x:c>
    </x:row>
    <x:row r="4256" ht="32" customHeight="1">
      <x:c r="A4256" s="30" t="str">
        <x:v>A049</x:v>
      </x:c>
      <x:c r="B4256" s="30" t="str">
        <x:v>F354</x:v>
      </x:c>
      <x:c r="C4256" s="30" t="str">
        <x:v>cache.location</x:v>
      </x:c>
      <x:c r="D4256" s="30" t="str">
        <x:v>候选输入schema</x:v>
      </x:c>
      <x:c r="E4256" s="30" t="str">
        <x:v>按执行角色权限读取；策略只能使用可访问快照</x:v>
      </x:c>
    </x:row>
    <x:row r="4257" ht="32" customHeight="1">
      <x:c r="A4257" s="30" t="str">
        <x:v>A049</x:v>
      </x:c>
      <x:c r="B4257" s="30" t="str">
        <x:v>F355</x:v>
      </x:c>
      <x:c r="C4257" s="30" t="str">
        <x:v>cache.valid_until_s</x:v>
      </x:c>
      <x:c r="D4257" s="30" t="str">
        <x:v>候选输入schema</x:v>
      </x:c>
      <x:c r="E4257" s="30" t="str">
        <x:v>按执行角色权限读取；策略只能使用可访问快照</x:v>
      </x:c>
    </x:row>
    <x:row r="4258" ht="32" customHeight="1">
      <x:c r="A4258" s="30" t="str">
        <x:v>A049</x:v>
      </x:c>
      <x:c r="B4258" s="30" t="str">
        <x:v>F356</x:v>
      </x:c>
      <x:c r="C4258" s="30" t="str">
        <x:v>cache.reuse_compatible</x:v>
      </x:c>
      <x:c r="D4258" s="30" t="str">
        <x:v>候选输入schema</x:v>
      </x:c>
      <x:c r="E4258" s="30" t="str">
        <x:v>按执行角色权限读取；策略只能使用可访问快照</x:v>
      </x:c>
    </x:row>
    <x:row r="4259" ht="32" customHeight="1">
      <x:c r="A4259" s="30" t="str">
        <x:v>A049</x:v>
      </x:c>
      <x:c r="B4259" s="30" t="str">
        <x:v>F357</x:v>
      </x:c>
      <x:c r="C4259" s="30" t="str">
        <x:v>cache.hit_count</x:v>
      </x:c>
      <x:c r="D4259" s="30" t="str">
        <x:v>候选输入schema</x:v>
      </x:c>
      <x:c r="E4259" s="30" t="str">
        <x:v>按执行角色权限读取；策略只能使用可访问快照</x:v>
      </x:c>
    </x:row>
    <x:row r="4260" ht="32" customHeight="1">
      <x:c r="A4260" s="30" t="str">
        <x:v>A049</x:v>
      </x:c>
      <x:c r="B4260" s="30" t="str">
        <x:v>F358</x:v>
      </x:c>
      <x:c r="C4260" s="30" t="str">
        <x:v>cache.eviction_state</x:v>
      </x:c>
      <x:c r="D4260" s="30" t="str">
        <x:v>候选输入schema</x:v>
      </x:c>
      <x:c r="E4260" s="30" t="str">
        <x:v>按执行角色权限读取；策略只能使用可访问快照</x:v>
      </x:c>
    </x:row>
    <x:row r="4261" ht="32" customHeight="1">
      <x:c r="A4261" s="30" t="str">
        <x:v>A049</x:v>
      </x:c>
      <x:c r="B4261" s="30" t="str">
        <x:v>F299</x:v>
      </x:c>
      <x:c r="C4261" s="30" t="str">
        <x:v>compute.cpu_allocated</x:v>
      </x:c>
      <x:c r="D4261" s="30" t="str">
        <x:v>直接效果</x:v>
      </x:c>
      <x:c r="E4261" s="30" t="str">
        <x:v>经实际执行/回执提交；不是规划时提前修改</x:v>
      </x:c>
    </x:row>
    <x:row r="4262" ht="32" customHeight="1">
      <x:c r="A4262" s="30" t="str">
        <x:v>A049</x:v>
      </x:c>
      <x:c r="B4262" s="30" t="str">
        <x:v>F300</x:v>
      </x:c>
      <x:c r="C4262" s="30" t="str">
        <x:v>compute.accelerator_allocated</x:v>
      </x:c>
      <x:c r="D4262" s="30" t="str">
        <x:v>直接效果</x:v>
      </x:c>
      <x:c r="E4262" s="30" t="str">
        <x:v>经实际执行/回执提交；不是规划时提前修改</x:v>
      </x:c>
    </x:row>
    <x:row r="4263" ht="32" customHeight="1">
      <x:c r="A4263" s="30" t="str">
        <x:v>A049</x:v>
      </x:c>
      <x:c r="B4263" s="30" t="str">
        <x:v>F298</x:v>
      </x:c>
      <x:c r="C4263" s="30" t="str">
        <x:v>compute.memory_used_bytes</x:v>
      </x:c>
      <x:c r="D4263" s="30" t="str">
        <x:v>直接效果</x:v>
      </x:c>
      <x:c r="E4263" s="30" t="str">
        <x:v>经实际执行/回执提交；不是规划时提前修改</x:v>
      </x:c>
    </x:row>
    <x:row r="4264" ht="32" customHeight="1">
      <x:c r="A4264" s="30" t="str">
        <x:v>A050</x:v>
      </x:c>
      <x:c r="B4264" s="30" t="str">
        <x:v>F166</x:v>
      </x:c>
      <x:c r="C4264" s="30" t="str">
        <x:v>observation.observer_id</x:v>
      </x:c>
      <x:c r="D4264" s="30" t="str">
        <x:v>候选输入schema</x:v>
      </x:c>
      <x:c r="E4264" s="30" t="str">
        <x:v>按执行角色权限读取；策略只能使用可访问快照</x:v>
      </x:c>
    </x:row>
    <x:row r="4265" ht="32" customHeight="1">
      <x:c r="A4265" s="30" t="str">
        <x:v>A050</x:v>
      </x:c>
      <x:c r="B4265" s="30" t="str">
        <x:v>F167</x:v>
      </x:c>
      <x:c r="C4265" s="30" t="str">
        <x:v>observation.sensor_id</x:v>
      </x:c>
      <x:c r="D4265" s="30" t="str">
        <x:v>候选输入schema</x:v>
      </x:c>
      <x:c r="E4265" s="30" t="str">
        <x:v>按执行角色权限读取；策略只能使用可访问快照</x:v>
      </x:c>
    </x:row>
    <x:row r="4266" ht="32" customHeight="1">
      <x:c r="A4266" s="30" t="str">
        <x:v>A050</x:v>
      </x:c>
      <x:c r="B4266" s="30" t="str">
        <x:v>F168</x:v>
      </x:c>
      <x:c r="C4266" s="30" t="str">
        <x:v>observation.captured_at_s</x:v>
      </x:c>
      <x:c r="D4266" s="30" t="str">
        <x:v>候选输入schema</x:v>
      </x:c>
      <x:c r="E4266" s="30" t="str">
        <x:v>按执行角色权限读取；策略只能使用可访问快照</x:v>
      </x:c>
    </x:row>
    <x:row r="4267" ht="32" customHeight="1">
      <x:c r="A4267" s="30" t="str">
        <x:v>A050</x:v>
      </x:c>
      <x:c r="B4267" s="30" t="str">
        <x:v>F169</x:v>
      </x:c>
      <x:c r="C4267" s="30" t="str">
        <x:v>observation.pose_estimate</x:v>
      </x:c>
      <x:c r="D4267" s="30" t="str">
        <x:v>候选输入schema</x:v>
      </x:c>
      <x:c r="E4267" s="30" t="str">
        <x:v>按执行角色权限读取；策略只能使用可访问快照</x:v>
      </x:c>
    </x:row>
    <x:row r="4268" ht="32" customHeight="1">
      <x:c r="A4268" s="30" t="str">
        <x:v>A050</x:v>
      </x:c>
      <x:c r="B4268" s="30" t="str">
        <x:v>F170</x:v>
      </x:c>
      <x:c r="C4268" s="30" t="str">
        <x:v>observation.payload_ref</x:v>
      </x:c>
      <x:c r="D4268" s="30" t="str">
        <x:v>候选输入schema</x:v>
      </x:c>
      <x:c r="E4268" s="30" t="str">
        <x:v>按执行角色权限读取；策略只能使用可访问快照</x:v>
      </x:c>
    </x:row>
    <x:row r="4269" ht="32" customHeight="1">
      <x:c r="A4269" s="30" t="str">
        <x:v>A050</x:v>
      </x:c>
      <x:c r="B4269" s="30" t="str">
        <x:v>F171</x:v>
      </x:c>
      <x:c r="C4269" s="30" t="str">
        <x:v>observation.payload_bytes</x:v>
      </x:c>
      <x:c r="D4269" s="30" t="str">
        <x:v>候选输入schema</x:v>
      </x:c>
      <x:c r="E4269" s="30" t="str">
        <x:v>按执行角色权限读取；策略只能使用可访问快照</x:v>
      </x:c>
    </x:row>
    <x:row r="4270" ht="32" customHeight="1">
      <x:c r="A4270" s="30" t="str">
        <x:v>A050</x:v>
      </x:c>
      <x:c r="B4270" s="30" t="str">
        <x:v>F172</x:v>
      </x:c>
      <x:c r="C4270" s="30" t="str">
        <x:v>observation.content_hash</x:v>
      </x:c>
      <x:c r="D4270" s="30" t="str">
        <x:v>候选输入schema</x:v>
      </x:c>
      <x:c r="E4270" s="30" t="str">
        <x:v>按执行角色权限读取；策略只能使用可访问快照</x:v>
      </x:c>
    </x:row>
    <x:row r="4271" ht="32" customHeight="1">
      <x:c r="A4271" s="30" t="str">
        <x:v>A050</x:v>
      </x:c>
      <x:c r="B4271" s="30" t="str">
        <x:v>F173</x:v>
      </x:c>
      <x:c r="C4271" s="30" t="str">
        <x:v>observation.modality</x:v>
      </x:c>
      <x:c r="D4271" s="30" t="str">
        <x:v>候选输入schema</x:v>
      </x:c>
      <x:c r="E4271" s="30" t="str">
        <x:v>按执行角色权限读取；策略只能使用可访问快照</x:v>
      </x:c>
    </x:row>
    <x:row r="4272" ht="32" customHeight="1">
      <x:c r="A4272" s="30" t="str">
        <x:v>A050</x:v>
      </x:c>
      <x:c r="B4272" s="30" t="str">
        <x:v>F174</x:v>
      </x:c>
      <x:c r="C4272" s="30" t="str">
        <x:v>observation.detections</x:v>
      </x:c>
      <x:c r="D4272" s="30" t="str">
        <x:v>候选输入schema</x:v>
      </x:c>
      <x:c r="E4272" s="30" t="str">
        <x:v>按执行角色权限读取；策略只能使用可访问快照</x:v>
      </x:c>
    </x:row>
    <x:row r="4273" ht="32" customHeight="1">
      <x:c r="A4273" s="30" t="str">
        <x:v>A050</x:v>
      </x:c>
      <x:c r="B4273" s="30" t="str">
        <x:v>F175</x:v>
      </x:c>
      <x:c r="C4273" s="30" t="str">
        <x:v>observation.confidence</x:v>
      </x:c>
      <x:c r="D4273" s="30" t="str">
        <x:v>候选输入schema</x:v>
      </x:c>
      <x:c r="E4273" s="30" t="str">
        <x:v>按执行角色权限读取；策略只能使用可访问快照</x:v>
      </x:c>
    </x:row>
    <x:row r="4274" ht="32" customHeight="1">
      <x:c r="A4274" s="30" t="str">
        <x:v>A050</x:v>
      </x:c>
      <x:c r="B4274" s="30" t="str">
        <x:v>F176</x:v>
      </x:c>
      <x:c r="C4274" s="30" t="str">
        <x:v>observation.coverage_estimate</x:v>
      </x:c>
      <x:c r="D4274" s="30" t="str">
        <x:v>候选输入schema</x:v>
      </x:c>
      <x:c r="E4274" s="30" t="str">
        <x:v>按执行角色权限读取；策略只能使用可访问快照</x:v>
      </x:c>
    </x:row>
    <x:row r="4275" ht="32" customHeight="1">
      <x:c r="A4275" s="30" t="str">
        <x:v>A050</x:v>
      </x:c>
      <x:c r="B4275" s="30" t="str">
        <x:v>F177</x:v>
      </x:c>
      <x:c r="C4275" s="30" t="str">
        <x:v>observation.processing_job_id</x:v>
      </x:c>
      <x:c r="D4275" s="30" t="str">
        <x:v>候选输入schema</x:v>
      </x:c>
      <x:c r="E4275" s="30" t="str">
        <x:v>按执行角色权限读取；策略只能使用可访问快照</x:v>
      </x:c>
    </x:row>
    <x:row r="4276" ht="32" customHeight="1">
      <x:c r="A4276" s="30" t="str">
        <x:v>A050</x:v>
      </x:c>
      <x:c r="B4276" s="30" t="str">
        <x:v>F178</x:v>
      </x:c>
      <x:c r="C4276" s="30" t="str">
        <x:v>observation.parent_evidence_ids</x:v>
      </x:c>
      <x:c r="D4276" s="30" t="str">
        <x:v>候选输入schema</x:v>
      </x:c>
      <x:c r="E4276" s="30" t="str">
        <x:v>按执行角色权限读取；策略只能使用可访问快照</x:v>
      </x:c>
    </x:row>
    <x:row r="4277" ht="32" customHeight="1">
      <x:c r="A4277" s="30" t="str">
        <x:v>A050</x:v>
      </x:c>
      <x:c r="B4277" s="30" t="str">
        <x:v>F179</x:v>
      </x:c>
      <x:c r="C4277" s="30" t="str">
        <x:v>observation.valid_until_s</x:v>
      </x:c>
      <x:c r="D4277" s="30" t="str">
        <x:v>候选输入schema</x:v>
      </x:c>
      <x:c r="E4277" s="30" t="str">
        <x:v>按执行角色权限读取；策略只能使用可访问快照</x:v>
      </x:c>
    </x:row>
    <x:row r="4278" ht="32" customHeight="1">
      <x:c r="A4278" s="30" t="str">
        <x:v>A050</x:v>
      </x:c>
      <x:c r="B4278" s="30" t="str">
        <x:v>F180</x:v>
      </x:c>
      <x:c r="C4278" s="30" t="str">
        <x:v>observation.mode</x:v>
      </x:c>
      <x:c r="D4278" s="30" t="str">
        <x:v>候选输入schema</x:v>
      </x:c>
      <x:c r="E4278" s="30" t="str">
        <x:v>按执行角色权限读取；策略只能使用可访问快照</x:v>
      </x:c>
    </x:row>
    <x:row r="4279" ht="32" customHeight="1">
      <x:c r="A4279" s="30" t="str">
        <x:v>A050</x:v>
      </x:c>
      <x:c r="B4279" s="30" t="str">
        <x:v>F181</x:v>
      </x:c>
      <x:c r="C4279" s="30" t="str">
        <x:v>belief.agent_id</x:v>
      </x:c>
      <x:c r="D4279" s="30" t="str">
        <x:v>候选输入schema</x:v>
      </x:c>
      <x:c r="E4279" s="30" t="str">
        <x:v>按执行角色权限读取；策略只能使用可访问快照</x:v>
      </x:c>
    </x:row>
    <x:row r="4280" ht="32" customHeight="1">
      <x:c r="A4280" s="30" t="str">
        <x:v>A050</x:v>
      </x:c>
      <x:c r="B4280" s="30" t="str">
        <x:v>F182</x:v>
      </x:c>
      <x:c r="C4280" s="30" t="str">
        <x:v>belief.entity_ref</x:v>
      </x:c>
      <x:c r="D4280" s="30" t="str">
        <x:v>候选输入schema</x:v>
      </x:c>
      <x:c r="E4280" s="30" t="str">
        <x:v>按执行角色权限读取；策略只能使用可访问快照</x:v>
      </x:c>
    </x:row>
    <x:row r="4281" ht="32" customHeight="1">
      <x:c r="A4281" s="30" t="str">
        <x:v>A050</x:v>
      </x:c>
      <x:c r="B4281" s="30" t="str">
        <x:v>F183</x:v>
      </x:c>
      <x:c r="C4281" s="30" t="str">
        <x:v>belief.estimated_damage</x:v>
      </x:c>
      <x:c r="D4281" s="30" t="str">
        <x:v>候选输入schema</x:v>
      </x:c>
      <x:c r="E4281" s="30" t="str">
        <x:v>按执行角色权限读取；策略只能使用可访问快照</x:v>
      </x:c>
    </x:row>
    <x:row r="4282" ht="32" customHeight="1">
      <x:c r="A4282" s="30" t="str">
        <x:v>A050</x:v>
      </x:c>
      <x:c r="B4282" s="30" t="str">
        <x:v>F184</x:v>
      </x:c>
      <x:c r="C4282" s="30" t="str">
        <x:v>belief.human_presence</x:v>
      </x:c>
      <x:c r="D4282" s="30" t="str">
        <x:v>候选输入schema</x:v>
      </x:c>
      <x:c r="E4282" s="30" t="str">
        <x:v>按执行角色权限读取；策略只能使用可访问快照</x:v>
      </x:c>
    </x:row>
    <x:row r="4283" ht="32" customHeight="1">
      <x:c r="A4283" s="30" t="str">
        <x:v>A050</x:v>
      </x:c>
      <x:c r="B4283" s="30" t="str">
        <x:v>F185</x:v>
      </x:c>
      <x:c r="C4283" s="30" t="str">
        <x:v>belief.estimated_pose</x:v>
      </x:c>
      <x:c r="D4283" s="30" t="str">
        <x:v>候选输入schema</x:v>
      </x:c>
      <x:c r="E4283" s="30" t="str">
        <x:v>按执行角色权限读取；策略只能使用可访问快照</x:v>
      </x:c>
    </x:row>
    <x:row r="4284" ht="32" customHeight="1">
      <x:c r="A4284" s="30" t="str">
        <x:v>A050</x:v>
      </x:c>
      <x:c r="B4284" s="30" t="str">
        <x:v>F186</x:v>
      </x:c>
      <x:c r="C4284" s="30" t="str">
        <x:v>belief.estimated_access</x:v>
      </x:c>
      <x:c r="D4284" s="30" t="str">
        <x:v>候选输入schema</x:v>
      </x:c>
      <x:c r="E4284" s="30" t="str">
        <x:v>按执行角色权限读取；策略只能使用可访问快照</x:v>
      </x:c>
    </x:row>
    <x:row r="4285" ht="32" customHeight="1">
      <x:c r="A4285" s="30" t="str">
        <x:v>A050</x:v>
      </x:c>
      <x:c r="B4285" s="30" t="str">
        <x:v>F187</x:v>
      </x:c>
      <x:c r="C4285" s="30" t="str">
        <x:v>belief.estimated_needs</x:v>
      </x:c>
      <x:c r="D4285" s="30" t="str">
        <x:v>候选输入schema</x:v>
      </x:c>
      <x:c r="E4285" s="30" t="str">
        <x:v>按执行角色权限读取；策略只能使用可访问快照</x:v>
      </x:c>
    </x:row>
    <x:row r="4286" ht="32" customHeight="1">
      <x:c r="A4286" s="30" t="str">
        <x:v>A050</x:v>
      </x:c>
      <x:c r="B4286" s="30" t="str">
        <x:v>F188</x:v>
      </x:c>
      <x:c r="C4286" s="30" t="str">
        <x:v>belief.evidence_ids</x:v>
      </x:c>
      <x:c r="D4286" s="30" t="str">
        <x:v>候选输入schema</x:v>
      </x:c>
      <x:c r="E4286" s="30" t="str">
        <x:v>按执行角色权限读取；策略只能使用可访问快照</x:v>
      </x:c>
    </x:row>
    <x:row r="4287" ht="32" customHeight="1">
      <x:c r="A4287" s="30" t="str">
        <x:v>A050</x:v>
      </x:c>
      <x:c r="B4287" s="30" t="str">
        <x:v>F189</x:v>
      </x:c>
      <x:c r="C4287" s="30" t="str">
        <x:v>belief.source_agent_ids</x:v>
      </x:c>
      <x:c r="D4287" s="30" t="str">
        <x:v>候选输入schema</x:v>
      </x:c>
      <x:c r="E4287" s="30" t="str">
        <x:v>按执行角色权限读取；策略只能使用可访问快照</x:v>
      </x:c>
    </x:row>
    <x:row r="4288" ht="32" customHeight="1">
      <x:c r="A4288" s="30" t="str">
        <x:v>A050</x:v>
      </x:c>
      <x:c r="B4288" s="30" t="str">
        <x:v>F190</x:v>
      </x:c>
      <x:c r="C4288" s="30" t="str">
        <x:v>belief.updated_at_s</x:v>
      </x:c>
      <x:c r="D4288" s="30" t="str">
        <x:v>候选输入schema</x:v>
      </x:c>
      <x:c r="E4288" s="30" t="str">
        <x:v>按执行角色权限读取；策略只能使用可访问快照</x:v>
      </x:c>
    </x:row>
    <x:row r="4289" ht="32" customHeight="1">
      <x:c r="A4289" s="30" t="str">
        <x:v>A050</x:v>
      </x:c>
      <x:c r="B4289" s="30" t="str">
        <x:v>F191</x:v>
      </x:c>
      <x:c r="C4289" s="30" t="str">
        <x:v>belief.staleness_s</x:v>
      </x:c>
      <x:c r="D4289" s="30" t="str">
        <x:v>候选输入schema</x:v>
      </x:c>
      <x:c r="E4289" s="30" t="str">
        <x:v>按执行角色权限读取；策略只能使用可访问快照</x:v>
      </x:c>
    </x:row>
    <x:row r="4290" ht="32" customHeight="1">
      <x:c r="A4290" s="30" t="str">
        <x:v>A050</x:v>
      </x:c>
      <x:c r="B4290" s="30" t="str">
        <x:v>F192</x:v>
      </x:c>
      <x:c r="C4290" s="30" t="str">
        <x:v>belief.conflict_state</x:v>
      </x:c>
      <x:c r="D4290" s="30" t="str">
        <x:v>候选输入schema</x:v>
      </x:c>
      <x:c r="E4290" s="30" t="str">
        <x:v>按执行角色权限读取；策略只能使用可访问快照</x:v>
      </x:c>
    </x:row>
    <x:row r="4291" ht="32" customHeight="1">
      <x:c r="A4291" s="30" t="str">
        <x:v>A050</x:v>
      </x:c>
      <x:c r="B4291" s="30" t="str">
        <x:v>F193</x:v>
      </x:c>
      <x:c r="C4291" s="30" t="str">
        <x:v>belief.team_estimates</x:v>
      </x:c>
      <x:c r="D4291" s="30" t="str">
        <x:v>候选输入schema</x:v>
      </x:c>
      <x:c r="E4291" s="30" t="str">
        <x:v>按执行角色权限读取；策略只能使用可访问快照</x:v>
      </x:c>
    </x:row>
    <x:row r="4292" ht="32" customHeight="1">
      <x:c r="A4292" s="30" t="str">
        <x:v>A050</x:v>
      </x:c>
      <x:c r="B4292" s="30" t="str">
        <x:v>F194</x:v>
      </x:c>
      <x:c r="C4292" s="30" t="str">
        <x:v>belief.search_status</x:v>
      </x:c>
      <x:c r="D4292" s="30" t="str">
        <x:v>候选输入schema</x:v>
      </x:c>
      <x:c r="E4292" s="30" t="str">
        <x:v>按执行角色权限读取；策略只能使用可访问快照</x:v>
      </x:c>
    </x:row>
    <x:row r="4293" ht="32" customHeight="1">
      <x:c r="A4293" s="30" t="str">
        <x:v>A050</x:v>
      </x:c>
      <x:c r="B4293" s="30" t="str">
        <x:v>F195</x:v>
      </x:c>
      <x:c r="C4293" s="30" t="str">
        <x:v>belief.current_goal_context</x:v>
      </x:c>
      <x:c r="D4293" s="30" t="str">
        <x:v>候选输入schema</x:v>
      </x:c>
      <x:c r="E4293" s="30" t="str">
        <x:v>按执行角色权限读取；策略只能使用可访问快照</x:v>
      </x:c>
    </x:row>
    <x:row r="4294" ht="32" customHeight="1">
      <x:c r="A4294" s="30" t="str">
        <x:v>A050</x:v>
      </x:c>
      <x:c r="B4294" s="30" t="str">
        <x:v>F196</x:v>
      </x:c>
      <x:c r="C4294" s="30" t="str">
        <x:v>task.type</x:v>
      </x:c>
      <x:c r="D4294" s="30" t="str">
        <x:v>候选输入schema</x:v>
      </x:c>
      <x:c r="E4294" s="30" t="str">
        <x:v>按执行角色权限读取；策略只能使用可访问快照</x:v>
      </x:c>
    </x:row>
    <x:row r="4295" ht="32" customHeight="1">
      <x:c r="A4295" s="30" t="str">
        <x:v>A050</x:v>
      </x:c>
      <x:c r="B4295" s="30" t="str">
        <x:v>F197</x:v>
      </x:c>
      <x:c r="C4295" s="30" t="str">
        <x:v>task.creator_id</x:v>
      </x:c>
      <x:c r="D4295" s="30" t="str">
        <x:v>候选输入schema</x:v>
      </x:c>
      <x:c r="E4295" s="30" t="str">
        <x:v>按执行角色权限读取；策略只能使用可访问快照</x:v>
      </x:c>
    </x:row>
    <x:row r="4296" ht="32" customHeight="1">
      <x:c r="A4296" s="30" t="str">
        <x:v>A050</x:v>
      </x:c>
      <x:c r="B4296" s="30" t="str">
        <x:v>F198</x:v>
      </x:c>
      <x:c r="C4296" s="30" t="str">
        <x:v>task.target_ref</x:v>
      </x:c>
      <x:c r="D4296" s="30" t="str">
        <x:v>候选输入schema</x:v>
      </x:c>
      <x:c r="E4296" s="30" t="str">
        <x:v>按执行角色权限读取；策略只能使用可访问快照</x:v>
      </x:c>
    </x:row>
    <x:row r="4297" ht="32" customHeight="1">
      <x:c r="A4297" s="30" t="str">
        <x:v>A050</x:v>
      </x:c>
      <x:c r="B4297" s="30" t="str">
        <x:v>F199</x:v>
      </x:c>
      <x:c r="C4297" s="30" t="str">
        <x:v>task.goal_predicate</x:v>
      </x:c>
      <x:c r="D4297" s="30" t="str">
        <x:v>候选输入schema</x:v>
      </x:c>
      <x:c r="E4297" s="30" t="str">
        <x:v>按执行角色权限读取；策略只能使用可访问快照</x:v>
      </x:c>
    </x:row>
    <x:row r="4298" ht="32" customHeight="1">
      <x:c r="A4298" s="30" t="str">
        <x:v>A050</x:v>
      </x:c>
      <x:c r="B4298" s="30" t="str">
        <x:v>F200</x:v>
      </x:c>
      <x:c r="C4298" s="30" t="str">
        <x:v>task.revision</x:v>
      </x:c>
      <x:c r="D4298" s="30" t="str">
        <x:v>候选输入schema</x:v>
      </x:c>
      <x:c r="E4298" s="30" t="str">
        <x:v>按执行角色权限读取；策略只能使用可访问快照</x:v>
      </x:c>
    </x:row>
    <x:row r="4299" ht="32" customHeight="1">
      <x:c r="A4299" s="30" t="str">
        <x:v>A050</x:v>
      </x:c>
      <x:c r="B4299" s="30" t="str">
        <x:v>F201</x:v>
      </x:c>
      <x:c r="C4299" s="30" t="str">
        <x:v>task.status</x:v>
      </x:c>
      <x:c r="D4299" s="30" t="str">
        <x:v>候选输入schema</x:v>
      </x:c>
      <x:c r="E4299" s="30" t="str">
        <x:v>按执行角色权限读取；策略只能使用可访问快照</x:v>
      </x:c>
    </x:row>
    <x:row r="4300" ht="32" customHeight="1">
      <x:c r="A4300" s="30" t="str">
        <x:v>A050</x:v>
      </x:c>
      <x:c r="B4300" s="30" t="str">
        <x:v>F202</x:v>
      </x:c>
      <x:c r="C4300" s="30" t="str">
        <x:v>task.priority</x:v>
      </x:c>
      <x:c r="D4300" s="30" t="str">
        <x:v>候选输入schema</x:v>
      </x:c>
      <x:c r="E4300" s="30" t="str">
        <x:v>按执行角色权限读取；策略只能使用可访问快照</x:v>
      </x:c>
    </x:row>
    <x:row r="4301" ht="32" customHeight="1">
      <x:c r="A4301" s="30" t="str">
        <x:v>A050</x:v>
      </x:c>
      <x:c r="B4301" s="30" t="str">
        <x:v>F203</x:v>
      </x:c>
      <x:c r="C4301" s="30" t="str">
        <x:v>task.deadline_s</x:v>
      </x:c>
      <x:c r="D4301" s="30" t="str">
        <x:v>候选输入schema</x:v>
      </x:c>
      <x:c r="E4301" s="30" t="str">
        <x:v>按执行角色权限读取；策略只能使用可访问快照</x:v>
      </x:c>
    </x:row>
    <x:row r="4302" ht="32" customHeight="1">
      <x:c r="A4302" s="30" t="str">
        <x:v>A050</x:v>
      </x:c>
      <x:c r="B4302" s="30" t="str">
        <x:v>F204</x:v>
      </x:c>
      <x:c r="C4302" s="30" t="str">
        <x:v>task.dependency_ids</x:v>
      </x:c>
      <x:c r="D4302" s="30" t="str">
        <x:v>候选输入schema</x:v>
      </x:c>
      <x:c r="E4302" s="30" t="str">
        <x:v>按执行角色权限读取；策略只能使用可访问快照</x:v>
      </x:c>
    </x:row>
    <x:row r="4303" ht="32" customHeight="1">
      <x:c r="A4303" s="30" t="str">
        <x:v>A050</x:v>
      </x:c>
      <x:c r="B4303" s="30" t="str">
        <x:v>F205</x:v>
      </x:c>
      <x:c r="C4303" s="30" t="str">
        <x:v>task.required_capability_ids</x:v>
      </x:c>
      <x:c r="D4303" s="30" t="str">
        <x:v>候选输入schema</x:v>
      </x:c>
      <x:c r="E4303" s="30" t="str">
        <x:v>按执行角色权限读取；策略只能使用可访问快照</x:v>
      </x:c>
    </x:row>
    <x:row r="4304" ht="32" customHeight="1">
      <x:c r="A4304" s="30" t="str">
        <x:v>A050</x:v>
      </x:c>
      <x:c r="B4304" s="30" t="str">
        <x:v>F206</x:v>
      </x:c>
      <x:c r="C4304" s="30" t="str">
        <x:v>task.resource_budget</x:v>
      </x:c>
      <x:c r="D4304" s="30" t="str">
        <x:v>候选输入schema</x:v>
      </x:c>
      <x:c r="E4304" s="30" t="str">
        <x:v>按执行角色权限读取；策略只能使用可访问快照</x:v>
      </x:c>
    </x:row>
    <x:row r="4305" ht="32" customHeight="1">
      <x:c r="A4305" s="30" t="str">
        <x:v>A050</x:v>
      </x:c>
      <x:c r="B4305" s="30" t="str">
        <x:v>F207</x:v>
      </x:c>
      <x:c r="C4305" s="30" t="str">
        <x:v>task.assigned_to</x:v>
      </x:c>
      <x:c r="D4305" s="30" t="str">
        <x:v>候选输入schema</x:v>
      </x:c>
      <x:c r="E4305" s="30" t="str">
        <x:v>按执行角色权限读取；策略只能使用可访问快照</x:v>
      </x:c>
    </x:row>
    <x:row r="4306" ht="32" customHeight="1">
      <x:c r="A4306" s="30" t="str">
        <x:v>A050</x:v>
      </x:c>
      <x:c r="B4306" s="30" t="str">
        <x:v>F208</x:v>
      </x:c>
      <x:c r="C4306" s="30" t="str">
        <x:v>task.accepted_by</x:v>
      </x:c>
      <x:c r="D4306" s="30" t="str">
        <x:v>候选输入schema</x:v>
      </x:c>
      <x:c r="E4306" s="30" t="str">
        <x:v>按执行角色权限读取；策略只能使用可访问快照</x:v>
      </x:c>
    </x:row>
    <x:row r="4307" ht="32" customHeight="1">
      <x:c r="A4307" s="30" t="str">
        <x:v>A050</x:v>
      </x:c>
      <x:c r="B4307" s="30" t="str">
        <x:v>F209</x:v>
      </x:c>
      <x:c r="C4307" s="30" t="str">
        <x:v>task.commitment_window</x:v>
      </x:c>
      <x:c r="D4307" s="30" t="str">
        <x:v>候选输入schema</x:v>
      </x:c>
      <x:c r="E4307" s="30" t="str">
        <x:v>按执行角色权限读取；策略只能使用可访问快照</x:v>
      </x:c>
    </x:row>
    <x:row r="4308" ht="32" customHeight="1">
      <x:c r="A4308" s="30" t="str">
        <x:v>A050</x:v>
      </x:c>
      <x:c r="B4308" s="30" t="str">
        <x:v>F210</x:v>
      </x:c>
      <x:c r="C4308" s="30" t="str">
        <x:v>task.progress</x:v>
      </x:c>
      <x:c r="D4308" s="30" t="str">
        <x:v>候选输入schema</x:v>
      </x:c>
      <x:c r="E4308" s="30" t="str">
        <x:v>按执行角色权限读取；策略只能使用可访问快照</x:v>
      </x:c>
    </x:row>
    <x:row r="4309" ht="32" customHeight="1">
      <x:c r="A4309" s="30" t="str">
        <x:v>A050</x:v>
      </x:c>
      <x:c r="B4309" s="30" t="str">
        <x:v>F211</x:v>
      </x:c>
      <x:c r="C4309" s="30" t="str">
        <x:v>task.active_action_ids</x:v>
      </x:c>
      <x:c r="D4309" s="30" t="str">
        <x:v>候选输入schema</x:v>
      </x:c>
      <x:c r="E4309" s="30" t="str">
        <x:v>按执行角色权限读取；策略只能使用可访问快照</x:v>
      </x:c>
    </x:row>
    <x:row r="4310" ht="32" customHeight="1">
      <x:c r="A4310" s="30" t="str">
        <x:v>A050</x:v>
      </x:c>
      <x:c r="B4310" s="30" t="str">
        <x:v>F212</x:v>
      </x:c>
      <x:c r="C4310" s="30" t="str">
        <x:v>task.interruptibility</x:v>
      </x:c>
      <x:c r="D4310" s="30" t="str">
        <x:v>候选输入schema</x:v>
      </x:c>
      <x:c r="E4310" s="30" t="str">
        <x:v>按执行角色权限读取；策略只能使用可访问快照</x:v>
      </x:c>
    </x:row>
    <x:row r="4311" ht="32" customHeight="1">
      <x:c r="A4311" s="30" t="str">
        <x:v>A050</x:v>
      </x:c>
      <x:c r="B4311" s="30" t="str">
        <x:v>F213</x:v>
      </x:c>
      <x:c r="C4311" s="30" t="str">
        <x:v>task.original_task_id</x:v>
      </x:c>
      <x:c r="D4311" s="30" t="str">
        <x:v>候选输入schema</x:v>
      </x:c>
      <x:c r="E4311" s="30" t="str">
        <x:v>按执行角色权限读取；策略只能使用可访问快照</x:v>
      </x:c>
    </x:row>
    <x:row r="4312" ht="32" customHeight="1">
      <x:c r="A4312" s="30" t="str">
        <x:v>A050</x:v>
      </x:c>
      <x:c r="B4312" s="30" t="str">
        <x:v>F214</x:v>
      </x:c>
      <x:c r="C4312" s="30" t="str">
        <x:v>task.resume_checkpoint</x:v>
      </x:c>
      <x:c r="D4312" s="30" t="str">
        <x:v>候选输入schema</x:v>
      </x:c>
      <x:c r="E4312" s="30" t="str">
        <x:v>按执行角色权限读取；策略只能使用可访问快照</x:v>
      </x:c>
    </x:row>
    <x:row r="4313" ht="32" customHeight="1">
      <x:c r="A4313" s="30" t="str">
        <x:v>A050</x:v>
      </x:c>
      <x:c r="B4313" s="30" t="str">
        <x:v>F215</x:v>
      </x:c>
      <x:c r="C4313" s="30" t="str">
        <x:v>task.handoff_target_id</x:v>
      </x:c>
      <x:c r="D4313" s="30" t="str">
        <x:v>候选输入schema</x:v>
      </x:c>
      <x:c r="E4313" s="30" t="str">
        <x:v>按执行角色权限读取；策略只能使用可访问快照</x:v>
      </x:c>
    </x:row>
    <x:row r="4314" ht="32" customHeight="1">
      <x:c r="A4314" s="30" t="str">
        <x:v>A050</x:v>
      </x:c>
      <x:c r="B4314" s="30" t="str">
        <x:v>F216</x:v>
      </x:c>
      <x:c r="C4314" s="30" t="str">
        <x:v>task.result_evidence_ids</x:v>
      </x:c>
      <x:c r="D4314" s="30" t="str">
        <x:v>候选输入schema</x:v>
      </x:c>
      <x:c r="E4314" s="30" t="str">
        <x:v>按执行角色权限读取；策略只能使用可访问快照</x:v>
      </x:c>
    </x:row>
    <x:row r="4315" ht="32" customHeight="1">
      <x:c r="A4315" s="30" t="str">
        <x:v>A050</x:v>
      </x:c>
      <x:c r="B4315" s="30" t="str">
        <x:v>F217</x:v>
      </x:c>
      <x:c r="C4315" s="30" t="str">
        <x:v>task.failure_reason</x:v>
      </x:c>
      <x:c r="D4315" s="30" t="str">
        <x:v>候选输入schema</x:v>
      </x:c>
      <x:c r="E4315" s="30" t="str">
        <x:v>按执行角色权限读取；策略只能使用可访问快照</x:v>
      </x:c>
    </x:row>
    <x:row r="4316" ht="32" customHeight="1">
      <x:c r="A4316" s="30" t="str">
        <x:v>A050</x:v>
      </x:c>
      <x:c r="B4316" s="30" t="str">
        <x:v>F218</x:v>
      </x:c>
      <x:c r="C4316" s="30" t="str">
        <x:v>task.last_event_s</x:v>
      </x:c>
      <x:c r="D4316" s="30" t="str">
        <x:v>候选输入schema</x:v>
      </x:c>
      <x:c r="E4316" s="30" t="str">
        <x:v>按执行角色权限读取；策略只能使用可访问快照</x:v>
      </x:c>
    </x:row>
    <x:row r="4317" ht="32" customHeight="1">
      <x:c r="A4317" s="30" t="str">
        <x:v>A050</x:v>
      </x:c>
      <x:c r="B4317" s="30" t="str">
        <x:v>F219</x:v>
      </x:c>
      <x:c r="C4317" s="30" t="str">
        <x:v>task.opportunity_cost</x:v>
      </x:c>
      <x:c r="D4317" s="30" t="str">
        <x:v>候选输入schema</x:v>
      </x:c>
      <x:c r="E4317" s="30" t="str">
        <x:v>按执行角色权限读取；策略只能使用可访问快照</x:v>
      </x:c>
    </x:row>
    <x:row r="4318" ht="32" customHeight="1">
      <x:c r="A4318" s="30" t="str">
        <x:v>A050</x:v>
      </x:c>
      <x:c r="B4318" s="30" t="str">
        <x:v>F293</x:v>
      </x:c>
      <x:c r="C4318" s="30" t="str">
        <x:v>compute.node_id</x:v>
      </x:c>
      <x:c r="D4318" s="30" t="str">
        <x:v>候选输入schema</x:v>
      </x:c>
      <x:c r="E4318" s="30" t="str">
        <x:v>按执行角色权限读取；策略只能使用可访问快照</x:v>
      </x:c>
    </x:row>
    <x:row r="4319" ht="32" customHeight="1">
      <x:c r="A4319" s="30" t="str">
        <x:v>A050</x:v>
      </x:c>
      <x:c r="B4319" s="30" t="str">
        <x:v>F294</x:v>
      </x:c>
      <x:c r="C4319" s="30" t="str">
        <x:v>compute.device_kind</x:v>
      </x:c>
      <x:c r="D4319" s="30" t="str">
        <x:v>候选输入schema</x:v>
      </x:c>
      <x:c r="E4319" s="30" t="str">
        <x:v>按执行角色权限读取；策略只能使用可访问快照</x:v>
      </x:c>
    </x:row>
    <x:row r="4320" ht="32" customHeight="1">
      <x:c r="A4320" s="30" t="str">
        <x:v>A050</x:v>
      </x:c>
      <x:c r="B4320" s="30" t="str">
        <x:v>F295</x:v>
      </x:c>
      <x:c r="C4320" s="30" t="str">
        <x:v>compute.cpu_capacity</x:v>
      </x:c>
      <x:c r="D4320" s="30" t="str">
        <x:v>候选输入schema</x:v>
      </x:c>
      <x:c r="E4320" s="30" t="str">
        <x:v>按执行角色权限读取；策略只能使用可访问快照</x:v>
      </x:c>
    </x:row>
    <x:row r="4321" ht="32" customHeight="1">
      <x:c r="A4321" s="30" t="str">
        <x:v>A050</x:v>
      </x:c>
      <x:c r="B4321" s="30" t="str">
        <x:v>F296</x:v>
      </x:c>
      <x:c r="C4321" s="30" t="str">
        <x:v>compute.accelerator_capacity</x:v>
      </x:c>
      <x:c r="D4321" s="30" t="str">
        <x:v>候选输入schema</x:v>
      </x:c>
      <x:c r="E4321" s="30" t="str">
        <x:v>按执行角色权限读取；策略只能使用可访问快照</x:v>
      </x:c>
    </x:row>
    <x:row r="4322" ht="32" customHeight="1">
      <x:c r="A4322" s="30" t="str">
        <x:v>A050</x:v>
      </x:c>
      <x:c r="B4322" s="30" t="str">
        <x:v>F297</x:v>
      </x:c>
      <x:c r="C4322" s="30" t="str">
        <x:v>compute.memory_capacity_bytes</x:v>
      </x:c>
      <x:c r="D4322" s="30" t="str">
        <x:v>候选输入schema</x:v>
      </x:c>
      <x:c r="E4322" s="30" t="str">
        <x:v>按执行角色权限读取；策略只能使用可访问快照</x:v>
      </x:c>
    </x:row>
    <x:row r="4323" ht="32" customHeight="1">
      <x:c r="A4323" s="30" t="str">
        <x:v>A050</x:v>
      </x:c>
      <x:c r="B4323" s="30" t="str">
        <x:v>F298</x:v>
      </x:c>
      <x:c r="C4323" s="30" t="str">
        <x:v>compute.memory_used_bytes</x:v>
      </x:c>
      <x:c r="D4323" s="30" t="str">
        <x:v>候选输入schema</x:v>
      </x:c>
      <x:c r="E4323" s="30" t="str">
        <x:v>按执行角色权限读取；策略只能使用可访问快照</x:v>
      </x:c>
    </x:row>
    <x:row r="4324" ht="32" customHeight="1">
      <x:c r="A4324" s="30" t="str">
        <x:v>A050</x:v>
      </x:c>
      <x:c r="B4324" s="30" t="str">
        <x:v>F299</x:v>
      </x:c>
      <x:c r="C4324" s="30" t="str">
        <x:v>compute.cpu_allocated</x:v>
      </x:c>
      <x:c r="D4324" s="30" t="str">
        <x:v>候选输入schema</x:v>
      </x:c>
      <x:c r="E4324" s="30" t="str">
        <x:v>按执行角色权限读取；策略只能使用可访问快照</x:v>
      </x:c>
    </x:row>
    <x:row r="4325" ht="32" customHeight="1">
      <x:c r="A4325" s="30" t="str">
        <x:v>A050</x:v>
      </x:c>
      <x:c r="B4325" s="30" t="str">
        <x:v>F300</x:v>
      </x:c>
      <x:c r="C4325" s="30" t="str">
        <x:v>compute.accelerator_allocated</x:v>
      </x:c>
      <x:c r="D4325" s="30" t="str">
        <x:v>候选输入schema</x:v>
      </x:c>
      <x:c r="E4325" s="30" t="str">
        <x:v>按执行角色权限读取；策略只能使用可访问快照</x:v>
      </x:c>
    </x:row>
    <x:row r="4326" ht="32" customHeight="1">
      <x:c r="A4326" s="30" t="str">
        <x:v>A050</x:v>
      </x:c>
      <x:c r="B4326" s="30" t="str">
        <x:v>F301</x:v>
      </x:c>
      <x:c r="C4326" s="30" t="str">
        <x:v>compute.max_concurrency</x:v>
      </x:c>
      <x:c r="D4326" s="30" t="str">
        <x:v>候选输入schema</x:v>
      </x:c>
      <x:c r="E4326" s="30" t="str">
        <x:v>按执行角色权限读取；策略只能使用可访问快照</x:v>
      </x:c>
    </x:row>
    <x:row r="4327" ht="32" customHeight="1">
      <x:c r="A4327" s="30" t="str">
        <x:v>A050</x:v>
      </x:c>
      <x:c r="B4327" s="30" t="str">
        <x:v>F302</x:v>
      </x:c>
      <x:c r="C4327" s="30" t="str">
        <x:v>compute.queue_ids</x:v>
      </x:c>
      <x:c r="D4327" s="30" t="str">
        <x:v>候选输入schema</x:v>
      </x:c>
      <x:c r="E4327" s="30" t="str">
        <x:v>按执行角色权限读取；策略只能使用可访问快照</x:v>
      </x:c>
    </x:row>
    <x:row r="4328" ht="32" customHeight="1">
      <x:c r="A4328" s="30" t="str">
        <x:v>A050</x:v>
      </x:c>
      <x:c r="B4328" s="30" t="str">
        <x:v>F303</x:v>
      </x:c>
      <x:c r="C4328" s="30" t="str">
        <x:v>compute.running_job_ids</x:v>
      </x:c>
      <x:c r="D4328" s="30" t="str">
        <x:v>候选输入schema</x:v>
      </x:c>
      <x:c r="E4328" s="30" t="str">
        <x:v>按执行角色权限读取；策略只能使用可访问快照</x:v>
      </x:c>
    </x:row>
    <x:row r="4329" ht="32" customHeight="1">
      <x:c r="A4329" s="30" t="str">
        <x:v>A050</x:v>
      </x:c>
      <x:c r="B4329" s="30" t="str">
        <x:v>F304</x:v>
      </x:c>
      <x:c r="C4329" s="30" t="str">
        <x:v>compute.availability</x:v>
      </x:c>
      <x:c r="D4329" s="30" t="str">
        <x:v>候选输入schema</x:v>
      </x:c>
      <x:c r="E4329" s="30" t="str">
        <x:v>按执行角色权限读取；策略只能使用可访问快照</x:v>
      </x:c>
    </x:row>
    <x:row r="4330" ht="32" customHeight="1">
      <x:c r="A4330" s="30" t="str">
        <x:v>A050</x:v>
      </x:c>
      <x:c r="B4330" s="30" t="str">
        <x:v>F305</x:v>
      </x:c>
      <x:c r="C4330" s="30" t="str">
        <x:v>compute.power_model</x:v>
      </x:c>
      <x:c r="D4330" s="30" t="str">
        <x:v>候选输入schema</x:v>
      </x:c>
      <x:c r="E4330" s="30" t="str">
        <x:v>按执行角色权限读取；策略只能使用可访问快照</x:v>
      </x:c>
    </x:row>
    <x:row r="4331" ht="32" customHeight="1">
      <x:c r="A4331" s="30" t="str">
        <x:v>A050</x:v>
      </x:c>
      <x:c r="B4331" s="30" t="str">
        <x:v>F306</x:v>
      </x:c>
      <x:c r="C4331" s="30" t="str">
        <x:v>compute.energy_Wh</x:v>
      </x:c>
      <x:c r="D4331" s="30" t="str">
        <x:v>候选输入schema</x:v>
      </x:c>
      <x:c r="E4331" s="30" t="str">
        <x:v>按执行角色权限读取；策略只能使用可访问快照</x:v>
      </x:c>
    </x:row>
    <x:row r="4332" ht="32" customHeight="1">
      <x:c r="A4332" s="30" t="str">
        <x:v>A050</x:v>
      </x:c>
      <x:c r="B4332" s="30" t="str">
        <x:v>F307</x:v>
      </x:c>
      <x:c r="C4332" s="30" t="str">
        <x:v>compute.service_ids</x:v>
      </x:c>
      <x:c r="D4332" s="30" t="str">
        <x:v>候选输入schema</x:v>
      </x:c>
      <x:c r="E4332" s="30" t="str">
        <x:v>按执行角色权限读取；策略只能使用可访问快照</x:v>
      </x:c>
    </x:row>
    <x:row r="4333" ht="32" customHeight="1">
      <x:c r="A4333" s="30" t="str">
        <x:v>A050</x:v>
      </x:c>
      <x:c r="B4333" s="30" t="str">
        <x:v>F308</x:v>
      </x:c>
      <x:c r="C4333" s="30" t="str">
        <x:v>compute.storage_free_bytes</x:v>
      </x:c>
      <x:c r="D4333" s="30" t="str">
        <x:v>候选输入schema</x:v>
      </x:c>
      <x:c r="E4333" s="30" t="str">
        <x:v>按执行角色权限读取；策略只能使用可访问快照</x:v>
      </x:c>
    </x:row>
    <x:row r="4334" ht="32" customHeight="1">
      <x:c r="A4334" s="30" t="str">
        <x:v>A050</x:v>
      </x:c>
      <x:c r="B4334" s="30" t="str">
        <x:v>F309</x:v>
      </x:c>
      <x:c r="C4334" s="30" t="str">
        <x:v>compute.clock_policy</x:v>
      </x:c>
      <x:c r="D4334" s="30" t="str">
        <x:v>候选输入schema</x:v>
      </x:c>
      <x:c r="E4334" s="30" t="str">
        <x:v>按执行角色权限读取；策略只能使用可访问快照</x:v>
      </x:c>
    </x:row>
    <x:row r="4335" ht="32" customHeight="1">
      <x:c r="A4335" s="30" t="str">
        <x:v>A050</x:v>
      </x:c>
      <x:c r="B4335" s="30" t="str">
        <x:v>F310</x:v>
      </x:c>
      <x:c r="C4335" s="30" t="str">
        <x:v>compute.timing_profile_id</x:v>
      </x:c>
      <x:c r="D4335" s="30" t="str">
        <x:v>候选输入schema</x:v>
      </x:c>
      <x:c r="E4335" s="30" t="str">
        <x:v>按执行角色权限读取；策略只能使用可访问快照</x:v>
      </x:c>
    </x:row>
    <x:row r="4336" ht="32" customHeight="1">
      <x:c r="A4336" s="30" t="str">
        <x:v>A050</x:v>
      </x:c>
      <x:c r="B4336" s="30" t="str">
        <x:v>F311</x:v>
      </x:c>
      <x:c r="C4336" s="30" t="str">
        <x:v>compute.temperature_state</x:v>
      </x:c>
      <x:c r="D4336" s="30" t="str">
        <x:v>候选输入schema</x:v>
      </x:c>
      <x:c r="E4336" s="30" t="str">
        <x:v>按执行角色权限读取；策略只能使用可访问快照</x:v>
      </x:c>
    </x:row>
    <x:row r="4337" ht="32" customHeight="1">
      <x:c r="A4337" s="30" t="str">
        <x:v>A050</x:v>
      </x:c>
      <x:c r="B4337" s="30" t="str">
        <x:v>F312</x:v>
      </x:c>
      <x:c r="C4337" s="30" t="str">
        <x:v>compute.network_endpoint</x:v>
      </x:c>
      <x:c r="D4337" s="30" t="str">
        <x:v>候选输入schema</x:v>
      </x:c>
      <x:c r="E4337" s="30" t="str">
        <x:v>按执行角色权限读取；策略只能使用可访问快照</x:v>
      </x:c>
    </x:row>
    <x:row r="4338" ht="32" customHeight="1">
      <x:c r="A4338" s="30" t="str">
        <x:v>A050</x:v>
      </x:c>
      <x:c r="B4338" s="30" t="str">
        <x:v>F329</x:v>
      </x:c>
      <x:c r="C4338" s="30" t="str">
        <x:v>job.requester_id</x:v>
      </x:c>
      <x:c r="D4338" s="30" t="str">
        <x:v>候选输入schema</x:v>
      </x:c>
      <x:c r="E4338" s="30" t="str">
        <x:v>按执行角色权限读取；策略只能使用可访问快照</x:v>
      </x:c>
    </x:row>
    <x:row r="4339" ht="32" customHeight="1">
      <x:c r="A4339" s="30" t="str">
        <x:v>A050</x:v>
      </x:c>
      <x:c r="B4339" s="30" t="str">
        <x:v>F330</x:v>
      </x:c>
      <x:c r="C4339" s="30" t="str">
        <x:v>job.task_ref</x:v>
      </x:c>
      <x:c r="D4339" s="30" t="str">
        <x:v>候选输入schema</x:v>
      </x:c>
      <x:c r="E4339" s="30" t="str">
        <x:v>按执行角色权限读取；策略只能使用可访问快照</x:v>
      </x:c>
    </x:row>
    <x:row r="4340" ht="32" customHeight="1">
      <x:c r="A4340" s="30" t="str">
        <x:v>A050</x:v>
      </x:c>
      <x:c r="B4340" s="30" t="str">
        <x:v>F331</x:v>
      </x:c>
      <x:c r="C4340" s="30" t="str">
        <x:v>job.service_id</x:v>
      </x:c>
      <x:c r="D4340" s="30" t="str">
        <x:v>候选输入schema</x:v>
      </x:c>
      <x:c r="E4340" s="30" t="str">
        <x:v>按执行角色权限读取；策略只能使用可访问快照</x:v>
      </x:c>
    </x:row>
    <x:row r="4341" ht="32" customHeight="1">
      <x:c r="A4341" s="30" t="str">
        <x:v>A050</x:v>
      </x:c>
      <x:c r="B4341" s="30" t="str">
        <x:v>F332</x:v>
      </x:c>
      <x:c r="C4341" s="30" t="str">
        <x:v>job.input_evidence_ids</x:v>
      </x:c>
      <x:c r="D4341" s="30" t="str">
        <x:v>候选输入schema</x:v>
      </x:c>
      <x:c r="E4341" s="30" t="str">
        <x:v>按执行角色权限读取；策略只能使用可访问快照</x:v>
      </x:c>
    </x:row>
    <x:row r="4342" ht="32" customHeight="1">
      <x:c r="A4342" s="30" t="str">
        <x:v>A050</x:v>
      </x:c>
      <x:c r="B4342" s="30" t="str">
        <x:v>F333</x:v>
      </x:c>
      <x:c r="C4342" s="30" t="str">
        <x:v>job.input_bytes</x:v>
      </x:c>
      <x:c r="D4342" s="30" t="str">
        <x:v>候选输入schema</x:v>
      </x:c>
      <x:c r="E4342" s="30" t="str">
        <x:v>按执行角色权限读取；策略只能使用可访问快照</x:v>
      </x:c>
    </x:row>
    <x:row r="4343" ht="32" customHeight="1">
      <x:c r="A4343" s="30" t="str">
        <x:v>A050</x:v>
      </x:c>
      <x:c r="B4343" s="30" t="str">
        <x:v>F334</x:v>
      </x:c>
      <x:c r="C4343" s="30" t="str">
        <x:v>job.input_tokens</x:v>
      </x:c>
      <x:c r="D4343" s="30" t="str">
        <x:v>候选输入schema</x:v>
      </x:c>
      <x:c r="E4343" s="30" t="str">
        <x:v>按执行角色权限读取；策略只能使用可访问快照</x:v>
      </x:c>
    </x:row>
    <x:row r="4344" ht="32" customHeight="1">
      <x:c r="A4344" s="30" t="str">
        <x:v>A050</x:v>
      </x:c>
      <x:c r="B4344" s="30" t="str">
        <x:v>F335</x:v>
      </x:c>
      <x:c r="C4344" s="30" t="str">
        <x:v>job.output_tokens</x:v>
      </x:c>
      <x:c r="D4344" s="30" t="str">
        <x:v>候选输入schema</x:v>
      </x:c>
      <x:c r="E4344" s="30" t="str">
        <x:v>按执行角色权限读取；策略只能使用可访问快照</x:v>
      </x:c>
    </x:row>
    <x:row r="4345" ht="32" customHeight="1">
      <x:c r="A4345" s="30" t="str">
        <x:v>A050</x:v>
      </x:c>
      <x:c r="B4345" s="30" t="str">
        <x:v>F336</x:v>
      </x:c>
      <x:c r="C4345" s="30" t="str">
        <x:v>job.status</x:v>
      </x:c>
      <x:c r="D4345" s="30" t="str">
        <x:v>候选输入schema</x:v>
      </x:c>
      <x:c r="E4345" s="30" t="str">
        <x:v>按执行角色权限读取；策略只能使用可访问快照</x:v>
      </x:c>
    </x:row>
    <x:row r="4346" ht="32" customHeight="1">
      <x:c r="A4346" s="30" t="str">
        <x:v>A050</x:v>
      </x:c>
      <x:c r="B4346" s="30" t="str">
        <x:v>F337</x:v>
      </x:c>
      <x:c r="C4346" s="30" t="str">
        <x:v>job.queue_enter_s</x:v>
      </x:c>
      <x:c r="D4346" s="30" t="str">
        <x:v>候选输入schema</x:v>
      </x:c>
      <x:c r="E4346" s="30" t="str">
        <x:v>按执行角色权限读取；策略只能使用可访问快照</x:v>
      </x:c>
    </x:row>
    <x:row r="4347" ht="32" customHeight="1">
      <x:c r="A4347" s="30" t="str">
        <x:v>A050</x:v>
      </x:c>
      <x:c r="B4347" s="30" t="str">
        <x:v>F338</x:v>
      </x:c>
      <x:c r="C4347" s="30" t="str">
        <x:v>job.start_s</x:v>
      </x:c>
      <x:c r="D4347" s="30" t="str">
        <x:v>候选输入schema</x:v>
      </x:c>
      <x:c r="E4347" s="30" t="str">
        <x:v>按执行角色权限读取；策略只能使用可访问快照</x:v>
      </x:c>
    </x:row>
    <x:row r="4348" ht="32" customHeight="1">
      <x:c r="A4348" s="30" t="str">
        <x:v>A050</x:v>
      </x:c>
      <x:c r="B4348" s="30" t="str">
        <x:v>F339</x:v>
      </x:c>
      <x:c r="C4348" s="30" t="str">
        <x:v>job.finish_s</x:v>
      </x:c>
      <x:c r="D4348" s="30" t="str">
        <x:v>候选输入schema</x:v>
      </x:c>
      <x:c r="E4348" s="30" t="str">
        <x:v>按执行角色权限读取；策略只能使用可访问快照</x:v>
      </x:c>
    </x:row>
    <x:row r="4349" ht="32" customHeight="1">
      <x:c r="A4349" s="30" t="str">
        <x:v>A050</x:v>
      </x:c>
      <x:c r="B4349" s="30" t="str">
        <x:v>F340</x:v>
      </x:c>
      <x:c r="C4349" s="30" t="str">
        <x:v>job.deadline_s</x:v>
      </x:c>
      <x:c r="D4349" s="30" t="str">
        <x:v>候选输入schema</x:v>
      </x:c>
      <x:c r="E4349" s="30" t="str">
        <x:v>按执行角色权限读取；策略只能使用可访问快照</x:v>
      </x:c>
    </x:row>
    <x:row r="4350" ht="32" customHeight="1">
      <x:c r="A4350" s="30" t="str">
        <x:v>A050</x:v>
      </x:c>
      <x:c r="B4350" s="30" t="str">
        <x:v>F341</x:v>
      </x:c>
      <x:c r="C4350" s="30" t="str">
        <x:v>job.cpu_request</x:v>
      </x:c>
      <x:c r="D4350" s="30" t="str">
        <x:v>候选输入schema</x:v>
      </x:c>
      <x:c r="E4350" s="30" t="str">
        <x:v>按执行角色权限读取；策略只能使用可访问快照</x:v>
      </x:c>
    </x:row>
    <x:row r="4351" ht="32" customHeight="1">
      <x:c r="A4351" s="30" t="str">
        <x:v>A050</x:v>
      </x:c>
      <x:c r="B4351" s="30" t="str">
        <x:v>F342</x:v>
      </x:c>
      <x:c r="C4351" s="30" t="str">
        <x:v>job.memory_request_bytes</x:v>
      </x:c>
      <x:c r="D4351" s="30" t="str">
        <x:v>候选输入schema</x:v>
      </x:c>
      <x:c r="E4351" s="30" t="str">
        <x:v>按执行角色权限读取；策略只能使用可访问快照</x:v>
      </x:c>
    </x:row>
    <x:row r="4352" ht="32" customHeight="1">
      <x:c r="A4352" s="30" t="str">
        <x:v>A050</x:v>
      </x:c>
      <x:c r="B4352" s="30" t="str">
        <x:v>F343</x:v>
      </x:c>
      <x:c r="C4352" s="30" t="str">
        <x:v>job.prefill_s</x:v>
      </x:c>
      <x:c r="D4352" s="30" t="str">
        <x:v>候选输入schema</x:v>
      </x:c>
      <x:c r="E4352" s="30" t="str">
        <x:v>按执行角色权限读取；策略只能使用可访问快照</x:v>
      </x:c>
    </x:row>
    <x:row r="4353" ht="32" customHeight="1">
      <x:c r="A4353" s="30" t="str">
        <x:v>A050</x:v>
      </x:c>
      <x:c r="B4353" s="30" t="str">
        <x:v>F344</x:v>
      </x:c>
      <x:c r="C4353" s="30" t="str">
        <x:v>job.decode_s</x:v>
      </x:c>
      <x:c r="D4353" s="30" t="str">
        <x:v>候选输入schema</x:v>
      </x:c>
      <x:c r="E4353" s="30" t="str">
        <x:v>按执行角色权限读取；策略只能使用可访问快照</x:v>
      </x:c>
    </x:row>
    <x:row r="4354" ht="32" customHeight="1">
      <x:c r="A4354" s="30" t="str">
        <x:v>A050</x:v>
      </x:c>
      <x:c r="B4354" s="30" t="str">
        <x:v>F345</x:v>
      </x:c>
      <x:c r="C4354" s="30" t="str">
        <x:v>job.wall_time_s</x:v>
      </x:c>
      <x:c r="D4354" s="30" t="str">
        <x:v>候选输入schema</x:v>
      </x:c>
      <x:c r="E4354" s="30" t="str">
        <x:v>按执行角色权限读取；策略只能使用可访问快照</x:v>
      </x:c>
    </x:row>
    <x:row r="4355" ht="32" customHeight="1">
      <x:c r="A4355" s="30" t="str">
        <x:v>A050</x:v>
      </x:c>
      <x:c r="B4355" s="30" t="str">
        <x:v>F346</x:v>
      </x:c>
      <x:c r="C4355" s="30" t="str">
        <x:v>job.result_ref</x:v>
      </x:c>
      <x:c r="D4355" s="30" t="str">
        <x:v>候选输入schema</x:v>
      </x:c>
      <x:c r="E4355" s="30" t="str">
        <x:v>按执行角色权限读取；策略只能使用可访问快照</x:v>
      </x:c>
    </x:row>
    <x:row r="4356" ht="32" customHeight="1">
      <x:c r="A4356" s="30" t="str">
        <x:v>A050</x:v>
      </x:c>
      <x:c r="B4356" s="30" t="str">
        <x:v>F347</x:v>
      </x:c>
      <x:c r="C4356" s="30" t="str">
        <x:v>job.checkpoint_ref</x:v>
      </x:c>
      <x:c r="D4356" s="30" t="str">
        <x:v>候选输入schema</x:v>
      </x:c>
      <x:c r="E4356" s="30" t="str">
        <x:v>按执行角色权限读取；策略只能使用可访问快照</x:v>
      </x:c>
    </x:row>
    <x:row r="4357" ht="32" customHeight="1">
      <x:c r="A4357" s="30" t="str">
        <x:v>A050</x:v>
      </x:c>
      <x:c r="B4357" s="30" t="str">
        <x:v>F348</x:v>
      </x:c>
      <x:c r="C4357" s="30" t="str">
        <x:v>job.failure_reason</x:v>
      </x:c>
      <x:c r="D4357" s="30" t="str">
        <x:v>候选输入schema</x:v>
      </x:c>
      <x:c r="E4357" s="30" t="str">
        <x:v>按执行角色权限读取；策略只能使用可访问快照</x:v>
      </x:c>
    </x:row>
    <x:row r="4358" ht="32" customHeight="1">
      <x:c r="A4358" s="30" t="str">
        <x:v>A050</x:v>
      </x:c>
      <x:c r="B4358" s="30" t="str">
        <x:v>F371</x:v>
      </x:c>
      <x:c r="C4358" s="30" t="str">
        <x:v>region.land_use</x:v>
      </x:c>
      <x:c r="D4358" s="30" t="str">
        <x:v>候选输入schema</x:v>
      </x:c>
      <x:c r="E4358" s="30" t="str">
        <x:v>按执行角色权限读取；策略只能使用可访问快照</x:v>
      </x:c>
    </x:row>
    <x:row r="4359" ht="32" customHeight="1">
      <x:c r="A4359" s="30" t="str">
        <x:v>A050</x:v>
      </x:c>
      <x:c r="B4359" s="30" t="str">
        <x:v>F372</x:v>
      </x:c>
      <x:c r="C4359" s="30" t="str">
        <x:v>region.building_density</x:v>
      </x:c>
      <x:c r="D4359" s="30" t="str">
        <x:v>候选输入schema</x:v>
      </x:c>
      <x:c r="E4359" s="30" t="str">
        <x:v>按执行角色权限读取；策略只能使用可访问快照</x:v>
      </x:c>
    </x:row>
    <x:row r="4360" ht="32" customHeight="1">
      <x:c r="A4360" s="30" t="str">
        <x:v>A050</x:v>
      </x:c>
      <x:c r="B4360" s="30" t="str">
        <x:v>F373</x:v>
      </x:c>
      <x:c r="C4360" s="30" t="str">
        <x:v>region.road_pattern</x:v>
      </x:c>
      <x:c r="D4360" s="30" t="str">
        <x:v>候选输入schema</x:v>
      </x:c>
      <x:c r="E4360" s="30" t="str">
        <x:v>按执行角色权限读取；策略只能使用可访问快照</x:v>
      </x:c>
    </x:row>
    <x:row r="4361" ht="32" customHeight="1">
      <x:c r="A4361" s="30" t="str">
        <x:v>A050</x:v>
      </x:c>
      <x:c r="B4361" s="30" t="str">
        <x:v>F374</x:v>
      </x:c>
      <x:c r="C4361" s="30" t="str">
        <x:v>region.occupancy_prior_id</x:v>
      </x:c>
      <x:c r="D4361" s="30" t="str">
        <x:v>候选输入schema</x:v>
      </x:c>
      <x:c r="E4361" s="30" t="str">
        <x:v>按执行角色权限读取；策略只能使用可访问快照</x:v>
      </x:c>
    </x:row>
    <x:row r="4362" ht="32" customHeight="1">
      <x:c r="A4362" s="30" t="str">
        <x:v>A050</x:v>
      </x:c>
      <x:c r="B4362" s="30" t="str">
        <x:v>F375</x:v>
      </x:c>
      <x:c r="C4362" s="30" t="str">
        <x:v>region.disaster_profile_id</x:v>
      </x:c>
      <x:c r="D4362" s="30" t="str">
        <x:v>候选输入schema</x:v>
      </x:c>
      <x:c r="E4362" s="30" t="str">
        <x:v>按执行角色权限读取；策略只能使用可访问快照</x:v>
      </x:c>
    </x:row>
    <x:row r="4363" ht="32" customHeight="1">
      <x:c r="A4363" s="30" t="str">
        <x:v>A050</x:v>
      </x:c>
      <x:c r="B4363" s="30" t="str">
        <x:v>F376</x:v>
      </x:c>
      <x:c r="C4363" s="30" t="str">
        <x:v>region.surface_palette</x:v>
      </x:c>
      <x:c r="D4363" s="30" t="str">
        <x:v>候选输入schema</x:v>
      </x:c>
      <x:c r="E4363" s="30" t="str">
        <x:v>按执行角色权限读取；策略只能使用可访问快照</x:v>
      </x:c>
    </x:row>
    <x:row r="4364" ht="32" customHeight="1">
      <x:c r="A4364" s="30" t="str">
        <x:v>A050</x:v>
      </x:c>
      <x:c r="B4364" s="30" t="str">
        <x:v>F377</x:v>
      </x:c>
      <x:c r="C4364" s="30" t="str">
        <x:v>region.base_elevation_m</x:v>
      </x:c>
      <x:c r="D4364" s="30" t="str">
        <x:v>候选输入schema</x:v>
      </x:c>
      <x:c r="E4364" s="30" t="str">
        <x:v>按执行角色权限读取；策略只能使用可访问快照</x:v>
      </x:c>
    </x:row>
    <x:row r="4365" ht="32" customHeight="1">
      <x:c r="A4365" s="30" t="str">
        <x:v>A050</x:v>
      </x:c>
      <x:c r="B4365" s="30" t="str">
        <x:v>F378</x:v>
      </x:c>
      <x:c r="C4365" s="30" t="str">
        <x:v>episode.scenario_id</x:v>
      </x:c>
      <x:c r="D4365" s="30" t="str">
        <x:v>候选输入schema</x:v>
      </x:c>
      <x:c r="E4365" s="30" t="str">
        <x:v>按执行角色权限读取；策略只能使用可访问快照</x:v>
      </x:c>
    </x:row>
    <x:row r="4366" ht="32" customHeight="1">
      <x:c r="A4366" s="30" t="str">
        <x:v>A050</x:v>
      </x:c>
      <x:c r="B4366" s="30" t="str">
        <x:v>F379</x:v>
      </x:c>
      <x:c r="C4366" s="30" t="str">
        <x:v>episode.map_revision</x:v>
      </x:c>
      <x:c r="D4366" s="30" t="str">
        <x:v>候选输入schema</x:v>
      </x:c>
      <x:c r="E4366" s="30" t="str">
        <x:v>按执行角色权限读取；策略只能使用可访问快照</x:v>
      </x:c>
    </x:row>
    <x:row r="4367" ht="32" customHeight="1">
      <x:c r="A4367" s="30" t="str">
        <x:v>A050</x:v>
      </x:c>
      <x:c r="B4367" s="30" t="str">
        <x:v>F380</x:v>
      </x:c>
      <x:c r="C4367" s="30" t="str">
        <x:v>episode.seed</x:v>
      </x:c>
      <x:c r="D4367" s="30" t="str">
        <x:v>候选输入schema</x:v>
      </x:c>
      <x:c r="E4367" s="30" t="str">
        <x:v>按执行角色权限读取；策略只能使用可访问快照</x:v>
      </x:c>
    </x:row>
    <x:row r="4368" ht="32" customHeight="1">
      <x:c r="A4368" s="30" t="str">
        <x:v>A050</x:v>
      </x:c>
      <x:c r="B4368" s="30" t="str">
        <x:v>F381</x:v>
      </x:c>
      <x:c r="C4368" s="30" t="str">
        <x:v>episode.sim_time_s</x:v>
      </x:c>
      <x:c r="D4368" s="30" t="str">
        <x:v>候选输入schema</x:v>
      </x:c>
      <x:c r="E4368" s="30" t="str">
        <x:v>按执行角色权限读取；策略只能使用可访问快照</x:v>
      </x:c>
    </x:row>
    <x:row r="4369" ht="32" customHeight="1">
      <x:c r="A4369" s="30" t="str">
        <x:v>A050</x:v>
      </x:c>
      <x:c r="B4369" s="30" t="str">
        <x:v>F382</x:v>
      </x:c>
      <x:c r="C4369" s="30" t="str">
        <x:v>episode.clock_step_s</x:v>
      </x:c>
      <x:c r="D4369" s="30" t="str">
        <x:v>候选输入schema</x:v>
      </x:c>
      <x:c r="E4369" s="30" t="str">
        <x:v>按执行角色权限读取；策略只能使用可访问快照</x:v>
      </x:c>
    </x:row>
    <x:row r="4370" ht="32" customHeight="1">
      <x:c r="A4370" s="30" t="str">
        <x:v>A050</x:v>
      </x:c>
      <x:c r="B4370" s="30" t="str">
        <x:v>F383</x:v>
      </x:c>
      <x:c r="C4370" s="30" t="str">
        <x:v>episode.world_frame</x:v>
      </x:c>
      <x:c r="D4370" s="30" t="str">
        <x:v>候选输入schema</x:v>
      </x:c>
      <x:c r="E4370" s="30" t="str">
        <x:v>按执行角色权限读取；策略只能使用可访问快照</x:v>
      </x:c>
    </x:row>
    <x:row r="4371" ht="32" customHeight="1">
      <x:c r="A4371" s="30" t="str">
        <x:v>A050</x:v>
      </x:c>
      <x:c r="B4371" s="30" t="str">
        <x:v>F384</x:v>
      </x:c>
      <x:c r="C4371" s="30" t="str">
        <x:v>episode.map_bounds_m</x:v>
      </x:c>
      <x:c r="D4371" s="30" t="str">
        <x:v>候选输入schema</x:v>
      </x:c>
      <x:c r="E4371" s="30" t="str">
        <x:v>按执行角色权限读取；策略只能使用可访问快照</x:v>
      </x:c>
    </x:row>
    <x:row r="4372" ht="32" customHeight="1">
      <x:c r="A4372" s="30" t="str">
        <x:v>A050</x:v>
      </x:c>
      <x:c r="B4372" s="30" t="str">
        <x:v>F385</x:v>
      </x:c>
      <x:c r="C4372" s="30" t="str">
        <x:v>episode.backend_modes</x:v>
      </x:c>
      <x:c r="D4372" s="30" t="str">
        <x:v>候选输入schema</x:v>
      </x:c>
      <x:c r="E4372" s="30" t="str">
        <x:v>按执行角色权限读取；策略只能使用可访问快照</x:v>
      </x:c>
    </x:row>
    <x:row r="4373" ht="32" customHeight="1">
      <x:c r="A4373" s="30" t="str">
        <x:v>A050</x:v>
      </x:c>
      <x:c r="B4373" s="30" t="str">
        <x:v>F196</x:v>
      </x:c>
      <x:c r="C4373" s="30" t="str">
        <x:v>task.type</x:v>
      </x:c>
      <x:c r="D4373" s="30" t="str">
        <x:v>直接效果</x:v>
      </x:c>
      <x:c r="E4373" s="30" t="str">
        <x:v>经实际执行/回执提交；不是规划时提前修改</x:v>
      </x:c>
    </x:row>
    <x:row r="4374" ht="32" customHeight="1">
      <x:c r="A4374" s="30" t="str">
        <x:v>A050</x:v>
      </x:c>
      <x:c r="B4374" s="30" t="str">
        <x:v>F199</x:v>
      </x:c>
      <x:c r="C4374" s="30" t="str">
        <x:v>task.goal_predicate</x:v>
      </x:c>
      <x:c r="D4374" s="30" t="str">
        <x:v>直接效果</x:v>
      </x:c>
      <x:c r="E4374" s="30" t="str">
        <x:v>经实际执行/回执提交；不是规划时提前修改</x:v>
      </x:c>
    </x:row>
    <x:row r="4375" ht="32" customHeight="1">
      <x:c r="A4375" s="30" t="str">
        <x:v>A050</x:v>
      </x:c>
      <x:c r="B4375" s="30" t="str">
        <x:v>F204</x:v>
      </x:c>
      <x:c r="C4375" s="30" t="str">
        <x:v>task.dependency_ids</x:v>
      </x:c>
      <x:c r="D4375" s="30" t="str">
        <x:v>直接效果</x:v>
      </x:c>
      <x:c r="E4375" s="30" t="str">
        <x:v>经实际执行/回执提交；不是规划时提前修改</x:v>
      </x:c>
    </x:row>
    <x:row r="4376" ht="32" customHeight="1">
      <x:c r="A4376" s="30" t="str">
        <x:v>A050</x:v>
      </x:c>
      <x:c r="B4376" s="30" t="str">
        <x:v>F201</x:v>
      </x:c>
      <x:c r="C4376" s="30" t="str">
        <x:v>task.status</x:v>
      </x:c>
      <x:c r="D4376" s="30" t="str">
        <x:v>直接效果</x:v>
      </x:c>
      <x:c r="E4376" s="30" t="str">
        <x:v>经实际执行/回执提交；不是规划时提前修改</x:v>
      </x:c>
    </x:row>
    <x:row r="4377" ht="32" customHeight="1">
      <x:c r="A4377" s="30" t="str">
        <x:v>A050</x:v>
      </x:c>
      <x:c r="B4377" s="30" t="str">
        <x:v>F197</x:v>
      </x:c>
      <x:c r="C4377" s="30" t="str">
        <x:v>task.creator_id</x:v>
      </x:c>
      <x:c r="D4377" s="30" t="str">
        <x:v>直接效果</x:v>
      </x:c>
      <x:c r="E4377" s="30" t="str">
        <x:v>经实际执行/回执提交；不是规划时提前修改</x:v>
      </x:c>
    </x:row>
    <x:row r="4378" ht="32" customHeight="1">
      <x:c r="A4378" s="30" t="str">
        <x:v>A051</x:v>
      </x:c>
      <x:c r="B4378" s="30" t="str">
        <x:v>F095</x:v>
      </x:c>
      <x:c r="C4378" s="30" t="str">
        <x:v>platform.kind</x:v>
      </x:c>
      <x:c r="D4378" s="30" t="str">
        <x:v>候选输入schema</x:v>
      </x:c>
      <x:c r="E4378" s="30" t="str">
        <x:v>按执行角色权限读取；策略只能使用可访问快照</x:v>
      </x:c>
    </x:row>
    <x:row r="4379" ht="32" customHeight="1">
      <x:c r="A4379" s="30" t="str">
        <x:v>A051</x:v>
      </x:c>
      <x:c r="B4379" s="30" t="str">
        <x:v>F096</x:v>
      </x:c>
      <x:c r="C4379" s="30" t="str">
        <x:v>platform.capability_ids</x:v>
      </x:c>
      <x:c r="D4379" s="30" t="str">
        <x:v>候选输入schema</x:v>
      </x:c>
      <x:c r="E4379" s="30" t="str">
        <x:v>按执行角色权限读取；策略只能使用可访问快照</x:v>
      </x:c>
    </x:row>
    <x:row r="4380" ht="32" customHeight="1">
      <x:c r="A4380" s="30" t="str">
        <x:v>A051</x:v>
      </x:c>
      <x:c r="B4380" s="30" t="str">
        <x:v>F097</x:v>
      </x:c>
      <x:c r="C4380" s="30" t="str">
        <x:v>platform.equipment_ids</x:v>
      </x:c>
      <x:c r="D4380" s="30" t="str">
        <x:v>候选输入schema</x:v>
      </x:c>
      <x:c r="E4380" s="30" t="str">
        <x:v>按执行角色权限读取；策略只能使用可访问快照</x:v>
      </x:c>
    </x:row>
    <x:row r="4381" ht="32" customHeight="1">
      <x:c r="A4381" s="30" t="str">
        <x:v>A051</x:v>
      </x:c>
      <x:c r="B4381" s="30" t="str">
        <x:v>F098</x:v>
      </x:c>
      <x:c r="C4381" s="30" t="str">
        <x:v>platform.width_m</x:v>
      </x:c>
      <x:c r="D4381" s="30" t="str">
        <x:v>候选输入schema</x:v>
      </x:c>
      <x:c r="E4381" s="30" t="str">
        <x:v>按执行角色权限读取；策略只能使用可访问快照</x:v>
      </x:c>
    </x:row>
    <x:row r="4382" ht="32" customHeight="1">
      <x:c r="A4382" s="30" t="str">
        <x:v>A051</x:v>
      </x:c>
      <x:c r="B4382" s="30" t="str">
        <x:v>F099</x:v>
      </x:c>
      <x:c r="C4382" s="30" t="str">
        <x:v>platform.height_m</x:v>
      </x:c>
      <x:c r="D4382" s="30" t="str">
        <x:v>候选输入schema</x:v>
      </x:c>
      <x:c r="E4382" s="30" t="str">
        <x:v>按执行角色权限读取；策略只能使用可访问快照</x:v>
      </x:c>
    </x:row>
    <x:row r="4383" ht="32" customHeight="1">
      <x:c r="A4383" s="30" t="str">
        <x:v>A051</x:v>
      </x:c>
      <x:c r="B4383" s="30" t="str">
        <x:v>F100</x:v>
      </x:c>
      <x:c r="C4383" s="30" t="str">
        <x:v>platform.swept_radius_m</x:v>
      </x:c>
      <x:c r="D4383" s="30" t="str">
        <x:v>候选输入schema</x:v>
      </x:c>
      <x:c r="E4383" s="30" t="str">
        <x:v>按执行角色权限读取；策略只能使用可访问快照</x:v>
      </x:c>
    </x:row>
    <x:row r="4384" ht="32" customHeight="1">
      <x:c r="A4384" s="30" t="str">
        <x:v>A051</x:v>
      </x:c>
      <x:c r="B4384" s="30" t="str">
        <x:v>F101</x:v>
      </x:c>
      <x:c r="C4384" s="30" t="str">
        <x:v>platform.payload_capacity_kg</x:v>
      </x:c>
      <x:c r="D4384" s="30" t="str">
        <x:v>候选输入schema</x:v>
      </x:c>
      <x:c r="E4384" s="30" t="str">
        <x:v>按执行角色权限读取；策略只能使用可访问快照</x:v>
      </x:c>
    </x:row>
    <x:row r="4385" ht="32" customHeight="1">
      <x:c r="A4385" s="30" t="str">
        <x:v>A051</x:v>
      </x:c>
      <x:c r="B4385" s="30" t="str">
        <x:v>F102</x:v>
      </x:c>
      <x:c r="C4385" s="30" t="str">
        <x:v>platform.payload_used_kg</x:v>
      </x:c>
      <x:c r="D4385" s="30" t="str">
        <x:v>候选输入schema</x:v>
      </x:c>
      <x:c r="E4385" s="30" t="str">
        <x:v>按执行角色权限读取；策略只能使用可访问快照</x:v>
      </x:c>
    </x:row>
    <x:row r="4386" ht="32" customHeight="1">
      <x:c r="A4386" s="30" t="str">
        <x:v>A051</x:v>
      </x:c>
      <x:c r="B4386" s="30" t="str">
        <x:v>F103</x:v>
      </x:c>
      <x:c r="C4386" s="30" t="str">
        <x:v>platform.payload_item_ids</x:v>
      </x:c>
      <x:c r="D4386" s="30" t="str">
        <x:v>候选输入schema</x:v>
      </x:c>
      <x:c r="E4386" s="30" t="str">
        <x:v>按执行角色权限读取；策略只能使用可访问快照</x:v>
      </x:c>
    </x:row>
    <x:row r="4387" ht="32" customHeight="1">
      <x:c r="A4387" s="30" t="str">
        <x:v>A051</x:v>
      </x:c>
      <x:c r="B4387" s="30" t="str">
        <x:v>F104</x:v>
      </x:c>
      <x:c r="C4387" s="30" t="str">
        <x:v>platform.battery_capacity_Wh</x:v>
      </x:c>
      <x:c r="D4387" s="30" t="str">
        <x:v>候选输入schema</x:v>
      </x:c>
      <x:c r="E4387" s="30" t="str">
        <x:v>按执行角色权限读取；策略只能使用可访问快照</x:v>
      </x:c>
    </x:row>
    <x:row r="4388" ht="32" customHeight="1">
      <x:c r="A4388" s="30" t="str">
        <x:v>A051</x:v>
      </x:c>
      <x:c r="B4388" s="30" t="str">
        <x:v>F105</x:v>
      </x:c>
      <x:c r="C4388" s="30" t="str">
        <x:v>platform.battery_remaining_Wh</x:v>
      </x:c>
      <x:c r="D4388" s="30" t="str">
        <x:v>候选输入schema</x:v>
      </x:c>
      <x:c r="E4388" s="30" t="str">
        <x:v>按执行角色权限读取；策略只能使用可访问快照</x:v>
      </x:c>
    </x:row>
    <x:row r="4389" ht="32" customHeight="1">
      <x:c r="A4389" s="30" t="str">
        <x:v>A051</x:v>
      </x:c>
      <x:c r="B4389" s="30" t="str">
        <x:v>F106</x:v>
      </x:c>
      <x:c r="C4389" s="30" t="str">
        <x:v>platform.reserve_Wh</x:v>
      </x:c>
      <x:c r="D4389" s="30" t="str">
        <x:v>候选输入schema</x:v>
      </x:c>
      <x:c r="E4389" s="30" t="str">
        <x:v>按执行角色权限读取；策略只能使用可访问快照</x:v>
      </x:c>
    </x:row>
    <x:row r="4390" ht="32" customHeight="1">
      <x:c r="A4390" s="30" t="str">
        <x:v>A051</x:v>
      </x:c>
      <x:c r="B4390" s="30" t="str">
        <x:v>F107</x:v>
      </x:c>
      <x:c r="C4390" s="30" t="str">
        <x:v>platform.speed_limit_mps</x:v>
      </x:c>
      <x:c r="D4390" s="30" t="str">
        <x:v>候选输入schema</x:v>
      </x:c>
      <x:c r="E4390" s="30" t="str">
        <x:v>按执行角色权限读取；策略只能使用可访问快照</x:v>
      </x:c>
    </x:row>
    <x:row r="4391" ht="32" customHeight="1">
      <x:c r="A4391" s="30" t="str">
        <x:v>A051</x:v>
      </x:c>
      <x:c r="B4391" s="30" t="str">
        <x:v>F108</x:v>
      </x:c>
      <x:c r="C4391" s="30" t="str">
        <x:v>platform.energy_model</x:v>
      </x:c>
      <x:c r="D4391" s="30" t="str">
        <x:v>候选输入schema</x:v>
      </x:c>
      <x:c r="E4391" s="30" t="str">
        <x:v>按执行角色权限读取；策略只能使用可访问快照</x:v>
      </x:c>
    </x:row>
    <x:row r="4392" ht="32" customHeight="1">
      <x:c r="A4392" s="30" t="str">
        <x:v>A051</x:v>
      </x:c>
      <x:c r="B4392" s="30" t="str">
        <x:v>F109</x:v>
      </x:c>
      <x:c r="C4392" s="30" t="str">
        <x:v>platform.motion_state</x:v>
      </x:c>
      <x:c r="D4392" s="30" t="str">
        <x:v>候选输入schema</x:v>
      </x:c>
      <x:c r="E4392" s="30" t="str">
        <x:v>按执行角色权限读取；策略只能使用可访问快照</x:v>
      </x:c>
    </x:row>
    <x:row r="4393" ht="32" customHeight="1">
      <x:c r="A4393" s="30" t="str">
        <x:v>A051</x:v>
      </x:c>
      <x:c r="B4393" s="30" t="str">
        <x:v>F110</x:v>
      </x:c>
      <x:c r="C4393" s="30" t="str">
        <x:v>platform.health_state</x:v>
      </x:c>
      <x:c r="D4393" s="30" t="str">
        <x:v>候选输入schema</x:v>
      </x:c>
      <x:c r="E4393" s="30" t="str">
        <x:v>按执行角色权限读取；策略只能使用可访问快照</x:v>
      </x:c>
    </x:row>
    <x:row r="4394" ht="32" customHeight="1">
      <x:c r="A4394" s="30" t="str">
        <x:v>A051</x:v>
      </x:c>
      <x:c r="B4394" s="30" t="str">
        <x:v>F111</x:v>
      </x:c>
      <x:c r="C4394" s="30" t="str">
        <x:v>platform.current_action_id</x:v>
      </x:c>
      <x:c r="D4394" s="30" t="str">
        <x:v>候选输入schema</x:v>
      </x:c>
      <x:c r="E4394" s="30" t="str">
        <x:v>按执行角色权限读取；策略只能使用可访问快照</x:v>
      </x:c>
    </x:row>
    <x:row r="4395" ht="32" customHeight="1">
      <x:c r="A4395" s="30" t="str">
        <x:v>A051</x:v>
      </x:c>
      <x:c r="B4395" s="30" t="str">
        <x:v>F112</x:v>
      </x:c>
      <x:c r="C4395" s="30" t="str">
        <x:v>platform.busy_until_est_s</x:v>
      </x:c>
      <x:c r="D4395" s="30" t="str">
        <x:v>候选输入schema</x:v>
      </x:c>
      <x:c r="E4395" s="30" t="str">
        <x:v>按执行角色权限读取；策略只能使用可访问快照</x:v>
      </x:c>
    </x:row>
    <x:row r="4396" ht="32" customHeight="1">
      <x:c r="A4396" s="30" t="str">
        <x:v>A051</x:v>
      </x:c>
      <x:c r="B4396" s="30" t="str">
        <x:v>F113</x:v>
      </x:c>
      <x:c r="C4396" s="30" t="str">
        <x:v>platform.return_site_id</x:v>
      </x:c>
      <x:c r="D4396" s="30" t="str">
        <x:v>候选输入schema</x:v>
      </x:c>
      <x:c r="E4396" s="30" t="str">
        <x:v>按执行角色权限读取；策略只能使用可访问快照</x:v>
      </x:c>
    </x:row>
    <x:row r="4397" ht="32" customHeight="1">
      <x:c r="A4397" s="30" t="str">
        <x:v>A051</x:v>
      </x:c>
      <x:c r="B4397" s="30" t="str">
        <x:v>F114</x:v>
      </x:c>
      <x:c r="C4397" s="30" t="str">
        <x:v>platform.water_tolerance_m</x:v>
      </x:c>
      <x:c r="D4397" s="30" t="str">
        <x:v>候选输入schema</x:v>
      </x:c>
      <x:c r="E4397" s="30" t="str">
        <x:v>按执行角色权限读取；策略只能使用可访问快照</x:v>
      </x:c>
    </x:row>
    <x:row r="4398" ht="32" customHeight="1">
      <x:c r="A4398" s="30" t="str">
        <x:v>A051</x:v>
      </x:c>
      <x:c r="B4398" s="30" t="str">
        <x:v>F115</x:v>
      </x:c>
      <x:c r="C4398" s="30" t="str">
        <x:v>platform.concurrency_policy</x:v>
      </x:c>
      <x:c r="D4398" s="30" t="str">
        <x:v>候选输入schema</x:v>
      </x:c>
      <x:c r="E4398" s="30" t="str">
        <x:v>按执行角色权限读取；策略只能使用可访问快照</x:v>
      </x:c>
    </x:row>
    <x:row r="4399" ht="32" customHeight="1">
      <x:c r="A4399" s="30" t="str">
        <x:v>A051</x:v>
      </x:c>
      <x:c r="B4399" s="30" t="str">
        <x:v>F116</x:v>
      </x:c>
      <x:c r="C4399" s="30" t="str">
        <x:v>equipment.kind</x:v>
      </x:c>
      <x:c r="D4399" s="30" t="str">
        <x:v>候选输入schema</x:v>
      </x:c>
      <x:c r="E4399" s="30" t="str">
        <x:v>按执行角色权限读取；策略只能使用可访问快照</x:v>
      </x:c>
    </x:row>
    <x:row r="4400" ht="32" customHeight="1">
      <x:c r="A4400" s="30" t="str">
        <x:v>A051</x:v>
      </x:c>
      <x:c r="B4400" s="30" t="str">
        <x:v>F117</x:v>
      </x:c>
      <x:c r="C4400" s="30" t="str">
        <x:v>equipment.enabled</x:v>
      </x:c>
      <x:c r="D4400" s="30" t="str">
        <x:v>候选输入schema</x:v>
      </x:c>
      <x:c r="E4400" s="30" t="str">
        <x:v>按执行角色权限读取；策略只能使用可访问快照</x:v>
      </x:c>
    </x:row>
    <x:row r="4401" ht="32" customHeight="1">
      <x:c r="A4401" s="30" t="str">
        <x:v>A051</x:v>
      </x:c>
      <x:c r="B4401" s="30" t="str">
        <x:v>F118</x:v>
      </x:c>
      <x:c r="C4401" s="30" t="str">
        <x:v>equipment.health</x:v>
      </x:c>
      <x:c r="D4401" s="30" t="str">
        <x:v>候选输入schema</x:v>
      </x:c>
      <x:c r="E4401" s="30" t="str">
        <x:v>按执行角色权限读取；策略只能使用可访问快照</x:v>
      </x:c>
    </x:row>
    <x:row r="4402" ht="32" customHeight="1">
      <x:c r="A4402" s="30" t="str">
        <x:v>A051</x:v>
      </x:c>
      <x:c r="B4402" s="30" t="str">
        <x:v>F119</x:v>
      </x:c>
      <x:c r="C4402" s="30" t="str">
        <x:v>equipment.rated_load_kg</x:v>
      </x:c>
      <x:c r="D4402" s="30" t="str">
        <x:v>候选输入schema</x:v>
      </x:c>
      <x:c r="E4402" s="30" t="str">
        <x:v>按执行角色权限读取；策略只能使用可访问快照</x:v>
      </x:c>
    </x:row>
    <x:row r="4403" ht="32" customHeight="1">
      <x:c r="A4403" s="30" t="str">
        <x:v>A051</x:v>
      </x:c>
      <x:c r="B4403" s="30" t="str">
        <x:v>F120</x:v>
      </x:c>
      <x:c r="C4403" s="30" t="str">
        <x:v>equipment.reach_m</x:v>
      </x:c>
      <x:c r="D4403" s="30" t="str">
        <x:v>候选输入schema</x:v>
      </x:c>
      <x:c r="E4403" s="30" t="str">
        <x:v>按执行角色权限读取；策略只能使用可访问快照</x:v>
      </x:c>
    </x:row>
    <x:row r="4404" ht="32" customHeight="1">
      <x:c r="A4404" s="30" t="str">
        <x:v>A051</x:v>
      </x:c>
      <x:c r="B4404" s="30" t="str">
        <x:v>F121</x:v>
      </x:c>
      <x:c r="C4404" s="30" t="str">
        <x:v>equipment.compatible_materials</x:v>
      </x:c>
      <x:c r="D4404" s="30" t="str">
        <x:v>候选输入schema</x:v>
      </x:c>
      <x:c r="E4404" s="30" t="str">
        <x:v>按执行角色权限读取；策略只能使用可访问快照</x:v>
      </x:c>
    </x:row>
    <x:row r="4405" ht="32" customHeight="1">
      <x:c r="A4405" s="30" t="str">
        <x:v>A051</x:v>
      </x:c>
      <x:c r="B4405" s="30" t="str">
        <x:v>F122</x:v>
      </x:c>
      <x:c r="C4405" s="30" t="str">
        <x:v>equipment.tool_size</x:v>
      </x:c>
      <x:c r="D4405" s="30" t="str">
        <x:v>候选输入schema</x:v>
      </x:c>
      <x:c r="E4405" s="30" t="str">
        <x:v>按执行角色权限读取；策略只能使用可访问快照</x:v>
      </x:c>
    </x:row>
    <x:row r="4406" ht="32" customHeight="1">
      <x:c r="A4406" s="30" t="str">
        <x:v>A051</x:v>
      </x:c>
      <x:c r="B4406" s="30" t="str">
        <x:v>F123</x:v>
      </x:c>
      <x:c r="C4406" s="30" t="str">
        <x:v>equipment.consumable_type</x:v>
      </x:c>
      <x:c r="D4406" s="30" t="str">
        <x:v>候选输入schema</x:v>
      </x:c>
      <x:c r="E4406" s="30" t="str">
        <x:v>按执行角色权限读取；策略只能使用可访问快照</x:v>
      </x:c>
    </x:row>
    <x:row r="4407" ht="32" customHeight="1">
      <x:c r="A4407" s="30" t="str">
        <x:v>A051</x:v>
      </x:c>
      <x:c r="B4407" s="30" t="str">
        <x:v>F124</x:v>
      </x:c>
      <x:c r="C4407" s="30" t="str">
        <x:v>equipment.consumable_remaining</x:v>
      </x:c>
      <x:c r="D4407" s="30" t="str">
        <x:v>候选输入schema</x:v>
      </x:c>
      <x:c r="E4407" s="30" t="str">
        <x:v>按执行角色权限读取；策略只能使用可访问快照</x:v>
      </x:c>
    </x:row>
    <x:row r="4408" ht="32" customHeight="1">
      <x:c r="A4408" s="30" t="str">
        <x:v>A051</x:v>
      </x:c>
      <x:c r="B4408" s="30" t="str">
        <x:v>F125</x:v>
      </x:c>
      <x:c r="C4408" s="30" t="str">
        <x:v>equipment.operator_authority</x:v>
      </x:c>
      <x:c r="D4408" s="30" t="str">
        <x:v>候选输入schema</x:v>
      </x:c>
      <x:c r="E4408" s="30" t="str">
        <x:v>按执行角色权限读取；策略只能使用可访问快照</x:v>
      </x:c>
    </x:row>
    <x:row r="4409" ht="32" customHeight="1">
      <x:c r="A4409" s="30" t="str">
        <x:v>A051</x:v>
      </x:c>
      <x:c r="B4409" s="30" t="str">
        <x:v>F126</x:v>
      </x:c>
      <x:c r="C4409" s="30" t="str">
        <x:v>equipment.setup_state</x:v>
      </x:c>
      <x:c r="D4409" s="30" t="str">
        <x:v>候选输入schema</x:v>
      </x:c>
      <x:c r="E4409" s="30" t="str">
        <x:v>按执行角色权限读取；策略只能使用可访问快照</x:v>
      </x:c>
    </x:row>
    <x:row r="4410" ht="32" customHeight="1">
      <x:c r="A4410" s="30" t="str">
        <x:v>A051</x:v>
      </x:c>
      <x:c r="B4410" s="30" t="str">
        <x:v>F127</x:v>
      </x:c>
      <x:c r="C4410" s="30" t="str">
        <x:v>equipment.busy_action_id</x:v>
      </x:c>
      <x:c r="D4410" s="30" t="str">
        <x:v>候选输入schema</x:v>
      </x:c>
      <x:c r="E4410" s="30" t="str">
        <x:v>按执行角色权限读取；策略只能使用可访问快照</x:v>
      </x:c>
    </x:row>
    <x:row r="4411" ht="32" customHeight="1">
      <x:c r="A4411" s="30" t="str">
        <x:v>A051</x:v>
      </x:c>
      <x:c r="B4411" s="30" t="str">
        <x:v>F181</x:v>
      </x:c>
      <x:c r="C4411" s="30" t="str">
        <x:v>belief.agent_id</x:v>
      </x:c>
      <x:c r="D4411" s="30" t="str">
        <x:v>候选输入schema</x:v>
      </x:c>
      <x:c r="E4411" s="30" t="str">
        <x:v>按执行角色权限读取；策略只能使用可访问快照</x:v>
      </x:c>
    </x:row>
    <x:row r="4412" ht="32" customHeight="1">
      <x:c r="A4412" s="30" t="str">
        <x:v>A051</x:v>
      </x:c>
      <x:c r="B4412" s="30" t="str">
        <x:v>F182</x:v>
      </x:c>
      <x:c r="C4412" s="30" t="str">
        <x:v>belief.entity_ref</x:v>
      </x:c>
      <x:c r="D4412" s="30" t="str">
        <x:v>候选输入schema</x:v>
      </x:c>
      <x:c r="E4412" s="30" t="str">
        <x:v>按执行角色权限读取；策略只能使用可访问快照</x:v>
      </x:c>
    </x:row>
    <x:row r="4413" ht="32" customHeight="1">
      <x:c r="A4413" s="30" t="str">
        <x:v>A051</x:v>
      </x:c>
      <x:c r="B4413" s="30" t="str">
        <x:v>F183</x:v>
      </x:c>
      <x:c r="C4413" s="30" t="str">
        <x:v>belief.estimated_damage</x:v>
      </x:c>
      <x:c r="D4413" s="30" t="str">
        <x:v>候选输入schema</x:v>
      </x:c>
      <x:c r="E4413" s="30" t="str">
        <x:v>按执行角色权限读取；策略只能使用可访问快照</x:v>
      </x:c>
    </x:row>
    <x:row r="4414" ht="32" customHeight="1">
      <x:c r="A4414" s="30" t="str">
        <x:v>A051</x:v>
      </x:c>
      <x:c r="B4414" s="30" t="str">
        <x:v>F184</x:v>
      </x:c>
      <x:c r="C4414" s="30" t="str">
        <x:v>belief.human_presence</x:v>
      </x:c>
      <x:c r="D4414" s="30" t="str">
        <x:v>候选输入schema</x:v>
      </x:c>
      <x:c r="E4414" s="30" t="str">
        <x:v>按执行角色权限读取；策略只能使用可访问快照</x:v>
      </x:c>
    </x:row>
    <x:row r="4415" ht="32" customHeight="1">
      <x:c r="A4415" s="30" t="str">
        <x:v>A051</x:v>
      </x:c>
      <x:c r="B4415" s="30" t="str">
        <x:v>F185</x:v>
      </x:c>
      <x:c r="C4415" s="30" t="str">
        <x:v>belief.estimated_pose</x:v>
      </x:c>
      <x:c r="D4415" s="30" t="str">
        <x:v>候选输入schema</x:v>
      </x:c>
      <x:c r="E4415" s="30" t="str">
        <x:v>按执行角色权限读取；策略只能使用可访问快照</x:v>
      </x:c>
    </x:row>
    <x:row r="4416" ht="32" customHeight="1">
      <x:c r="A4416" s="30" t="str">
        <x:v>A051</x:v>
      </x:c>
      <x:c r="B4416" s="30" t="str">
        <x:v>F186</x:v>
      </x:c>
      <x:c r="C4416" s="30" t="str">
        <x:v>belief.estimated_access</x:v>
      </x:c>
      <x:c r="D4416" s="30" t="str">
        <x:v>候选输入schema</x:v>
      </x:c>
      <x:c r="E4416" s="30" t="str">
        <x:v>按执行角色权限读取；策略只能使用可访问快照</x:v>
      </x:c>
    </x:row>
    <x:row r="4417" ht="32" customHeight="1">
      <x:c r="A4417" s="30" t="str">
        <x:v>A051</x:v>
      </x:c>
      <x:c r="B4417" s="30" t="str">
        <x:v>F187</x:v>
      </x:c>
      <x:c r="C4417" s="30" t="str">
        <x:v>belief.estimated_needs</x:v>
      </x:c>
      <x:c r="D4417" s="30" t="str">
        <x:v>候选输入schema</x:v>
      </x:c>
      <x:c r="E4417" s="30" t="str">
        <x:v>按执行角色权限读取；策略只能使用可访问快照</x:v>
      </x:c>
    </x:row>
    <x:row r="4418" ht="32" customHeight="1">
      <x:c r="A4418" s="30" t="str">
        <x:v>A051</x:v>
      </x:c>
      <x:c r="B4418" s="30" t="str">
        <x:v>F188</x:v>
      </x:c>
      <x:c r="C4418" s="30" t="str">
        <x:v>belief.evidence_ids</x:v>
      </x:c>
      <x:c r="D4418" s="30" t="str">
        <x:v>候选输入schema</x:v>
      </x:c>
      <x:c r="E4418" s="30" t="str">
        <x:v>按执行角色权限读取；策略只能使用可访问快照</x:v>
      </x:c>
    </x:row>
    <x:row r="4419" ht="32" customHeight="1">
      <x:c r="A4419" s="30" t="str">
        <x:v>A051</x:v>
      </x:c>
      <x:c r="B4419" s="30" t="str">
        <x:v>F189</x:v>
      </x:c>
      <x:c r="C4419" s="30" t="str">
        <x:v>belief.source_agent_ids</x:v>
      </x:c>
      <x:c r="D4419" s="30" t="str">
        <x:v>候选输入schema</x:v>
      </x:c>
      <x:c r="E4419" s="30" t="str">
        <x:v>按执行角色权限读取；策略只能使用可访问快照</x:v>
      </x:c>
    </x:row>
    <x:row r="4420" ht="32" customHeight="1">
      <x:c r="A4420" s="30" t="str">
        <x:v>A051</x:v>
      </x:c>
      <x:c r="B4420" s="30" t="str">
        <x:v>F190</x:v>
      </x:c>
      <x:c r="C4420" s="30" t="str">
        <x:v>belief.updated_at_s</x:v>
      </x:c>
      <x:c r="D4420" s="30" t="str">
        <x:v>候选输入schema</x:v>
      </x:c>
      <x:c r="E4420" s="30" t="str">
        <x:v>按执行角色权限读取；策略只能使用可访问快照</x:v>
      </x:c>
    </x:row>
    <x:row r="4421" ht="32" customHeight="1">
      <x:c r="A4421" s="30" t="str">
        <x:v>A051</x:v>
      </x:c>
      <x:c r="B4421" s="30" t="str">
        <x:v>F191</x:v>
      </x:c>
      <x:c r="C4421" s="30" t="str">
        <x:v>belief.staleness_s</x:v>
      </x:c>
      <x:c r="D4421" s="30" t="str">
        <x:v>候选输入schema</x:v>
      </x:c>
      <x:c r="E4421" s="30" t="str">
        <x:v>按执行角色权限读取；策略只能使用可访问快照</x:v>
      </x:c>
    </x:row>
    <x:row r="4422" ht="32" customHeight="1">
      <x:c r="A4422" s="30" t="str">
        <x:v>A051</x:v>
      </x:c>
      <x:c r="B4422" s="30" t="str">
        <x:v>F192</x:v>
      </x:c>
      <x:c r="C4422" s="30" t="str">
        <x:v>belief.conflict_state</x:v>
      </x:c>
      <x:c r="D4422" s="30" t="str">
        <x:v>候选输入schema</x:v>
      </x:c>
      <x:c r="E4422" s="30" t="str">
        <x:v>按执行角色权限读取；策略只能使用可访问快照</x:v>
      </x:c>
    </x:row>
    <x:row r="4423" ht="32" customHeight="1">
      <x:c r="A4423" s="30" t="str">
        <x:v>A051</x:v>
      </x:c>
      <x:c r="B4423" s="30" t="str">
        <x:v>F193</x:v>
      </x:c>
      <x:c r="C4423" s="30" t="str">
        <x:v>belief.team_estimates</x:v>
      </x:c>
      <x:c r="D4423" s="30" t="str">
        <x:v>候选输入schema</x:v>
      </x:c>
      <x:c r="E4423" s="30" t="str">
        <x:v>按执行角色权限读取；策略只能使用可访问快照</x:v>
      </x:c>
    </x:row>
    <x:row r="4424" ht="32" customHeight="1">
      <x:c r="A4424" s="30" t="str">
        <x:v>A051</x:v>
      </x:c>
      <x:c r="B4424" s="30" t="str">
        <x:v>F194</x:v>
      </x:c>
      <x:c r="C4424" s="30" t="str">
        <x:v>belief.search_status</x:v>
      </x:c>
      <x:c r="D4424" s="30" t="str">
        <x:v>候选输入schema</x:v>
      </x:c>
      <x:c r="E4424" s="30" t="str">
        <x:v>按执行角色权限读取；策略只能使用可访问快照</x:v>
      </x:c>
    </x:row>
    <x:row r="4425" ht="32" customHeight="1">
      <x:c r="A4425" s="30" t="str">
        <x:v>A051</x:v>
      </x:c>
      <x:c r="B4425" s="30" t="str">
        <x:v>F195</x:v>
      </x:c>
      <x:c r="C4425" s="30" t="str">
        <x:v>belief.current_goal_context</x:v>
      </x:c>
      <x:c r="D4425" s="30" t="str">
        <x:v>候选输入schema</x:v>
      </x:c>
      <x:c r="E4425" s="30" t="str">
        <x:v>按执行角色权限读取；策略只能使用可访问快照</x:v>
      </x:c>
    </x:row>
    <x:row r="4426" ht="32" customHeight="1">
      <x:c r="A4426" s="30" t="str">
        <x:v>A051</x:v>
      </x:c>
      <x:c r="B4426" s="30" t="str">
        <x:v>F196</x:v>
      </x:c>
      <x:c r="C4426" s="30" t="str">
        <x:v>task.type</x:v>
      </x:c>
      <x:c r="D4426" s="30" t="str">
        <x:v>候选输入schema</x:v>
      </x:c>
      <x:c r="E4426" s="30" t="str">
        <x:v>按执行角色权限读取；策略只能使用可访问快照</x:v>
      </x:c>
    </x:row>
    <x:row r="4427" ht="32" customHeight="1">
      <x:c r="A4427" s="30" t="str">
        <x:v>A051</x:v>
      </x:c>
      <x:c r="B4427" s="30" t="str">
        <x:v>F197</x:v>
      </x:c>
      <x:c r="C4427" s="30" t="str">
        <x:v>task.creator_id</x:v>
      </x:c>
      <x:c r="D4427" s="30" t="str">
        <x:v>候选输入schema</x:v>
      </x:c>
      <x:c r="E4427" s="30" t="str">
        <x:v>按执行角色权限读取；策略只能使用可访问快照</x:v>
      </x:c>
    </x:row>
    <x:row r="4428" ht="32" customHeight="1">
      <x:c r="A4428" s="30" t="str">
        <x:v>A051</x:v>
      </x:c>
      <x:c r="B4428" s="30" t="str">
        <x:v>F198</x:v>
      </x:c>
      <x:c r="C4428" s="30" t="str">
        <x:v>task.target_ref</x:v>
      </x:c>
      <x:c r="D4428" s="30" t="str">
        <x:v>候选输入schema</x:v>
      </x:c>
      <x:c r="E4428" s="30" t="str">
        <x:v>按执行角色权限读取；策略只能使用可访问快照</x:v>
      </x:c>
    </x:row>
    <x:row r="4429" ht="32" customHeight="1">
      <x:c r="A4429" s="30" t="str">
        <x:v>A051</x:v>
      </x:c>
      <x:c r="B4429" s="30" t="str">
        <x:v>F199</x:v>
      </x:c>
      <x:c r="C4429" s="30" t="str">
        <x:v>task.goal_predicate</x:v>
      </x:c>
      <x:c r="D4429" s="30" t="str">
        <x:v>候选输入schema</x:v>
      </x:c>
      <x:c r="E4429" s="30" t="str">
        <x:v>按执行角色权限读取；策略只能使用可访问快照</x:v>
      </x:c>
    </x:row>
    <x:row r="4430" ht="32" customHeight="1">
      <x:c r="A4430" s="30" t="str">
        <x:v>A051</x:v>
      </x:c>
      <x:c r="B4430" s="30" t="str">
        <x:v>F200</x:v>
      </x:c>
      <x:c r="C4430" s="30" t="str">
        <x:v>task.revision</x:v>
      </x:c>
      <x:c r="D4430" s="30" t="str">
        <x:v>候选输入schema</x:v>
      </x:c>
      <x:c r="E4430" s="30" t="str">
        <x:v>按执行角色权限读取；策略只能使用可访问快照</x:v>
      </x:c>
    </x:row>
    <x:row r="4431" ht="32" customHeight="1">
      <x:c r="A4431" s="30" t="str">
        <x:v>A051</x:v>
      </x:c>
      <x:c r="B4431" s="30" t="str">
        <x:v>F201</x:v>
      </x:c>
      <x:c r="C4431" s="30" t="str">
        <x:v>task.status</x:v>
      </x:c>
      <x:c r="D4431" s="30" t="str">
        <x:v>候选输入schema</x:v>
      </x:c>
      <x:c r="E4431" s="30" t="str">
        <x:v>按执行角色权限读取；策略只能使用可访问快照</x:v>
      </x:c>
    </x:row>
    <x:row r="4432" ht="32" customHeight="1">
      <x:c r="A4432" s="30" t="str">
        <x:v>A051</x:v>
      </x:c>
      <x:c r="B4432" s="30" t="str">
        <x:v>F202</x:v>
      </x:c>
      <x:c r="C4432" s="30" t="str">
        <x:v>task.priority</x:v>
      </x:c>
      <x:c r="D4432" s="30" t="str">
        <x:v>候选输入schema</x:v>
      </x:c>
      <x:c r="E4432" s="30" t="str">
        <x:v>按执行角色权限读取；策略只能使用可访问快照</x:v>
      </x:c>
    </x:row>
    <x:row r="4433" ht="32" customHeight="1">
      <x:c r="A4433" s="30" t="str">
        <x:v>A051</x:v>
      </x:c>
      <x:c r="B4433" s="30" t="str">
        <x:v>F203</x:v>
      </x:c>
      <x:c r="C4433" s="30" t="str">
        <x:v>task.deadline_s</x:v>
      </x:c>
      <x:c r="D4433" s="30" t="str">
        <x:v>候选输入schema</x:v>
      </x:c>
      <x:c r="E4433" s="30" t="str">
        <x:v>按执行角色权限读取；策略只能使用可访问快照</x:v>
      </x:c>
    </x:row>
    <x:row r="4434" ht="32" customHeight="1">
      <x:c r="A4434" s="30" t="str">
        <x:v>A051</x:v>
      </x:c>
      <x:c r="B4434" s="30" t="str">
        <x:v>F204</x:v>
      </x:c>
      <x:c r="C4434" s="30" t="str">
        <x:v>task.dependency_ids</x:v>
      </x:c>
      <x:c r="D4434" s="30" t="str">
        <x:v>候选输入schema</x:v>
      </x:c>
      <x:c r="E4434" s="30" t="str">
        <x:v>按执行角色权限读取；策略只能使用可访问快照</x:v>
      </x:c>
    </x:row>
    <x:row r="4435" ht="32" customHeight="1">
      <x:c r="A4435" s="30" t="str">
        <x:v>A051</x:v>
      </x:c>
      <x:c r="B4435" s="30" t="str">
        <x:v>F205</x:v>
      </x:c>
      <x:c r="C4435" s="30" t="str">
        <x:v>task.required_capability_ids</x:v>
      </x:c>
      <x:c r="D4435" s="30" t="str">
        <x:v>候选输入schema</x:v>
      </x:c>
      <x:c r="E4435" s="30" t="str">
        <x:v>按执行角色权限读取；策略只能使用可访问快照</x:v>
      </x:c>
    </x:row>
    <x:row r="4436" ht="32" customHeight="1">
      <x:c r="A4436" s="30" t="str">
        <x:v>A051</x:v>
      </x:c>
      <x:c r="B4436" s="30" t="str">
        <x:v>F206</x:v>
      </x:c>
      <x:c r="C4436" s="30" t="str">
        <x:v>task.resource_budget</x:v>
      </x:c>
      <x:c r="D4436" s="30" t="str">
        <x:v>候选输入schema</x:v>
      </x:c>
      <x:c r="E4436" s="30" t="str">
        <x:v>按执行角色权限读取；策略只能使用可访问快照</x:v>
      </x:c>
    </x:row>
    <x:row r="4437" ht="32" customHeight="1">
      <x:c r="A4437" s="30" t="str">
        <x:v>A051</x:v>
      </x:c>
      <x:c r="B4437" s="30" t="str">
        <x:v>F207</x:v>
      </x:c>
      <x:c r="C4437" s="30" t="str">
        <x:v>task.assigned_to</x:v>
      </x:c>
      <x:c r="D4437" s="30" t="str">
        <x:v>候选输入schema</x:v>
      </x:c>
      <x:c r="E4437" s="30" t="str">
        <x:v>按执行角色权限读取；策略只能使用可访问快照</x:v>
      </x:c>
    </x:row>
    <x:row r="4438" ht="32" customHeight="1">
      <x:c r="A4438" s="30" t="str">
        <x:v>A051</x:v>
      </x:c>
      <x:c r="B4438" s="30" t="str">
        <x:v>F208</x:v>
      </x:c>
      <x:c r="C4438" s="30" t="str">
        <x:v>task.accepted_by</x:v>
      </x:c>
      <x:c r="D4438" s="30" t="str">
        <x:v>候选输入schema</x:v>
      </x:c>
      <x:c r="E4438" s="30" t="str">
        <x:v>按执行角色权限读取；策略只能使用可访问快照</x:v>
      </x:c>
    </x:row>
    <x:row r="4439" ht="32" customHeight="1">
      <x:c r="A4439" s="30" t="str">
        <x:v>A051</x:v>
      </x:c>
      <x:c r="B4439" s="30" t="str">
        <x:v>F209</x:v>
      </x:c>
      <x:c r="C4439" s="30" t="str">
        <x:v>task.commitment_window</x:v>
      </x:c>
      <x:c r="D4439" s="30" t="str">
        <x:v>候选输入schema</x:v>
      </x:c>
      <x:c r="E4439" s="30" t="str">
        <x:v>按执行角色权限读取；策略只能使用可访问快照</x:v>
      </x:c>
    </x:row>
    <x:row r="4440" ht="32" customHeight="1">
      <x:c r="A4440" s="30" t="str">
        <x:v>A051</x:v>
      </x:c>
      <x:c r="B4440" s="30" t="str">
        <x:v>F210</x:v>
      </x:c>
      <x:c r="C4440" s="30" t="str">
        <x:v>task.progress</x:v>
      </x:c>
      <x:c r="D4440" s="30" t="str">
        <x:v>候选输入schema</x:v>
      </x:c>
      <x:c r="E4440" s="30" t="str">
        <x:v>按执行角色权限读取；策略只能使用可访问快照</x:v>
      </x:c>
    </x:row>
    <x:row r="4441" ht="32" customHeight="1">
      <x:c r="A4441" s="30" t="str">
        <x:v>A051</x:v>
      </x:c>
      <x:c r="B4441" s="30" t="str">
        <x:v>F211</x:v>
      </x:c>
      <x:c r="C4441" s="30" t="str">
        <x:v>task.active_action_ids</x:v>
      </x:c>
      <x:c r="D4441" s="30" t="str">
        <x:v>候选输入schema</x:v>
      </x:c>
      <x:c r="E4441" s="30" t="str">
        <x:v>按执行角色权限读取；策略只能使用可访问快照</x:v>
      </x:c>
    </x:row>
    <x:row r="4442" ht="32" customHeight="1">
      <x:c r="A4442" s="30" t="str">
        <x:v>A051</x:v>
      </x:c>
      <x:c r="B4442" s="30" t="str">
        <x:v>F212</x:v>
      </x:c>
      <x:c r="C4442" s="30" t="str">
        <x:v>task.interruptibility</x:v>
      </x:c>
      <x:c r="D4442" s="30" t="str">
        <x:v>候选输入schema</x:v>
      </x:c>
      <x:c r="E4442" s="30" t="str">
        <x:v>按执行角色权限读取；策略只能使用可访问快照</x:v>
      </x:c>
    </x:row>
    <x:row r="4443" ht="32" customHeight="1">
      <x:c r="A4443" s="30" t="str">
        <x:v>A051</x:v>
      </x:c>
      <x:c r="B4443" s="30" t="str">
        <x:v>F213</x:v>
      </x:c>
      <x:c r="C4443" s="30" t="str">
        <x:v>task.original_task_id</x:v>
      </x:c>
      <x:c r="D4443" s="30" t="str">
        <x:v>候选输入schema</x:v>
      </x:c>
      <x:c r="E4443" s="30" t="str">
        <x:v>按执行角色权限读取；策略只能使用可访问快照</x:v>
      </x:c>
    </x:row>
    <x:row r="4444" ht="32" customHeight="1">
      <x:c r="A4444" s="30" t="str">
        <x:v>A051</x:v>
      </x:c>
      <x:c r="B4444" s="30" t="str">
        <x:v>F214</x:v>
      </x:c>
      <x:c r="C4444" s="30" t="str">
        <x:v>task.resume_checkpoint</x:v>
      </x:c>
      <x:c r="D4444" s="30" t="str">
        <x:v>候选输入schema</x:v>
      </x:c>
      <x:c r="E4444" s="30" t="str">
        <x:v>按执行角色权限读取；策略只能使用可访问快照</x:v>
      </x:c>
    </x:row>
    <x:row r="4445" ht="32" customHeight="1">
      <x:c r="A4445" s="30" t="str">
        <x:v>A051</x:v>
      </x:c>
      <x:c r="B4445" s="30" t="str">
        <x:v>F215</x:v>
      </x:c>
      <x:c r="C4445" s="30" t="str">
        <x:v>task.handoff_target_id</x:v>
      </x:c>
      <x:c r="D4445" s="30" t="str">
        <x:v>候选输入schema</x:v>
      </x:c>
      <x:c r="E4445" s="30" t="str">
        <x:v>按执行角色权限读取；策略只能使用可访问快照</x:v>
      </x:c>
    </x:row>
    <x:row r="4446" ht="32" customHeight="1">
      <x:c r="A4446" s="30" t="str">
        <x:v>A051</x:v>
      </x:c>
      <x:c r="B4446" s="30" t="str">
        <x:v>F216</x:v>
      </x:c>
      <x:c r="C4446" s="30" t="str">
        <x:v>task.result_evidence_ids</x:v>
      </x:c>
      <x:c r="D4446" s="30" t="str">
        <x:v>候选输入schema</x:v>
      </x:c>
      <x:c r="E4446" s="30" t="str">
        <x:v>按执行角色权限读取；策略只能使用可访问快照</x:v>
      </x:c>
    </x:row>
    <x:row r="4447" ht="32" customHeight="1">
      <x:c r="A4447" s="30" t="str">
        <x:v>A051</x:v>
      </x:c>
      <x:c r="B4447" s="30" t="str">
        <x:v>F217</x:v>
      </x:c>
      <x:c r="C4447" s="30" t="str">
        <x:v>task.failure_reason</x:v>
      </x:c>
      <x:c r="D4447" s="30" t="str">
        <x:v>候选输入schema</x:v>
      </x:c>
      <x:c r="E4447" s="30" t="str">
        <x:v>按执行角色权限读取；策略只能使用可访问快照</x:v>
      </x:c>
    </x:row>
    <x:row r="4448" ht="32" customHeight="1">
      <x:c r="A4448" s="30" t="str">
        <x:v>A051</x:v>
      </x:c>
      <x:c r="B4448" s="30" t="str">
        <x:v>F218</x:v>
      </x:c>
      <x:c r="C4448" s="30" t="str">
        <x:v>task.last_event_s</x:v>
      </x:c>
      <x:c r="D4448" s="30" t="str">
        <x:v>候选输入schema</x:v>
      </x:c>
      <x:c r="E4448" s="30" t="str">
        <x:v>按执行角色权限读取；策略只能使用可访问快照</x:v>
      </x:c>
    </x:row>
    <x:row r="4449" ht="32" customHeight="1">
      <x:c r="A4449" s="30" t="str">
        <x:v>A051</x:v>
      </x:c>
      <x:c r="B4449" s="30" t="str">
        <x:v>F219</x:v>
      </x:c>
      <x:c r="C4449" s="30" t="str">
        <x:v>task.opportunity_cost</x:v>
      </x:c>
      <x:c r="D4449" s="30" t="str">
        <x:v>候选输入schema</x:v>
      </x:c>
      <x:c r="E4449" s="30" t="str">
        <x:v>按执行角色权限读取；策略只能使用可访问快照</x:v>
      </x:c>
    </x:row>
    <x:row r="4450" ht="32" customHeight="1">
      <x:c r="A4450" s="30" t="str">
        <x:v>A051</x:v>
      </x:c>
      <x:c r="B4450" s="30" t="str">
        <x:v>F220</x:v>
      </x:c>
      <x:c r="C4450" s="30" t="str">
        <x:v>assignment.task_ref</x:v>
      </x:c>
      <x:c r="D4450" s="30" t="str">
        <x:v>候选输入schema</x:v>
      </x:c>
      <x:c r="E4450" s="30" t="str">
        <x:v>按执行角色权限读取；策略只能使用可访问快照</x:v>
      </x:c>
    </x:row>
    <x:row r="4451" ht="32" customHeight="1">
      <x:c r="A4451" s="30" t="str">
        <x:v>A051</x:v>
      </x:c>
      <x:c r="B4451" s="30" t="str">
        <x:v>F221</x:v>
      </x:c>
      <x:c r="C4451" s="30" t="str">
        <x:v>assignment.sender_id</x:v>
      </x:c>
      <x:c r="D4451" s="30" t="str">
        <x:v>候选输入schema</x:v>
      </x:c>
      <x:c r="E4451" s="30" t="str">
        <x:v>按执行角色权限读取；策略只能使用可访问快照</x:v>
      </x:c>
    </x:row>
    <x:row r="4452" ht="32" customHeight="1">
      <x:c r="A4452" s="30" t="str">
        <x:v>A051</x:v>
      </x:c>
      <x:c r="B4452" s="30" t="str">
        <x:v>F222</x:v>
      </x:c>
      <x:c r="C4452" s="30" t="str">
        <x:v>assignment.receiver_id</x:v>
      </x:c>
      <x:c r="D4452" s="30" t="str">
        <x:v>候选输入schema</x:v>
      </x:c>
      <x:c r="E4452" s="30" t="str">
        <x:v>按执行角色权限读取；策略只能使用可访问快照</x:v>
      </x:c>
    </x:row>
    <x:row r="4453" ht="32" customHeight="1">
      <x:c r="A4453" s="30" t="str">
        <x:v>A051</x:v>
      </x:c>
      <x:c r="B4453" s="30" t="str">
        <x:v>F223</x:v>
      </x:c>
      <x:c r="C4453" s="30" t="str">
        <x:v>assignment.bid</x:v>
      </x:c>
      <x:c r="D4453" s="30" t="str">
        <x:v>候选输入schema</x:v>
      </x:c>
      <x:c r="E4453" s="30" t="str">
        <x:v>按执行角色权限读取；策略只能使用可访问快照</x:v>
      </x:c>
    </x:row>
    <x:row r="4454" ht="32" customHeight="1">
      <x:c r="A4454" s="30" t="str">
        <x:v>A051</x:v>
      </x:c>
      <x:c r="B4454" s="30" t="str">
        <x:v>F224</x:v>
      </x:c>
      <x:c r="C4454" s="30" t="str">
        <x:v>assignment.message_id</x:v>
      </x:c>
      <x:c r="D4454" s="30" t="str">
        <x:v>候选输入schema</x:v>
      </x:c>
      <x:c r="E4454" s="30" t="str">
        <x:v>按执行角色权限读取；策略只能使用可访问快照</x:v>
      </x:c>
    </x:row>
    <x:row r="4455" ht="32" customHeight="1">
      <x:c r="A4455" s="30" t="str">
        <x:v>A051</x:v>
      </x:c>
      <x:c r="B4455" s="30" t="str">
        <x:v>F225</x:v>
      </x:c>
      <x:c r="C4455" s="30" t="str">
        <x:v>assignment.delivery_state</x:v>
      </x:c>
      <x:c r="D4455" s="30" t="str">
        <x:v>候选输入schema</x:v>
      </x:c>
      <x:c r="E4455" s="30" t="str">
        <x:v>按执行角色权限读取；策略只能使用可访问快照</x:v>
      </x:c>
    </x:row>
    <x:row r="4456" ht="32" customHeight="1">
      <x:c r="A4456" s="30" t="str">
        <x:v>A051</x:v>
      </x:c>
      <x:c r="B4456" s="30" t="str">
        <x:v>F226</x:v>
      </x:c>
      <x:c r="C4456" s="30" t="str">
        <x:v>assignment.decision</x:v>
      </x:c>
      <x:c r="D4456" s="30" t="str">
        <x:v>候选输入schema</x:v>
      </x:c>
      <x:c r="E4456" s="30" t="str">
        <x:v>按执行角色权限读取；策略只能使用可访问快照</x:v>
      </x:c>
    </x:row>
    <x:row r="4457" ht="32" customHeight="1">
      <x:c r="A4457" s="30" t="str">
        <x:v>A051</x:v>
      </x:c>
      <x:c r="B4457" s="30" t="str">
        <x:v>F227</x:v>
      </x:c>
      <x:c r="C4457" s="30" t="str">
        <x:v>assignment.decision_reason</x:v>
      </x:c>
      <x:c r="D4457" s="30" t="str">
        <x:v>候选输入schema</x:v>
      </x:c>
      <x:c r="E4457" s="30" t="str">
        <x:v>按执行角色权限读取；策略只能使用可访问快照</x:v>
      </x:c>
    </x:row>
    <x:row r="4458" ht="32" customHeight="1">
      <x:c r="A4458" s="30" t="str">
        <x:v>A051</x:v>
      </x:c>
      <x:c r="B4458" s="30" t="str">
        <x:v>F228</x:v>
      </x:c>
      <x:c r="C4458" s="30" t="str">
        <x:v>assignment.lease_end_s</x:v>
      </x:c>
      <x:c r="D4458" s="30" t="str">
        <x:v>候选输入schema</x:v>
      </x:c>
      <x:c r="E4458" s="30" t="str">
        <x:v>按执行角色权限读取；策略只能使用可访问快照</x:v>
      </x:c>
    </x:row>
    <x:row r="4459" ht="32" customHeight="1">
      <x:c r="A4459" s="30" t="str">
        <x:v>A051</x:v>
      </x:c>
      <x:c r="B4459" s="30" t="str">
        <x:v>F229</x:v>
      </x:c>
      <x:c r="C4459" s="30" t="str">
        <x:v>assignment.acknowledged_revision</x:v>
      </x:c>
      <x:c r="D4459" s="30" t="str">
        <x:v>候选输入schema</x:v>
      </x:c>
      <x:c r="E4459" s="30" t="str">
        <x:v>按执行角色权限读取；策略只能使用可访问快照</x:v>
      </x:c>
    </x:row>
    <x:row r="4460" ht="32" customHeight="1">
      <x:c r="A4460" s="30" t="str">
        <x:v>A051</x:v>
      </x:c>
      <x:c r="B4460" s="30" t="str">
        <x:v>F329</x:v>
      </x:c>
      <x:c r="C4460" s="30" t="str">
        <x:v>job.requester_id</x:v>
      </x:c>
      <x:c r="D4460" s="30" t="str">
        <x:v>候选输入schema</x:v>
      </x:c>
      <x:c r="E4460" s="30" t="str">
        <x:v>按执行角色权限读取；策略只能使用可访问快照</x:v>
      </x:c>
    </x:row>
    <x:row r="4461" ht="32" customHeight="1">
      <x:c r="A4461" s="30" t="str">
        <x:v>A051</x:v>
      </x:c>
      <x:c r="B4461" s="30" t="str">
        <x:v>F330</x:v>
      </x:c>
      <x:c r="C4461" s="30" t="str">
        <x:v>job.task_ref</x:v>
      </x:c>
      <x:c r="D4461" s="30" t="str">
        <x:v>候选输入schema</x:v>
      </x:c>
      <x:c r="E4461" s="30" t="str">
        <x:v>按执行角色权限读取；策略只能使用可访问快照</x:v>
      </x:c>
    </x:row>
    <x:row r="4462" ht="32" customHeight="1">
      <x:c r="A4462" s="30" t="str">
        <x:v>A051</x:v>
      </x:c>
      <x:c r="B4462" s="30" t="str">
        <x:v>F331</x:v>
      </x:c>
      <x:c r="C4462" s="30" t="str">
        <x:v>job.service_id</x:v>
      </x:c>
      <x:c r="D4462" s="30" t="str">
        <x:v>候选输入schema</x:v>
      </x:c>
      <x:c r="E4462" s="30" t="str">
        <x:v>按执行角色权限读取；策略只能使用可访问快照</x:v>
      </x:c>
    </x:row>
    <x:row r="4463" ht="32" customHeight="1">
      <x:c r="A4463" s="30" t="str">
        <x:v>A051</x:v>
      </x:c>
      <x:c r="B4463" s="30" t="str">
        <x:v>F332</x:v>
      </x:c>
      <x:c r="C4463" s="30" t="str">
        <x:v>job.input_evidence_ids</x:v>
      </x:c>
      <x:c r="D4463" s="30" t="str">
        <x:v>候选输入schema</x:v>
      </x:c>
      <x:c r="E4463" s="30" t="str">
        <x:v>按执行角色权限读取；策略只能使用可访问快照</x:v>
      </x:c>
    </x:row>
    <x:row r="4464" ht="32" customHeight="1">
      <x:c r="A4464" s="30" t="str">
        <x:v>A051</x:v>
      </x:c>
      <x:c r="B4464" s="30" t="str">
        <x:v>F333</x:v>
      </x:c>
      <x:c r="C4464" s="30" t="str">
        <x:v>job.input_bytes</x:v>
      </x:c>
      <x:c r="D4464" s="30" t="str">
        <x:v>候选输入schema</x:v>
      </x:c>
      <x:c r="E4464" s="30" t="str">
        <x:v>按执行角色权限读取；策略只能使用可访问快照</x:v>
      </x:c>
    </x:row>
    <x:row r="4465" ht="32" customHeight="1">
      <x:c r="A4465" s="30" t="str">
        <x:v>A051</x:v>
      </x:c>
      <x:c r="B4465" s="30" t="str">
        <x:v>F334</x:v>
      </x:c>
      <x:c r="C4465" s="30" t="str">
        <x:v>job.input_tokens</x:v>
      </x:c>
      <x:c r="D4465" s="30" t="str">
        <x:v>候选输入schema</x:v>
      </x:c>
      <x:c r="E4465" s="30" t="str">
        <x:v>按执行角色权限读取；策略只能使用可访问快照</x:v>
      </x:c>
    </x:row>
    <x:row r="4466" ht="32" customHeight="1">
      <x:c r="A4466" s="30" t="str">
        <x:v>A051</x:v>
      </x:c>
      <x:c r="B4466" s="30" t="str">
        <x:v>F335</x:v>
      </x:c>
      <x:c r="C4466" s="30" t="str">
        <x:v>job.output_tokens</x:v>
      </x:c>
      <x:c r="D4466" s="30" t="str">
        <x:v>候选输入schema</x:v>
      </x:c>
      <x:c r="E4466" s="30" t="str">
        <x:v>按执行角色权限读取；策略只能使用可访问快照</x:v>
      </x:c>
    </x:row>
    <x:row r="4467" ht="32" customHeight="1">
      <x:c r="A4467" s="30" t="str">
        <x:v>A051</x:v>
      </x:c>
      <x:c r="B4467" s="30" t="str">
        <x:v>F336</x:v>
      </x:c>
      <x:c r="C4467" s="30" t="str">
        <x:v>job.status</x:v>
      </x:c>
      <x:c r="D4467" s="30" t="str">
        <x:v>候选输入schema</x:v>
      </x:c>
      <x:c r="E4467" s="30" t="str">
        <x:v>按执行角色权限读取；策略只能使用可访问快照</x:v>
      </x:c>
    </x:row>
    <x:row r="4468" ht="32" customHeight="1">
      <x:c r="A4468" s="30" t="str">
        <x:v>A051</x:v>
      </x:c>
      <x:c r="B4468" s="30" t="str">
        <x:v>F337</x:v>
      </x:c>
      <x:c r="C4468" s="30" t="str">
        <x:v>job.queue_enter_s</x:v>
      </x:c>
      <x:c r="D4468" s="30" t="str">
        <x:v>候选输入schema</x:v>
      </x:c>
      <x:c r="E4468" s="30" t="str">
        <x:v>按执行角色权限读取；策略只能使用可访问快照</x:v>
      </x:c>
    </x:row>
    <x:row r="4469" ht="32" customHeight="1">
      <x:c r="A4469" s="30" t="str">
        <x:v>A051</x:v>
      </x:c>
      <x:c r="B4469" s="30" t="str">
        <x:v>F338</x:v>
      </x:c>
      <x:c r="C4469" s="30" t="str">
        <x:v>job.start_s</x:v>
      </x:c>
      <x:c r="D4469" s="30" t="str">
        <x:v>候选输入schema</x:v>
      </x:c>
      <x:c r="E4469" s="30" t="str">
        <x:v>按执行角色权限读取；策略只能使用可访问快照</x:v>
      </x:c>
    </x:row>
    <x:row r="4470" ht="32" customHeight="1">
      <x:c r="A4470" s="30" t="str">
        <x:v>A051</x:v>
      </x:c>
      <x:c r="B4470" s="30" t="str">
        <x:v>F339</x:v>
      </x:c>
      <x:c r="C4470" s="30" t="str">
        <x:v>job.finish_s</x:v>
      </x:c>
      <x:c r="D4470" s="30" t="str">
        <x:v>候选输入schema</x:v>
      </x:c>
      <x:c r="E4470" s="30" t="str">
        <x:v>按执行角色权限读取；策略只能使用可访问快照</x:v>
      </x:c>
    </x:row>
    <x:row r="4471" ht="32" customHeight="1">
      <x:c r="A4471" s="30" t="str">
        <x:v>A051</x:v>
      </x:c>
      <x:c r="B4471" s="30" t="str">
        <x:v>F340</x:v>
      </x:c>
      <x:c r="C4471" s="30" t="str">
        <x:v>job.deadline_s</x:v>
      </x:c>
      <x:c r="D4471" s="30" t="str">
        <x:v>候选输入schema</x:v>
      </x:c>
      <x:c r="E4471" s="30" t="str">
        <x:v>按执行角色权限读取；策略只能使用可访问快照</x:v>
      </x:c>
    </x:row>
    <x:row r="4472" ht="32" customHeight="1">
      <x:c r="A4472" s="30" t="str">
        <x:v>A051</x:v>
      </x:c>
      <x:c r="B4472" s="30" t="str">
        <x:v>F341</x:v>
      </x:c>
      <x:c r="C4472" s="30" t="str">
        <x:v>job.cpu_request</x:v>
      </x:c>
      <x:c r="D4472" s="30" t="str">
        <x:v>候选输入schema</x:v>
      </x:c>
      <x:c r="E4472" s="30" t="str">
        <x:v>按执行角色权限读取；策略只能使用可访问快照</x:v>
      </x:c>
    </x:row>
    <x:row r="4473" ht="32" customHeight="1">
      <x:c r="A4473" s="30" t="str">
        <x:v>A051</x:v>
      </x:c>
      <x:c r="B4473" s="30" t="str">
        <x:v>F342</x:v>
      </x:c>
      <x:c r="C4473" s="30" t="str">
        <x:v>job.memory_request_bytes</x:v>
      </x:c>
      <x:c r="D4473" s="30" t="str">
        <x:v>候选输入schema</x:v>
      </x:c>
      <x:c r="E4473" s="30" t="str">
        <x:v>按执行角色权限读取；策略只能使用可访问快照</x:v>
      </x:c>
    </x:row>
    <x:row r="4474" ht="32" customHeight="1">
      <x:c r="A4474" s="30" t="str">
        <x:v>A051</x:v>
      </x:c>
      <x:c r="B4474" s="30" t="str">
        <x:v>F343</x:v>
      </x:c>
      <x:c r="C4474" s="30" t="str">
        <x:v>job.prefill_s</x:v>
      </x:c>
      <x:c r="D4474" s="30" t="str">
        <x:v>候选输入schema</x:v>
      </x:c>
      <x:c r="E4474" s="30" t="str">
        <x:v>按执行角色权限读取；策略只能使用可访问快照</x:v>
      </x:c>
    </x:row>
    <x:row r="4475" ht="32" customHeight="1">
      <x:c r="A4475" s="30" t="str">
        <x:v>A051</x:v>
      </x:c>
      <x:c r="B4475" s="30" t="str">
        <x:v>F344</x:v>
      </x:c>
      <x:c r="C4475" s="30" t="str">
        <x:v>job.decode_s</x:v>
      </x:c>
      <x:c r="D4475" s="30" t="str">
        <x:v>候选输入schema</x:v>
      </x:c>
      <x:c r="E4475" s="30" t="str">
        <x:v>按执行角色权限读取；策略只能使用可访问快照</x:v>
      </x:c>
    </x:row>
    <x:row r="4476" ht="32" customHeight="1">
      <x:c r="A4476" s="30" t="str">
        <x:v>A051</x:v>
      </x:c>
      <x:c r="B4476" s="30" t="str">
        <x:v>F345</x:v>
      </x:c>
      <x:c r="C4476" s="30" t="str">
        <x:v>job.wall_time_s</x:v>
      </x:c>
      <x:c r="D4476" s="30" t="str">
        <x:v>候选输入schema</x:v>
      </x:c>
      <x:c r="E4476" s="30" t="str">
        <x:v>按执行角色权限读取；策略只能使用可访问快照</x:v>
      </x:c>
    </x:row>
    <x:row r="4477" ht="32" customHeight="1">
      <x:c r="A4477" s="30" t="str">
        <x:v>A051</x:v>
      </x:c>
      <x:c r="B4477" s="30" t="str">
        <x:v>F346</x:v>
      </x:c>
      <x:c r="C4477" s="30" t="str">
        <x:v>job.result_ref</x:v>
      </x:c>
      <x:c r="D4477" s="30" t="str">
        <x:v>候选输入schema</x:v>
      </x:c>
      <x:c r="E4477" s="30" t="str">
        <x:v>按执行角色权限读取；策略只能使用可访问快照</x:v>
      </x:c>
    </x:row>
    <x:row r="4478" ht="32" customHeight="1">
      <x:c r="A4478" s="30" t="str">
        <x:v>A051</x:v>
      </x:c>
      <x:c r="B4478" s="30" t="str">
        <x:v>F347</x:v>
      </x:c>
      <x:c r="C4478" s="30" t="str">
        <x:v>job.checkpoint_ref</x:v>
      </x:c>
      <x:c r="D4478" s="30" t="str">
        <x:v>候选输入schema</x:v>
      </x:c>
      <x:c r="E4478" s="30" t="str">
        <x:v>按执行角色权限读取；策略只能使用可访问快照</x:v>
      </x:c>
    </x:row>
    <x:row r="4479" ht="32" customHeight="1">
      <x:c r="A4479" s="30" t="str">
        <x:v>A051</x:v>
      </x:c>
      <x:c r="B4479" s="30" t="str">
        <x:v>F348</x:v>
      </x:c>
      <x:c r="C4479" s="30" t="str">
        <x:v>job.failure_reason</x:v>
      </x:c>
      <x:c r="D4479" s="30" t="str">
        <x:v>候选输入schema</x:v>
      </x:c>
      <x:c r="E4479" s="30" t="str">
        <x:v>按执行角色权限读取；策略只能使用可访问快照</x:v>
      </x:c>
    </x:row>
    <x:row r="4480" ht="32" customHeight="1">
      <x:c r="A4480" s="30" t="str">
        <x:v>A051</x:v>
      </x:c>
      <x:c r="B4480" s="30" t="str">
        <x:v>F223</x:v>
      </x:c>
      <x:c r="C4480" s="30" t="str">
        <x:v>assignment.bid</x:v>
      </x:c>
      <x:c r="D4480" s="30" t="str">
        <x:v>直接效果</x:v>
      </x:c>
      <x:c r="E4480" s="30" t="str">
        <x:v>经实际执行/回执提交；不是规划时提前修改</x:v>
      </x:c>
    </x:row>
    <x:row r="4481" ht="32" customHeight="1">
      <x:c r="A4481" s="30" t="str">
        <x:v>A051</x:v>
      </x:c>
      <x:c r="B4481" s="30" t="str">
        <x:v>F227</x:v>
      </x:c>
      <x:c r="C4481" s="30" t="str">
        <x:v>assignment.decision_reason</x:v>
      </x:c>
      <x:c r="D4481" s="30" t="str">
        <x:v>直接效果</x:v>
      </x:c>
      <x:c r="E4481" s="30" t="str">
        <x:v>经实际执行/回执提交；不是规划时提前修改</x:v>
      </x:c>
    </x:row>
    <x:row r="4482" ht="32" customHeight="1">
      <x:c r="A4482" s="30" t="str">
        <x:v>A052</x:v>
      </x:c>
      <x:c r="B4482" s="30" t="str">
        <x:v>F181</x:v>
      </x:c>
      <x:c r="C4482" s="30" t="str">
        <x:v>belief.agent_id</x:v>
      </x:c>
      <x:c r="D4482" s="30" t="str">
        <x:v>候选输入schema</x:v>
      </x:c>
      <x:c r="E4482" s="30" t="str">
        <x:v>按执行角色权限读取；策略只能使用可访问快照</x:v>
      </x:c>
    </x:row>
    <x:row r="4483" ht="32" customHeight="1">
      <x:c r="A4483" s="30" t="str">
        <x:v>A052</x:v>
      </x:c>
      <x:c r="B4483" s="30" t="str">
        <x:v>F182</x:v>
      </x:c>
      <x:c r="C4483" s="30" t="str">
        <x:v>belief.entity_ref</x:v>
      </x:c>
      <x:c r="D4483" s="30" t="str">
        <x:v>候选输入schema</x:v>
      </x:c>
      <x:c r="E4483" s="30" t="str">
        <x:v>按执行角色权限读取；策略只能使用可访问快照</x:v>
      </x:c>
    </x:row>
    <x:row r="4484" ht="32" customHeight="1">
      <x:c r="A4484" s="30" t="str">
        <x:v>A052</x:v>
      </x:c>
      <x:c r="B4484" s="30" t="str">
        <x:v>F183</x:v>
      </x:c>
      <x:c r="C4484" s="30" t="str">
        <x:v>belief.estimated_damage</x:v>
      </x:c>
      <x:c r="D4484" s="30" t="str">
        <x:v>候选输入schema</x:v>
      </x:c>
      <x:c r="E4484" s="30" t="str">
        <x:v>按执行角色权限读取；策略只能使用可访问快照</x:v>
      </x:c>
    </x:row>
    <x:row r="4485" ht="32" customHeight="1">
      <x:c r="A4485" s="30" t="str">
        <x:v>A052</x:v>
      </x:c>
      <x:c r="B4485" s="30" t="str">
        <x:v>F184</x:v>
      </x:c>
      <x:c r="C4485" s="30" t="str">
        <x:v>belief.human_presence</x:v>
      </x:c>
      <x:c r="D4485" s="30" t="str">
        <x:v>候选输入schema</x:v>
      </x:c>
      <x:c r="E4485" s="30" t="str">
        <x:v>按执行角色权限读取；策略只能使用可访问快照</x:v>
      </x:c>
    </x:row>
    <x:row r="4486" ht="32" customHeight="1">
      <x:c r="A4486" s="30" t="str">
        <x:v>A052</x:v>
      </x:c>
      <x:c r="B4486" s="30" t="str">
        <x:v>F185</x:v>
      </x:c>
      <x:c r="C4486" s="30" t="str">
        <x:v>belief.estimated_pose</x:v>
      </x:c>
      <x:c r="D4486" s="30" t="str">
        <x:v>候选输入schema</x:v>
      </x:c>
      <x:c r="E4486" s="30" t="str">
        <x:v>按执行角色权限读取；策略只能使用可访问快照</x:v>
      </x:c>
    </x:row>
    <x:row r="4487" ht="32" customHeight="1">
      <x:c r="A4487" s="30" t="str">
        <x:v>A052</x:v>
      </x:c>
      <x:c r="B4487" s="30" t="str">
        <x:v>F186</x:v>
      </x:c>
      <x:c r="C4487" s="30" t="str">
        <x:v>belief.estimated_access</x:v>
      </x:c>
      <x:c r="D4487" s="30" t="str">
        <x:v>候选输入schema</x:v>
      </x:c>
      <x:c r="E4487" s="30" t="str">
        <x:v>按执行角色权限读取；策略只能使用可访问快照</x:v>
      </x:c>
    </x:row>
    <x:row r="4488" ht="32" customHeight="1">
      <x:c r="A4488" s="30" t="str">
        <x:v>A052</x:v>
      </x:c>
      <x:c r="B4488" s="30" t="str">
        <x:v>F187</x:v>
      </x:c>
      <x:c r="C4488" s="30" t="str">
        <x:v>belief.estimated_needs</x:v>
      </x:c>
      <x:c r="D4488" s="30" t="str">
        <x:v>候选输入schema</x:v>
      </x:c>
      <x:c r="E4488" s="30" t="str">
        <x:v>按执行角色权限读取；策略只能使用可访问快照</x:v>
      </x:c>
    </x:row>
    <x:row r="4489" ht="32" customHeight="1">
      <x:c r="A4489" s="30" t="str">
        <x:v>A052</x:v>
      </x:c>
      <x:c r="B4489" s="30" t="str">
        <x:v>F188</x:v>
      </x:c>
      <x:c r="C4489" s="30" t="str">
        <x:v>belief.evidence_ids</x:v>
      </x:c>
      <x:c r="D4489" s="30" t="str">
        <x:v>候选输入schema</x:v>
      </x:c>
      <x:c r="E4489" s="30" t="str">
        <x:v>按执行角色权限读取；策略只能使用可访问快照</x:v>
      </x:c>
    </x:row>
    <x:row r="4490" ht="32" customHeight="1">
      <x:c r="A4490" s="30" t="str">
        <x:v>A052</x:v>
      </x:c>
      <x:c r="B4490" s="30" t="str">
        <x:v>F189</x:v>
      </x:c>
      <x:c r="C4490" s="30" t="str">
        <x:v>belief.source_agent_ids</x:v>
      </x:c>
      <x:c r="D4490" s="30" t="str">
        <x:v>候选输入schema</x:v>
      </x:c>
      <x:c r="E4490" s="30" t="str">
        <x:v>按执行角色权限读取；策略只能使用可访问快照</x:v>
      </x:c>
    </x:row>
    <x:row r="4491" ht="32" customHeight="1">
      <x:c r="A4491" s="30" t="str">
        <x:v>A052</x:v>
      </x:c>
      <x:c r="B4491" s="30" t="str">
        <x:v>F190</x:v>
      </x:c>
      <x:c r="C4491" s="30" t="str">
        <x:v>belief.updated_at_s</x:v>
      </x:c>
      <x:c r="D4491" s="30" t="str">
        <x:v>候选输入schema</x:v>
      </x:c>
      <x:c r="E4491" s="30" t="str">
        <x:v>按执行角色权限读取；策略只能使用可访问快照</x:v>
      </x:c>
    </x:row>
    <x:row r="4492" ht="32" customHeight="1">
      <x:c r="A4492" s="30" t="str">
        <x:v>A052</x:v>
      </x:c>
      <x:c r="B4492" s="30" t="str">
        <x:v>F191</x:v>
      </x:c>
      <x:c r="C4492" s="30" t="str">
        <x:v>belief.staleness_s</x:v>
      </x:c>
      <x:c r="D4492" s="30" t="str">
        <x:v>候选输入schema</x:v>
      </x:c>
      <x:c r="E4492" s="30" t="str">
        <x:v>按执行角色权限读取；策略只能使用可访问快照</x:v>
      </x:c>
    </x:row>
    <x:row r="4493" ht="32" customHeight="1">
      <x:c r="A4493" s="30" t="str">
        <x:v>A052</x:v>
      </x:c>
      <x:c r="B4493" s="30" t="str">
        <x:v>F192</x:v>
      </x:c>
      <x:c r="C4493" s="30" t="str">
        <x:v>belief.conflict_state</x:v>
      </x:c>
      <x:c r="D4493" s="30" t="str">
        <x:v>候选输入schema</x:v>
      </x:c>
      <x:c r="E4493" s="30" t="str">
        <x:v>按执行角色权限读取；策略只能使用可访问快照</x:v>
      </x:c>
    </x:row>
    <x:row r="4494" ht="32" customHeight="1">
      <x:c r="A4494" s="30" t="str">
        <x:v>A052</x:v>
      </x:c>
      <x:c r="B4494" s="30" t="str">
        <x:v>F193</x:v>
      </x:c>
      <x:c r="C4494" s="30" t="str">
        <x:v>belief.team_estimates</x:v>
      </x:c>
      <x:c r="D4494" s="30" t="str">
        <x:v>候选输入schema</x:v>
      </x:c>
      <x:c r="E4494" s="30" t="str">
        <x:v>按执行角色权限读取；策略只能使用可访问快照</x:v>
      </x:c>
    </x:row>
    <x:row r="4495" ht="32" customHeight="1">
      <x:c r="A4495" s="30" t="str">
        <x:v>A052</x:v>
      </x:c>
      <x:c r="B4495" s="30" t="str">
        <x:v>F194</x:v>
      </x:c>
      <x:c r="C4495" s="30" t="str">
        <x:v>belief.search_status</x:v>
      </x:c>
      <x:c r="D4495" s="30" t="str">
        <x:v>候选输入schema</x:v>
      </x:c>
      <x:c r="E4495" s="30" t="str">
        <x:v>按执行角色权限读取；策略只能使用可访问快照</x:v>
      </x:c>
    </x:row>
    <x:row r="4496" ht="32" customHeight="1">
      <x:c r="A4496" s="30" t="str">
        <x:v>A052</x:v>
      </x:c>
      <x:c r="B4496" s="30" t="str">
        <x:v>F195</x:v>
      </x:c>
      <x:c r="C4496" s="30" t="str">
        <x:v>belief.current_goal_context</x:v>
      </x:c>
      <x:c r="D4496" s="30" t="str">
        <x:v>候选输入schema</x:v>
      </x:c>
      <x:c r="E4496" s="30" t="str">
        <x:v>按执行角色权限读取；策略只能使用可访问快照</x:v>
      </x:c>
    </x:row>
    <x:row r="4497" ht="32" customHeight="1">
      <x:c r="A4497" s="30" t="str">
        <x:v>A052</x:v>
      </x:c>
      <x:c r="B4497" s="30" t="str">
        <x:v>F196</x:v>
      </x:c>
      <x:c r="C4497" s="30" t="str">
        <x:v>task.type</x:v>
      </x:c>
      <x:c r="D4497" s="30" t="str">
        <x:v>候选输入schema</x:v>
      </x:c>
      <x:c r="E4497" s="30" t="str">
        <x:v>按执行角色权限读取；策略只能使用可访问快照</x:v>
      </x:c>
    </x:row>
    <x:row r="4498" ht="32" customHeight="1">
      <x:c r="A4498" s="30" t="str">
        <x:v>A052</x:v>
      </x:c>
      <x:c r="B4498" s="30" t="str">
        <x:v>F197</x:v>
      </x:c>
      <x:c r="C4498" s="30" t="str">
        <x:v>task.creator_id</x:v>
      </x:c>
      <x:c r="D4498" s="30" t="str">
        <x:v>候选输入schema</x:v>
      </x:c>
      <x:c r="E4498" s="30" t="str">
        <x:v>按执行角色权限读取；策略只能使用可访问快照</x:v>
      </x:c>
    </x:row>
    <x:row r="4499" ht="32" customHeight="1">
      <x:c r="A4499" s="30" t="str">
        <x:v>A052</x:v>
      </x:c>
      <x:c r="B4499" s="30" t="str">
        <x:v>F198</x:v>
      </x:c>
      <x:c r="C4499" s="30" t="str">
        <x:v>task.target_ref</x:v>
      </x:c>
      <x:c r="D4499" s="30" t="str">
        <x:v>候选输入schema</x:v>
      </x:c>
      <x:c r="E4499" s="30" t="str">
        <x:v>按执行角色权限读取；策略只能使用可访问快照</x:v>
      </x:c>
    </x:row>
    <x:row r="4500" ht="32" customHeight="1">
      <x:c r="A4500" s="30" t="str">
        <x:v>A052</x:v>
      </x:c>
      <x:c r="B4500" s="30" t="str">
        <x:v>F199</x:v>
      </x:c>
      <x:c r="C4500" s="30" t="str">
        <x:v>task.goal_predicate</x:v>
      </x:c>
      <x:c r="D4500" s="30" t="str">
        <x:v>候选输入schema</x:v>
      </x:c>
      <x:c r="E4500" s="30" t="str">
        <x:v>按执行角色权限读取；策略只能使用可访问快照</x:v>
      </x:c>
    </x:row>
    <x:row r="4501" ht="32" customHeight="1">
      <x:c r="A4501" s="30" t="str">
        <x:v>A052</x:v>
      </x:c>
      <x:c r="B4501" s="30" t="str">
        <x:v>F200</x:v>
      </x:c>
      <x:c r="C4501" s="30" t="str">
        <x:v>task.revision</x:v>
      </x:c>
      <x:c r="D4501" s="30" t="str">
        <x:v>候选输入schema</x:v>
      </x:c>
      <x:c r="E4501" s="30" t="str">
        <x:v>按执行角色权限读取；策略只能使用可访问快照</x:v>
      </x:c>
    </x:row>
    <x:row r="4502" ht="32" customHeight="1">
      <x:c r="A4502" s="30" t="str">
        <x:v>A052</x:v>
      </x:c>
      <x:c r="B4502" s="30" t="str">
        <x:v>F201</x:v>
      </x:c>
      <x:c r="C4502" s="30" t="str">
        <x:v>task.status</x:v>
      </x:c>
      <x:c r="D4502" s="30" t="str">
        <x:v>候选输入schema</x:v>
      </x:c>
      <x:c r="E4502" s="30" t="str">
        <x:v>按执行角色权限读取；策略只能使用可访问快照</x:v>
      </x:c>
    </x:row>
    <x:row r="4503" ht="32" customHeight="1">
      <x:c r="A4503" s="30" t="str">
        <x:v>A052</x:v>
      </x:c>
      <x:c r="B4503" s="30" t="str">
        <x:v>F202</x:v>
      </x:c>
      <x:c r="C4503" s="30" t="str">
        <x:v>task.priority</x:v>
      </x:c>
      <x:c r="D4503" s="30" t="str">
        <x:v>候选输入schema</x:v>
      </x:c>
      <x:c r="E4503" s="30" t="str">
        <x:v>按执行角色权限读取；策略只能使用可访问快照</x:v>
      </x:c>
    </x:row>
    <x:row r="4504" ht="32" customHeight="1">
      <x:c r="A4504" s="30" t="str">
        <x:v>A052</x:v>
      </x:c>
      <x:c r="B4504" s="30" t="str">
        <x:v>F203</x:v>
      </x:c>
      <x:c r="C4504" s="30" t="str">
        <x:v>task.deadline_s</x:v>
      </x:c>
      <x:c r="D4504" s="30" t="str">
        <x:v>候选输入schema</x:v>
      </x:c>
      <x:c r="E4504" s="30" t="str">
        <x:v>按执行角色权限读取；策略只能使用可访问快照</x:v>
      </x:c>
    </x:row>
    <x:row r="4505" ht="32" customHeight="1">
      <x:c r="A4505" s="30" t="str">
        <x:v>A052</x:v>
      </x:c>
      <x:c r="B4505" s="30" t="str">
        <x:v>F204</x:v>
      </x:c>
      <x:c r="C4505" s="30" t="str">
        <x:v>task.dependency_ids</x:v>
      </x:c>
      <x:c r="D4505" s="30" t="str">
        <x:v>候选输入schema</x:v>
      </x:c>
      <x:c r="E4505" s="30" t="str">
        <x:v>按执行角色权限读取；策略只能使用可访问快照</x:v>
      </x:c>
    </x:row>
    <x:row r="4506" ht="32" customHeight="1">
      <x:c r="A4506" s="30" t="str">
        <x:v>A052</x:v>
      </x:c>
      <x:c r="B4506" s="30" t="str">
        <x:v>F205</x:v>
      </x:c>
      <x:c r="C4506" s="30" t="str">
        <x:v>task.required_capability_ids</x:v>
      </x:c>
      <x:c r="D4506" s="30" t="str">
        <x:v>候选输入schema</x:v>
      </x:c>
      <x:c r="E4506" s="30" t="str">
        <x:v>按执行角色权限读取；策略只能使用可访问快照</x:v>
      </x:c>
    </x:row>
    <x:row r="4507" ht="32" customHeight="1">
      <x:c r="A4507" s="30" t="str">
        <x:v>A052</x:v>
      </x:c>
      <x:c r="B4507" s="30" t="str">
        <x:v>F206</x:v>
      </x:c>
      <x:c r="C4507" s="30" t="str">
        <x:v>task.resource_budget</x:v>
      </x:c>
      <x:c r="D4507" s="30" t="str">
        <x:v>候选输入schema</x:v>
      </x:c>
      <x:c r="E4507" s="30" t="str">
        <x:v>按执行角色权限读取；策略只能使用可访问快照</x:v>
      </x:c>
    </x:row>
    <x:row r="4508" ht="32" customHeight="1">
      <x:c r="A4508" s="30" t="str">
        <x:v>A052</x:v>
      </x:c>
      <x:c r="B4508" s="30" t="str">
        <x:v>F207</x:v>
      </x:c>
      <x:c r="C4508" s="30" t="str">
        <x:v>task.assigned_to</x:v>
      </x:c>
      <x:c r="D4508" s="30" t="str">
        <x:v>候选输入schema</x:v>
      </x:c>
      <x:c r="E4508" s="30" t="str">
        <x:v>按执行角色权限读取；策略只能使用可访问快照</x:v>
      </x:c>
    </x:row>
    <x:row r="4509" ht="32" customHeight="1">
      <x:c r="A4509" s="30" t="str">
        <x:v>A052</x:v>
      </x:c>
      <x:c r="B4509" s="30" t="str">
        <x:v>F208</x:v>
      </x:c>
      <x:c r="C4509" s="30" t="str">
        <x:v>task.accepted_by</x:v>
      </x:c>
      <x:c r="D4509" s="30" t="str">
        <x:v>候选输入schema</x:v>
      </x:c>
      <x:c r="E4509" s="30" t="str">
        <x:v>按执行角色权限读取；策略只能使用可访问快照</x:v>
      </x:c>
    </x:row>
    <x:row r="4510" ht="32" customHeight="1">
      <x:c r="A4510" s="30" t="str">
        <x:v>A052</x:v>
      </x:c>
      <x:c r="B4510" s="30" t="str">
        <x:v>F209</x:v>
      </x:c>
      <x:c r="C4510" s="30" t="str">
        <x:v>task.commitment_window</x:v>
      </x:c>
      <x:c r="D4510" s="30" t="str">
        <x:v>候选输入schema</x:v>
      </x:c>
      <x:c r="E4510" s="30" t="str">
        <x:v>按执行角色权限读取；策略只能使用可访问快照</x:v>
      </x:c>
    </x:row>
    <x:row r="4511" ht="32" customHeight="1">
      <x:c r="A4511" s="30" t="str">
        <x:v>A052</x:v>
      </x:c>
      <x:c r="B4511" s="30" t="str">
        <x:v>F210</x:v>
      </x:c>
      <x:c r="C4511" s="30" t="str">
        <x:v>task.progress</x:v>
      </x:c>
      <x:c r="D4511" s="30" t="str">
        <x:v>候选输入schema</x:v>
      </x:c>
      <x:c r="E4511" s="30" t="str">
        <x:v>按执行角色权限读取；策略只能使用可访问快照</x:v>
      </x:c>
    </x:row>
    <x:row r="4512" ht="32" customHeight="1">
      <x:c r="A4512" s="30" t="str">
        <x:v>A052</x:v>
      </x:c>
      <x:c r="B4512" s="30" t="str">
        <x:v>F211</x:v>
      </x:c>
      <x:c r="C4512" s="30" t="str">
        <x:v>task.active_action_ids</x:v>
      </x:c>
      <x:c r="D4512" s="30" t="str">
        <x:v>候选输入schema</x:v>
      </x:c>
      <x:c r="E4512" s="30" t="str">
        <x:v>按执行角色权限读取；策略只能使用可访问快照</x:v>
      </x:c>
    </x:row>
    <x:row r="4513" ht="32" customHeight="1">
      <x:c r="A4513" s="30" t="str">
        <x:v>A052</x:v>
      </x:c>
      <x:c r="B4513" s="30" t="str">
        <x:v>F212</x:v>
      </x:c>
      <x:c r="C4513" s="30" t="str">
        <x:v>task.interruptibility</x:v>
      </x:c>
      <x:c r="D4513" s="30" t="str">
        <x:v>候选输入schema</x:v>
      </x:c>
      <x:c r="E4513" s="30" t="str">
        <x:v>按执行角色权限读取；策略只能使用可访问快照</x:v>
      </x:c>
    </x:row>
    <x:row r="4514" ht="32" customHeight="1">
      <x:c r="A4514" s="30" t="str">
        <x:v>A052</x:v>
      </x:c>
      <x:c r="B4514" s="30" t="str">
        <x:v>F213</x:v>
      </x:c>
      <x:c r="C4514" s="30" t="str">
        <x:v>task.original_task_id</x:v>
      </x:c>
      <x:c r="D4514" s="30" t="str">
        <x:v>候选输入schema</x:v>
      </x:c>
      <x:c r="E4514" s="30" t="str">
        <x:v>按执行角色权限读取；策略只能使用可访问快照</x:v>
      </x:c>
    </x:row>
    <x:row r="4515" ht="32" customHeight="1">
      <x:c r="A4515" s="30" t="str">
        <x:v>A052</x:v>
      </x:c>
      <x:c r="B4515" s="30" t="str">
        <x:v>F214</x:v>
      </x:c>
      <x:c r="C4515" s="30" t="str">
        <x:v>task.resume_checkpoint</x:v>
      </x:c>
      <x:c r="D4515" s="30" t="str">
        <x:v>候选输入schema</x:v>
      </x:c>
      <x:c r="E4515" s="30" t="str">
        <x:v>按执行角色权限读取；策略只能使用可访问快照</x:v>
      </x:c>
    </x:row>
    <x:row r="4516" ht="32" customHeight="1">
      <x:c r="A4516" s="30" t="str">
        <x:v>A052</x:v>
      </x:c>
      <x:c r="B4516" s="30" t="str">
        <x:v>F215</x:v>
      </x:c>
      <x:c r="C4516" s="30" t="str">
        <x:v>task.handoff_target_id</x:v>
      </x:c>
      <x:c r="D4516" s="30" t="str">
        <x:v>候选输入schema</x:v>
      </x:c>
      <x:c r="E4516" s="30" t="str">
        <x:v>按执行角色权限读取；策略只能使用可访问快照</x:v>
      </x:c>
    </x:row>
    <x:row r="4517" ht="32" customHeight="1">
      <x:c r="A4517" s="30" t="str">
        <x:v>A052</x:v>
      </x:c>
      <x:c r="B4517" s="30" t="str">
        <x:v>F216</x:v>
      </x:c>
      <x:c r="C4517" s="30" t="str">
        <x:v>task.result_evidence_ids</x:v>
      </x:c>
      <x:c r="D4517" s="30" t="str">
        <x:v>候选输入schema</x:v>
      </x:c>
      <x:c r="E4517" s="30" t="str">
        <x:v>按执行角色权限读取；策略只能使用可访问快照</x:v>
      </x:c>
    </x:row>
    <x:row r="4518" ht="32" customHeight="1">
      <x:c r="A4518" s="30" t="str">
        <x:v>A052</x:v>
      </x:c>
      <x:c r="B4518" s="30" t="str">
        <x:v>F217</x:v>
      </x:c>
      <x:c r="C4518" s="30" t="str">
        <x:v>task.failure_reason</x:v>
      </x:c>
      <x:c r="D4518" s="30" t="str">
        <x:v>候选输入schema</x:v>
      </x:c>
      <x:c r="E4518" s="30" t="str">
        <x:v>按执行角色权限读取；策略只能使用可访问快照</x:v>
      </x:c>
    </x:row>
    <x:row r="4519" ht="32" customHeight="1">
      <x:c r="A4519" s="30" t="str">
        <x:v>A052</x:v>
      </x:c>
      <x:c r="B4519" s="30" t="str">
        <x:v>F218</x:v>
      </x:c>
      <x:c r="C4519" s="30" t="str">
        <x:v>task.last_event_s</x:v>
      </x:c>
      <x:c r="D4519" s="30" t="str">
        <x:v>候选输入schema</x:v>
      </x:c>
      <x:c r="E4519" s="30" t="str">
        <x:v>按执行角色权限读取；策略只能使用可访问快照</x:v>
      </x:c>
    </x:row>
    <x:row r="4520" ht="32" customHeight="1">
      <x:c r="A4520" s="30" t="str">
        <x:v>A052</x:v>
      </x:c>
      <x:c r="B4520" s="30" t="str">
        <x:v>F219</x:v>
      </x:c>
      <x:c r="C4520" s="30" t="str">
        <x:v>task.opportunity_cost</x:v>
      </x:c>
      <x:c r="D4520" s="30" t="str">
        <x:v>候选输入schema</x:v>
      </x:c>
      <x:c r="E4520" s="30" t="str">
        <x:v>按执行角色权限读取；策略只能使用可访问快照</x:v>
      </x:c>
    </x:row>
    <x:row r="4521" ht="32" customHeight="1">
      <x:c r="A4521" s="30" t="str">
        <x:v>A052</x:v>
      </x:c>
      <x:c r="B4521" s="30" t="str">
        <x:v>F220</x:v>
      </x:c>
      <x:c r="C4521" s="30" t="str">
        <x:v>assignment.task_ref</x:v>
      </x:c>
      <x:c r="D4521" s="30" t="str">
        <x:v>候选输入schema</x:v>
      </x:c>
      <x:c r="E4521" s="30" t="str">
        <x:v>按执行角色权限读取；策略只能使用可访问快照</x:v>
      </x:c>
    </x:row>
    <x:row r="4522" ht="32" customHeight="1">
      <x:c r="A4522" s="30" t="str">
        <x:v>A052</x:v>
      </x:c>
      <x:c r="B4522" s="30" t="str">
        <x:v>F221</x:v>
      </x:c>
      <x:c r="C4522" s="30" t="str">
        <x:v>assignment.sender_id</x:v>
      </x:c>
      <x:c r="D4522" s="30" t="str">
        <x:v>候选输入schema</x:v>
      </x:c>
      <x:c r="E4522" s="30" t="str">
        <x:v>按执行角色权限读取；策略只能使用可访问快照</x:v>
      </x:c>
    </x:row>
    <x:row r="4523" ht="32" customHeight="1">
      <x:c r="A4523" s="30" t="str">
        <x:v>A052</x:v>
      </x:c>
      <x:c r="B4523" s="30" t="str">
        <x:v>F222</x:v>
      </x:c>
      <x:c r="C4523" s="30" t="str">
        <x:v>assignment.receiver_id</x:v>
      </x:c>
      <x:c r="D4523" s="30" t="str">
        <x:v>候选输入schema</x:v>
      </x:c>
      <x:c r="E4523" s="30" t="str">
        <x:v>按执行角色权限读取；策略只能使用可访问快照</x:v>
      </x:c>
    </x:row>
    <x:row r="4524" ht="32" customHeight="1">
      <x:c r="A4524" s="30" t="str">
        <x:v>A052</x:v>
      </x:c>
      <x:c r="B4524" s="30" t="str">
        <x:v>F223</x:v>
      </x:c>
      <x:c r="C4524" s="30" t="str">
        <x:v>assignment.bid</x:v>
      </x:c>
      <x:c r="D4524" s="30" t="str">
        <x:v>候选输入schema</x:v>
      </x:c>
      <x:c r="E4524" s="30" t="str">
        <x:v>按执行角色权限读取；策略只能使用可访问快照</x:v>
      </x:c>
    </x:row>
    <x:row r="4525" ht="32" customHeight="1">
      <x:c r="A4525" s="30" t="str">
        <x:v>A052</x:v>
      </x:c>
      <x:c r="B4525" s="30" t="str">
        <x:v>F224</x:v>
      </x:c>
      <x:c r="C4525" s="30" t="str">
        <x:v>assignment.message_id</x:v>
      </x:c>
      <x:c r="D4525" s="30" t="str">
        <x:v>候选输入schema</x:v>
      </x:c>
      <x:c r="E4525" s="30" t="str">
        <x:v>按执行角色权限读取；策略只能使用可访问快照</x:v>
      </x:c>
    </x:row>
    <x:row r="4526" ht="32" customHeight="1">
      <x:c r="A4526" s="30" t="str">
        <x:v>A052</x:v>
      </x:c>
      <x:c r="B4526" s="30" t="str">
        <x:v>F225</x:v>
      </x:c>
      <x:c r="C4526" s="30" t="str">
        <x:v>assignment.delivery_state</x:v>
      </x:c>
      <x:c r="D4526" s="30" t="str">
        <x:v>候选输入schema</x:v>
      </x:c>
      <x:c r="E4526" s="30" t="str">
        <x:v>按执行角色权限读取；策略只能使用可访问快照</x:v>
      </x:c>
    </x:row>
    <x:row r="4527" ht="32" customHeight="1">
      <x:c r="A4527" s="30" t="str">
        <x:v>A052</x:v>
      </x:c>
      <x:c r="B4527" s="30" t="str">
        <x:v>F226</x:v>
      </x:c>
      <x:c r="C4527" s="30" t="str">
        <x:v>assignment.decision</x:v>
      </x:c>
      <x:c r="D4527" s="30" t="str">
        <x:v>候选输入schema</x:v>
      </x:c>
      <x:c r="E4527" s="30" t="str">
        <x:v>按执行角色权限读取；策略只能使用可访问快照</x:v>
      </x:c>
    </x:row>
    <x:row r="4528" ht="32" customHeight="1">
      <x:c r="A4528" s="30" t="str">
        <x:v>A052</x:v>
      </x:c>
      <x:c r="B4528" s="30" t="str">
        <x:v>F227</x:v>
      </x:c>
      <x:c r="C4528" s="30" t="str">
        <x:v>assignment.decision_reason</x:v>
      </x:c>
      <x:c r="D4528" s="30" t="str">
        <x:v>候选输入schema</x:v>
      </x:c>
      <x:c r="E4528" s="30" t="str">
        <x:v>按执行角色权限读取；策略只能使用可访问快照</x:v>
      </x:c>
    </x:row>
    <x:row r="4529" ht="32" customHeight="1">
      <x:c r="A4529" s="30" t="str">
        <x:v>A052</x:v>
      </x:c>
      <x:c r="B4529" s="30" t="str">
        <x:v>F228</x:v>
      </x:c>
      <x:c r="C4529" s="30" t="str">
        <x:v>assignment.lease_end_s</x:v>
      </x:c>
      <x:c r="D4529" s="30" t="str">
        <x:v>候选输入schema</x:v>
      </x:c>
      <x:c r="E4529" s="30" t="str">
        <x:v>按执行角色权限读取；策略只能使用可访问快照</x:v>
      </x:c>
    </x:row>
    <x:row r="4530" ht="32" customHeight="1">
      <x:c r="A4530" s="30" t="str">
        <x:v>A052</x:v>
      </x:c>
      <x:c r="B4530" s="30" t="str">
        <x:v>F229</x:v>
      </x:c>
      <x:c r="C4530" s="30" t="str">
        <x:v>assignment.acknowledged_revision</x:v>
      </x:c>
      <x:c r="D4530" s="30" t="str">
        <x:v>候选输入schema</x:v>
      </x:c>
      <x:c r="E4530" s="30" t="str">
        <x:v>按执行角色权限读取；策略只能使用可访问快照</x:v>
      </x:c>
    </x:row>
    <x:row r="4531" ht="32" customHeight="1">
      <x:c r="A4531" s="30" t="str">
        <x:v>A052</x:v>
      </x:c>
      <x:c r="B4531" s="30" t="str">
        <x:v>F275</x:v>
      </x:c>
      <x:c r="C4531" s="30" t="str">
        <x:v>message.kind</x:v>
      </x:c>
      <x:c r="D4531" s="30" t="str">
        <x:v>候选输入schema</x:v>
      </x:c>
      <x:c r="E4531" s="30" t="str">
        <x:v>按执行角色权限读取；策略只能使用可访问快照</x:v>
      </x:c>
    </x:row>
    <x:row r="4532" ht="32" customHeight="1">
      <x:c r="A4532" s="30" t="str">
        <x:v>A052</x:v>
      </x:c>
      <x:c r="B4532" s="30" t="str">
        <x:v>F276</x:v>
      </x:c>
      <x:c r="C4532" s="30" t="str">
        <x:v>message.sender_id</x:v>
      </x:c>
      <x:c r="D4532" s="30" t="str">
        <x:v>候选输入schema</x:v>
      </x:c>
      <x:c r="E4532" s="30" t="str">
        <x:v>按执行角色权限读取；策略只能使用可访问快照</x:v>
      </x:c>
    </x:row>
    <x:row r="4533" ht="32" customHeight="1">
      <x:c r="A4533" s="30" t="str">
        <x:v>A052</x:v>
      </x:c>
      <x:c r="B4533" s="30" t="str">
        <x:v>F277</x:v>
      </x:c>
      <x:c r="C4533" s="30" t="str">
        <x:v>message.receiver_ids</x:v>
      </x:c>
      <x:c r="D4533" s="30" t="str">
        <x:v>候选输入schema</x:v>
      </x:c>
      <x:c r="E4533" s="30" t="str">
        <x:v>按执行角色权限读取；策略只能使用可访问快照</x:v>
      </x:c>
    </x:row>
    <x:row r="4534" ht="32" customHeight="1">
      <x:c r="A4534" s="30" t="str">
        <x:v>A052</x:v>
      </x:c>
      <x:c r="B4534" s="30" t="str">
        <x:v>F278</x:v>
      </x:c>
      <x:c r="C4534" s="30" t="str">
        <x:v>message.payload_ref</x:v>
      </x:c>
      <x:c r="D4534" s="30" t="str">
        <x:v>候选输入schema</x:v>
      </x:c>
      <x:c r="E4534" s="30" t="str">
        <x:v>按执行角色权限读取；策略只能使用可访问快照</x:v>
      </x:c>
    </x:row>
    <x:row r="4535" ht="32" customHeight="1">
      <x:c r="A4535" s="30" t="str">
        <x:v>A052</x:v>
      </x:c>
      <x:c r="B4535" s="30" t="str">
        <x:v>F279</x:v>
      </x:c>
      <x:c r="C4535" s="30" t="str">
        <x:v>message.size_bytes</x:v>
      </x:c>
      <x:c r="D4535" s="30" t="str">
        <x:v>候选输入schema</x:v>
      </x:c>
      <x:c r="E4535" s="30" t="str">
        <x:v>按执行角色权限读取；策略只能使用可访问快照</x:v>
      </x:c>
    </x:row>
    <x:row r="4536" ht="32" customHeight="1">
      <x:c r="A4536" s="30" t="str">
        <x:v>A052</x:v>
      </x:c>
      <x:c r="B4536" s="30" t="str">
        <x:v>F280</x:v>
      </x:c>
      <x:c r="C4536" s="30" t="str">
        <x:v>message.fragment_count</x:v>
      </x:c>
      <x:c r="D4536" s="30" t="str">
        <x:v>候选输入schema</x:v>
      </x:c>
      <x:c r="E4536" s="30" t="str">
        <x:v>按执行角色权限读取；策略只能使用可访问快照</x:v>
      </x:c>
    </x:row>
    <x:row r="4537" ht="32" customHeight="1">
      <x:c r="A4537" s="30" t="str">
        <x:v>A052</x:v>
      </x:c>
      <x:c r="B4537" s="30" t="str">
        <x:v>F281</x:v>
      </x:c>
      <x:c r="C4537" s="30" t="str">
        <x:v>message.received_fragments</x:v>
      </x:c>
      <x:c r="D4537" s="30" t="str">
        <x:v>候选输入schema</x:v>
      </x:c>
      <x:c r="E4537" s="30" t="str">
        <x:v>按执行角色权限读取；策略只能使用可访问快照</x:v>
      </x:c>
    </x:row>
    <x:row r="4538" ht="32" customHeight="1">
      <x:c r="A4538" s="30" t="str">
        <x:v>A052</x:v>
      </x:c>
      <x:c r="B4538" s="30" t="str">
        <x:v>F282</x:v>
      </x:c>
      <x:c r="C4538" s="30" t="str">
        <x:v>message.content_hash</x:v>
      </x:c>
      <x:c r="D4538" s="30" t="str">
        <x:v>候选输入schema</x:v>
      </x:c>
      <x:c r="E4538" s="30" t="str">
        <x:v>按执行角色权限读取；策略只能使用可访问快照</x:v>
      </x:c>
    </x:row>
    <x:row r="4539" ht="32" customHeight="1">
      <x:c r="A4539" s="30" t="str">
        <x:v>A052</x:v>
      </x:c>
      <x:c r="B4539" s="30" t="str">
        <x:v>F283</x:v>
      </x:c>
      <x:c r="C4539" s="30" t="str">
        <x:v>message.priority</x:v>
      </x:c>
      <x:c r="D4539" s="30" t="str">
        <x:v>候选输入schema</x:v>
      </x:c>
      <x:c r="E4539" s="30" t="str">
        <x:v>按执行角色权限读取；策略只能使用可访问快照</x:v>
      </x:c>
    </x:row>
    <x:row r="4540" ht="32" customHeight="1">
      <x:c r="A4540" s="30" t="str">
        <x:v>A052</x:v>
      </x:c>
      <x:c r="B4540" s="30" t="str">
        <x:v>F284</x:v>
      </x:c>
      <x:c r="C4540" s="30" t="str">
        <x:v>message.ttl_s</x:v>
      </x:c>
      <x:c r="D4540" s="30" t="str">
        <x:v>候选输入schema</x:v>
      </x:c>
      <x:c r="E4540" s="30" t="str">
        <x:v>按执行角色权限读取；策略只能使用可访问快照</x:v>
      </x:c>
    </x:row>
    <x:row r="4541" ht="32" customHeight="1">
      <x:c r="A4541" s="30" t="str">
        <x:v>A052</x:v>
      </x:c>
      <x:c r="B4541" s="30" t="str">
        <x:v>F285</x:v>
      </x:c>
      <x:c r="C4541" s="30" t="str">
        <x:v>message.status</x:v>
      </x:c>
      <x:c r="D4541" s="30" t="str">
        <x:v>候选输入schema</x:v>
      </x:c>
      <x:c r="E4541" s="30" t="str">
        <x:v>按执行角色权限读取；策略只能使用可访问快照</x:v>
      </x:c>
    </x:row>
    <x:row r="4542" ht="32" customHeight="1">
      <x:c r="A4542" s="30" t="str">
        <x:v>A052</x:v>
      </x:c>
      <x:c r="B4542" s="30" t="str">
        <x:v>F286</x:v>
      </x:c>
      <x:c r="C4542" s="30" t="str">
        <x:v>message.sent_s</x:v>
      </x:c>
      <x:c r="D4542" s="30" t="str">
        <x:v>候选输入schema</x:v>
      </x:c>
      <x:c r="E4542" s="30" t="str">
        <x:v>按执行角色权限读取；策略只能使用可访问快照</x:v>
      </x:c>
    </x:row>
    <x:row r="4543" ht="32" customHeight="1">
      <x:c r="A4543" s="30" t="str">
        <x:v>A052</x:v>
      </x:c>
      <x:c r="B4543" s="30" t="str">
        <x:v>F287</x:v>
      </x:c>
      <x:c r="C4543" s="30" t="str">
        <x:v>message.delivered_s</x:v>
      </x:c>
      <x:c r="D4543" s="30" t="str">
        <x:v>候选输入schema</x:v>
      </x:c>
      <x:c r="E4543" s="30" t="str">
        <x:v>按执行角色权限读取；策略只能使用可访问快照</x:v>
      </x:c>
    </x:row>
    <x:row r="4544" ht="32" customHeight="1">
      <x:c r="A4544" s="30" t="str">
        <x:v>A052</x:v>
      </x:c>
      <x:c r="B4544" s="30" t="str">
        <x:v>F288</x:v>
      </x:c>
      <x:c r="C4544" s="30" t="str">
        <x:v>message.ack_state</x:v>
      </x:c>
      <x:c r="D4544" s="30" t="str">
        <x:v>候选输入schema</x:v>
      </x:c>
      <x:c r="E4544" s="30" t="str">
        <x:v>按执行角色权限读取；策略只能使用可访问快照</x:v>
      </x:c>
    </x:row>
    <x:row r="4545" ht="32" customHeight="1">
      <x:c r="A4545" s="30" t="str">
        <x:v>A052</x:v>
      </x:c>
      <x:c r="B4545" s="30" t="str">
        <x:v>F289</x:v>
      </x:c>
      <x:c r="C4545" s="30" t="str">
        <x:v>message.retry_count</x:v>
      </x:c>
      <x:c r="D4545" s="30" t="str">
        <x:v>候选输入schema</x:v>
      </x:c>
      <x:c r="E4545" s="30" t="str">
        <x:v>按执行角色权限读取；策略只能使用可访问快照</x:v>
      </x:c>
    </x:row>
    <x:row r="4546" ht="32" customHeight="1">
      <x:c r="A4546" s="30" t="str">
        <x:v>A052</x:v>
      </x:c>
      <x:c r="B4546" s="30" t="str">
        <x:v>F290</x:v>
      </x:c>
      <x:c r="C4546" s="30" t="str">
        <x:v>message.hop_trace</x:v>
      </x:c>
      <x:c r="D4546" s="30" t="str">
        <x:v>候选输入schema</x:v>
      </x:c>
      <x:c r="E4546" s="30" t="str">
        <x:v>按执行角色权限读取；策略只能使用可访问快照</x:v>
      </x:c>
    </x:row>
    <x:row r="4547" ht="32" customHeight="1">
      <x:c r="A4547" s="30" t="str">
        <x:v>A052</x:v>
      </x:c>
      <x:c r="B4547" s="30" t="str">
        <x:v>F291</x:v>
      </x:c>
      <x:c r="C4547" s="30" t="str">
        <x:v>message.correlation_id</x:v>
      </x:c>
      <x:c r="D4547" s="30" t="str">
        <x:v>候选输入schema</x:v>
      </x:c>
      <x:c r="E4547" s="30" t="str">
        <x:v>按执行角色权限读取；策略只能使用可访问快照</x:v>
      </x:c>
    </x:row>
    <x:row r="4548" ht="32" customHeight="1">
      <x:c r="A4548" s="30" t="str">
        <x:v>A052</x:v>
      </x:c>
      <x:c r="B4548" s="30" t="str">
        <x:v>F292</x:v>
      </x:c>
      <x:c r="C4548" s="30" t="str">
        <x:v>message.local_availability</x:v>
      </x:c>
      <x:c r="D4548" s="30" t="str">
        <x:v>候选输入schema</x:v>
      </x:c>
      <x:c r="E4548" s="30" t="str">
        <x:v>按执行角色权限读取；策略只能使用可访问快照</x:v>
      </x:c>
    </x:row>
    <x:row r="4549" ht="32" customHeight="1">
      <x:c r="A4549" s="30" t="str">
        <x:v>A052</x:v>
      </x:c>
      <x:c r="B4549" s="30" t="str">
        <x:v>F293</x:v>
      </x:c>
      <x:c r="C4549" s="30" t="str">
        <x:v>compute.node_id</x:v>
      </x:c>
      <x:c r="D4549" s="30" t="str">
        <x:v>候选输入schema</x:v>
      </x:c>
      <x:c r="E4549" s="30" t="str">
        <x:v>按执行角色权限读取；策略只能使用可访问快照</x:v>
      </x:c>
    </x:row>
    <x:row r="4550" ht="32" customHeight="1">
      <x:c r="A4550" s="30" t="str">
        <x:v>A052</x:v>
      </x:c>
      <x:c r="B4550" s="30" t="str">
        <x:v>F294</x:v>
      </x:c>
      <x:c r="C4550" s="30" t="str">
        <x:v>compute.device_kind</x:v>
      </x:c>
      <x:c r="D4550" s="30" t="str">
        <x:v>候选输入schema</x:v>
      </x:c>
      <x:c r="E4550" s="30" t="str">
        <x:v>按执行角色权限读取；策略只能使用可访问快照</x:v>
      </x:c>
    </x:row>
    <x:row r="4551" ht="32" customHeight="1">
      <x:c r="A4551" s="30" t="str">
        <x:v>A052</x:v>
      </x:c>
      <x:c r="B4551" s="30" t="str">
        <x:v>F295</x:v>
      </x:c>
      <x:c r="C4551" s="30" t="str">
        <x:v>compute.cpu_capacity</x:v>
      </x:c>
      <x:c r="D4551" s="30" t="str">
        <x:v>候选输入schema</x:v>
      </x:c>
      <x:c r="E4551" s="30" t="str">
        <x:v>按执行角色权限读取；策略只能使用可访问快照</x:v>
      </x:c>
    </x:row>
    <x:row r="4552" ht="32" customHeight="1">
      <x:c r="A4552" s="30" t="str">
        <x:v>A052</x:v>
      </x:c>
      <x:c r="B4552" s="30" t="str">
        <x:v>F296</x:v>
      </x:c>
      <x:c r="C4552" s="30" t="str">
        <x:v>compute.accelerator_capacity</x:v>
      </x:c>
      <x:c r="D4552" s="30" t="str">
        <x:v>候选输入schema</x:v>
      </x:c>
      <x:c r="E4552" s="30" t="str">
        <x:v>按执行角色权限读取；策略只能使用可访问快照</x:v>
      </x:c>
    </x:row>
    <x:row r="4553" ht="32" customHeight="1">
      <x:c r="A4553" s="30" t="str">
        <x:v>A052</x:v>
      </x:c>
      <x:c r="B4553" s="30" t="str">
        <x:v>F297</x:v>
      </x:c>
      <x:c r="C4553" s="30" t="str">
        <x:v>compute.memory_capacity_bytes</x:v>
      </x:c>
      <x:c r="D4553" s="30" t="str">
        <x:v>候选输入schema</x:v>
      </x:c>
      <x:c r="E4553" s="30" t="str">
        <x:v>按执行角色权限读取；策略只能使用可访问快照</x:v>
      </x:c>
    </x:row>
    <x:row r="4554" ht="32" customHeight="1">
      <x:c r="A4554" s="30" t="str">
        <x:v>A052</x:v>
      </x:c>
      <x:c r="B4554" s="30" t="str">
        <x:v>F298</x:v>
      </x:c>
      <x:c r="C4554" s="30" t="str">
        <x:v>compute.memory_used_bytes</x:v>
      </x:c>
      <x:c r="D4554" s="30" t="str">
        <x:v>候选输入schema</x:v>
      </x:c>
      <x:c r="E4554" s="30" t="str">
        <x:v>按执行角色权限读取；策略只能使用可访问快照</x:v>
      </x:c>
    </x:row>
    <x:row r="4555" ht="32" customHeight="1">
      <x:c r="A4555" s="30" t="str">
        <x:v>A052</x:v>
      </x:c>
      <x:c r="B4555" s="30" t="str">
        <x:v>F299</x:v>
      </x:c>
      <x:c r="C4555" s="30" t="str">
        <x:v>compute.cpu_allocated</x:v>
      </x:c>
      <x:c r="D4555" s="30" t="str">
        <x:v>候选输入schema</x:v>
      </x:c>
      <x:c r="E4555" s="30" t="str">
        <x:v>按执行角色权限读取；策略只能使用可访问快照</x:v>
      </x:c>
    </x:row>
    <x:row r="4556" ht="32" customHeight="1">
      <x:c r="A4556" s="30" t="str">
        <x:v>A052</x:v>
      </x:c>
      <x:c r="B4556" s="30" t="str">
        <x:v>F300</x:v>
      </x:c>
      <x:c r="C4556" s="30" t="str">
        <x:v>compute.accelerator_allocated</x:v>
      </x:c>
      <x:c r="D4556" s="30" t="str">
        <x:v>候选输入schema</x:v>
      </x:c>
      <x:c r="E4556" s="30" t="str">
        <x:v>按执行角色权限读取；策略只能使用可访问快照</x:v>
      </x:c>
    </x:row>
    <x:row r="4557" ht="32" customHeight="1">
      <x:c r="A4557" s="30" t="str">
        <x:v>A052</x:v>
      </x:c>
      <x:c r="B4557" s="30" t="str">
        <x:v>F301</x:v>
      </x:c>
      <x:c r="C4557" s="30" t="str">
        <x:v>compute.max_concurrency</x:v>
      </x:c>
      <x:c r="D4557" s="30" t="str">
        <x:v>候选输入schema</x:v>
      </x:c>
      <x:c r="E4557" s="30" t="str">
        <x:v>按执行角色权限读取；策略只能使用可访问快照</x:v>
      </x:c>
    </x:row>
    <x:row r="4558" ht="32" customHeight="1">
      <x:c r="A4558" s="30" t="str">
        <x:v>A052</x:v>
      </x:c>
      <x:c r="B4558" s="30" t="str">
        <x:v>F302</x:v>
      </x:c>
      <x:c r="C4558" s="30" t="str">
        <x:v>compute.queue_ids</x:v>
      </x:c>
      <x:c r="D4558" s="30" t="str">
        <x:v>候选输入schema</x:v>
      </x:c>
      <x:c r="E4558" s="30" t="str">
        <x:v>按执行角色权限读取；策略只能使用可访问快照</x:v>
      </x:c>
    </x:row>
    <x:row r="4559" ht="32" customHeight="1">
      <x:c r="A4559" s="30" t="str">
        <x:v>A052</x:v>
      </x:c>
      <x:c r="B4559" s="30" t="str">
        <x:v>F303</x:v>
      </x:c>
      <x:c r="C4559" s="30" t="str">
        <x:v>compute.running_job_ids</x:v>
      </x:c>
      <x:c r="D4559" s="30" t="str">
        <x:v>候选输入schema</x:v>
      </x:c>
      <x:c r="E4559" s="30" t="str">
        <x:v>按执行角色权限读取；策略只能使用可访问快照</x:v>
      </x:c>
    </x:row>
    <x:row r="4560" ht="32" customHeight="1">
      <x:c r="A4560" s="30" t="str">
        <x:v>A052</x:v>
      </x:c>
      <x:c r="B4560" s="30" t="str">
        <x:v>F304</x:v>
      </x:c>
      <x:c r="C4560" s="30" t="str">
        <x:v>compute.availability</x:v>
      </x:c>
      <x:c r="D4560" s="30" t="str">
        <x:v>候选输入schema</x:v>
      </x:c>
      <x:c r="E4560" s="30" t="str">
        <x:v>按执行角色权限读取；策略只能使用可访问快照</x:v>
      </x:c>
    </x:row>
    <x:row r="4561" ht="32" customHeight="1">
      <x:c r="A4561" s="30" t="str">
        <x:v>A052</x:v>
      </x:c>
      <x:c r="B4561" s="30" t="str">
        <x:v>F305</x:v>
      </x:c>
      <x:c r="C4561" s="30" t="str">
        <x:v>compute.power_model</x:v>
      </x:c>
      <x:c r="D4561" s="30" t="str">
        <x:v>候选输入schema</x:v>
      </x:c>
      <x:c r="E4561" s="30" t="str">
        <x:v>按执行角色权限读取；策略只能使用可访问快照</x:v>
      </x:c>
    </x:row>
    <x:row r="4562" ht="32" customHeight="1">
      <x:c r="A4562" s="30" t="str">
        <x:v>A052</x:v>
      </x:c>
      <x:c r="B4562" s="30" t="str">
        <x:v>F306</x:v>
      </x:c>
      <x:c r="C4562" s="30" t="str">
        <x:v>compute.energy_Wh</x:v>
      </x:c>
      <x:c r="D4562" s="30" t="str">
        <x:v>候选输入schema</x:v>
      </x:c>
      <x:c r="E4562" s="30" t="str">
        <x:v>按执行角色权限读取；策略只能使用可访问快照</x:v>
      </x:c>
    </x:row>
    <x:row r="4563" ht="32" customHeight="1">
      <x:c r="A4563" s="30" t="str">
        <x:v>A052</x:v>
      </x:c>
      <x:c r="B4563" s="30" t="str">
        <x:v>F307</x:v>
      </x:c>
      <x:c r="C4563" s="30" t="str">
        <x:v>compute.service_ids</x:v>
      </x:c>
      <x:c r="D4563" s="30" t="str">
        <x:v>候选输入schema</x:v>
      </x:c>
      <x:c r="E4563" s="30" t="str">
        <x:v>按执行角色权限读取；策略只能使用可访问快照</x:v>
      </x:c>
    </x:row>
    <x:row r="4564" ht="32" customHeight="1">
      <x:c r="A4564" s="30" t="str">
        <x:v>A052</x:v>
      </x:c>
      <x:c r="B4564" s="30" t="str">
        <x:v>F308</x:v>
      </x:c>
      <x:c r="C4564" s="30" t="str">
        <x:v>compute.storage_free_bytes</x:v>
      </x:c>
      <x:c r="D4564" s="30" t="str">
        <x:v>候选输入schema</x:v>
      </x:c>
      <x:c r="E4564" s="30" t="str">
        <x:v>按执行角色权限读取；策略只能使用可访问快照</x:v>
      </x:c>
    </x:row>
    <x:row r="4565" ht="32" customHeight="1">
      <x:c r="A4565" s="30" t="str">
        <x:v>A052</x:v>
      </x:c>
      <x:c r="B4565" s="30" t="str">
        <x:v>F309</x:v>
      </x:c>
      <x:c r="C4565" s="30" t="str">
        <x:v>compute.clock_policy</x:v>
      </x:c>
      <x:c r="D4565" s="30" t="str">
        <x:v>候选输入schema</x:v>
      </x:c>
      <x:c r="E4565" s="30" t="str">
        <x:v>按执行角色权限读取；策略只能使用可访问快照</x:v>
      </x:c>
    </x:row>
    <x:row r="4566" ht="32" customHeight="1">
      <x:c r="A4566" s="30" t="str">
        <x:v>A052</x:v>
      </x:c>
      <x:c r="B4566" s="30" t="str">
        <x:v>F310</x:v>
      </x:c>
      <x:c r="C4566" s="30" t="str">
        <x:v>compute.timing_profile_id</x:v>
      </x:c>
      <x:c r="D4566" s="30" t="str">
        <x:v>候选输入schema</x:v>
      </x:c>
      <x:c r="E4566" s="30" t="str">
        <x:v>按执行角色权限读取；策略只能使用可访问快照</x:v>
      </x:c>
    </x:row>
    <x:row r="4567" ht="32" customHeight="1">
      <x:c r="A4567" s="30" t="str">
        <x:v>A052</x:v>
      </x:c>
      <x:c r="B4567" s="30" t="str">
        <x:v>F311</x:v>
      </x:c>
      <x:c r="C4567" s="30" t="str">
        <x:v>compute.temperature_state</x:v>
      </x:c>
      <x:c r="D4567" s="30" t="str">
        <x:v>候选输入schema</x:v>
      </x:c>
      <x:c r="E4567" s="30" t="str">
        <x:v>按执行角色权限读取；策略只能使用可访问快照</x:v>
      </x:c>
    </x:row>
    <x:row r="4568" ht="32" customHeight="1">
      <x:c r="A4568" s="30" t="str">
        <x:v>A052</x:v>
      </x:c>
      <x:c r="B4568" s="30" t="str">
        <x:v>F312</x:v>
      </x:c>
      <x:c r="C4568" s="30" t="str">
        <x:v>compute.network_endpoint</x:v>
      </x:c>
      <x:c r="D4568" s="30" t="str">
        <x:v>候选输入schema</x:v>
      </x:c>
      <x:c r="E4568" s="30" t="str">
        <x:v>按执行角色权限读取；策略只能使用可访问快照</x:v>
      </x:c>
    </x:row>
    <x:row r="4569" ht="32" customHeight="1">
      <x:c r="A4569" s="30" t="str">
        <x:v>A052</x:v>
      </x:c>
      <x:c r="B4569" s="30" t="str">
        <x:v>F329</x:v>
      </x:c>
      <x:c r="C4569" s="30" t="str">
        <x:v>job.requester_id</x:v>
      </x:c>
      <x:c r="D4569" s="30" t="str">
        <x:v>候选输入schema</x:v>
      </x:c>
      <x:c r="E4569" s="30" t="str">
        <x:v>按执行角色权限读取；策略只能使用可访问快照</x:v>
      </x:c>
    </x:row>
    <x:row r="4570" ht="32" customHeight="1">
      <x:c r="A4570" s="30" t="str">
        <x:v>A052</x:v>
      </x:c>
      <x:c r="B4570" s="30" t="str">
        <x:v>F330</x:v>
      </x:c>
      <x:c r="C4570" s="30" t="str">
        <x:v>job.task_ref</x:v>
      </x:c>
      <x:c r="D4570" s="30" t="str">
        <x:v>候选输入schema</x:v>
      </x:c>
      <x:c r="E4570" s="30" t="str">
        <x:v>按执行角色权限读取；策略只能使用可访问快照</x:v>
      </x:c>
    </x:row>
    <x:row r="4571" ht="32" customHeight="1">
      <x:c r="A4571" s="30" t="str">
        <x:v>A052</x:v>
      </x:c>
      <x:c r="B4571" s="30" t="str">
        <x:v>F331</x:v>
      </x:c>
      <x:c r="C4571" s="30" t="str">
        <x:v>job.service_id</x:v>
      </x:c>
      <x:c r="D4571" s="30" t="str">
        <x:v>候选输入schema</x:v>
      </x:c>
      <x:c r="E4571" s="30" t="str">
        <x:v>按执行角色权限读取；策略只能使用可访问快照</x:v>
      </x:c>
    </x:row>
    <x:row r="4572" ht="32" customHeight="1">
      <x:c r="A4572" s="30" t="str">
        <x:v>A052</x:v>
      </x:c>
      <x:c r="B4572" s="30" t="str">
        <x:v>F332</x:v>
      </x:c>
      <x:c r="C4572" s="30" t="str">
        <x:v>job.input_evidence_ids</x:v>
      </x:c>
      <x:c r="D4572" s="30" t="str">
        <x:v>候选输入schema</x:v>
      </x:c>
      <x:c r="E4572" s="30" t="str">
        <x:v>按执行角色权限读取；策略只能使用可访问快照</x:v>
      </x:c>
    </x:row>
    <x:row r="4573" ht="32" customHeight="1">
      <x:c r="A4573" s="30" t="str">
        <x:v>A052</x:v>
      </x:c>
      <x:c r="B4573" s="30" t="str">
        <x:v>F333</x:v>
      </x:c>
      <x:c r="C4573" s="30" t="str">
        <x:v>job.input_bytes</x:v>
      </x:c>
      <x:c r="D4573" s="30" t="str">
        <x:v>候选输入schema</x:v>
      </x:c>
      <x:c r="E4573" s="30" t="str">
        <x:v>按执行角色权限读取；策略只能使用可访问快照</x:v>
      </x:c>
    </x:row>
    <x:row r="4574" ht="32" customHeight="1">
      <x:c r="A4574" s="30" t="str">
        <x:v>A052</x:v>
      </x:c>
      <x:c r="B4574" s="30" t="str">
        <x:v>F334</x:v>
      </x:c>
      <x:c r="C4574" s="30" t="str">
        <x:v>job.input_tokens</x:v>
      </x:c>
      <x:c r="D4574" s="30" t="str">
        <x:v>候选输入schema</x:v>
      </x:c>
      <x:c r="E4574" s="30" t="str">
        <x:v>按执行角色权限读取；策略只能使用可访问快照</x:v>
      </x:c>
    </x:row>
    <x:row r="4575" ht="32" customHeight="1">
      <x:c r="A4575" s="30" t="str">
        <x:v>A052</x:v>
      </x:c>
      <x:c r="B4575" s="30" t="str">
        <x:v>F335</x:v>
      </x:c>
      <x:c r="C4575" s="30" t="str">
        <x:v>job.output_tokens</x:v>
      </x:c>
      <x:c r="D4575" s="30" t="str">
        <x:v>候选输入schema</x:v>
      </x:c>
      <x:c r="E4575" s="30" t="str">
        <x:v>按执行角色权限读取；策略只能使用可访问快照</x:v>
      </x:c>
    </x:row>
    <x:row r="4576" ht="32" customHeight="1">
      <x:c r="A4576" s="30" t="str">
        <x:v>A052</x:v>
      </x:c>
      <x:c r="B4576" s="30" t="str">
        <x:v>F336</x:v>
      </x:c>
      <x:c r="C4576" s="30" t="str">
        <x:v>job.status</x:v>
      </x:c>
      <x:c r="D4576" s="30" t="str">
        <x:v>候选输入schema</x:v>
      </x:c>
      <x:c r="E4576" s="30" t="str">
        <x:v>按执行角色权限读取；策略只能使用可访问快照</x:v>
      </x:c>
    </x:row>
    <x:row r="4577" ht="32" customHeight="1">
      <x:c r="A4577" s="30" t="str">
        <x:v>A052</x:v>
      </x:c>
      <x:c r="B4577" s="30" t="str">
        <x:v>F337</x:v>
      </x:c>
      <x:c r="C4577" s="30" t="str">
        <x:v>job.queue_enter_s</x:v>
      </x:c>
      <x:c r="D4577" s="30" t="str">
        <x:v>候选输入schema</x:v>
      </x:c>
      <x:c r="E4577" s="30" t="str">
        <x:v>按执行角色权限读取；策略只能使用可访问快照</x:v>
      </x:c>
    </x:row>
    <x:row r="4578" ht="32" customHeight="1">
      <x:c r="A4578" s="30" t="str">
        <x:v>A052</x:v>
      </x:c>
      <x:c r="B4578" s="30" t="str">
        <x:v>F338</x:v>
      </x:c>
      <x:c r="C4578" s="30" t="str">
        <x:v>job.start_s</x:v>
      </x:c>
      <x:c r="D4578" s="30" t="str">
        <x:v>候选输入schema</x:v>
      </x:c>
      <x:c r="E4578" s="30" t="str">
        <x:v>按执行角色权限读取；策略只能使用可访问快照</x:v>
      </x:c>
    </x:row>
    <x:row r="4579" ht="32" customHeight="1">
      <x:c r="A4579" s="30" t="str">
        <x:v>A052</x:v>
      </x:c>
      <x:c r="B4579" s="30" t="str">
        <x:v>F339</x:v>
      </x:c>
      <x:c r="C4579" s="30" t="str">
        <x:v>job.finish_s</x:v>
      </x:c>
      <x:c r="D4579" s="30" t="str">
        <x:v>候选输入schema</x:v>
      </x:c>
      <x:c r="E4579" s="30" t="str">
        <x:v>按执行角色权限读取；策略只能使用可访问快照</x:v>
      </x:c>
    </x:row>
    <x:row r="4580" ht="32" customHeight="1">
      <x:c r="A4580" s="30" t="str">
        <x:v>A052</x:v>
      </x:c>
      <x:c r="B4580" s="30" t="str">
        <x:v>F340</x:v>
      </x:c>
      <x:c r="C4580" s="30" t="str">
        <x:v>job.deadline_s</x:v>
      </x:c>
      <x:c r="D4580" s="30" t="str">
        <x:v>候选输入schema</x:v>
      </x:c>
      <x:c r="E4580" s="30" t="str">
        <x:v>按执行角色权限读取；策略只能使用可访问快照</x:v>
      </x:c>
    </x:row>
    <x:row r="4581" ht="32" customHeight="1">
      <x:c r="A4581" s="30" t="str">
        <x:v>A052</x:v>
      </x:c>
      <x:c r="B4581" s="30" t="str">
        <x:v>F341</x:v>
      </x:c>
      <x:c r="C4581" s="30" t="str">
        <x:v>job.cpu_request</x:v>
      </x:c>
      <x:c r="D4581" s="30" t="str">
        <x:v>候选输入schema</x:v>
      </x:c>
      <x:c r="E4581" s="30" t="str">
        <x:v>按执行角色权限读取；策略只能使用可访问快照</x:v>
      </x:c>
    </x:row>
    <x:row r="4582" ht="32" customHeight="1">
      <x:c r="A4582" s="30" t="str">
        <x:v>A052</x:v>
      </x:c>
      <x:c r="B4582" s="30" t="str">
        <x:v>F342</x:v>
      </x:c>
      <x:c r="C4582" s="30" t="str">
        <x:v>job.memory_request_bytes</x:v>
      </x:c>
      <x:c r="D4582" s="30" t="str">
        <x:v>候选输入schema</x:v>
      </x:c>
      <x:c r="E4582" s="30" t="str">
        <x:v>按执行角色权限读取；策略只能使用可访问快照</x:v>
      </x:c>
    </x:row>
    <x:row r="4583" ht="32" customHeight="1">
      <x:c r="A4583" s="30" t="str">
        <x:v>A052</x:v>
      </x:c>
      <x:c r="B4583" s="30" t="str">
        <x:v>F343</x:v>
      </x:c>
      <x:c r="C4583" s="30" t="str">
        <x:v>job.prefill_s</x:v>
      </x:c>
      <x:c r="D4583" s="30" t="str">
        <x:v>候选输入schema</x:v>
      </x:c>
      <x:c r="E4583" s="30" t="str">
        <x:v>按执行角色权限读取；策略只能使用可访问快照</x:v>
      </x:c>
    </x:row>
    <x:row r="4584" ht="32" customHeight="1">
      <x:c r="A4584" s="30" t="str">
        <x:v>A052</x:v>
      </x:c>
      <x:c r="B4584" s="30" t="str">
        <x:v>F344</x:v>
      </x:c>
      <x:c r="C4584" s="30" t="str">
        <x:v>job.decode_s</x:v>
      </x:c>
      <x:c r="D4584" s="30" t="str">
        <x:v>候选输入schema</x:v>
      </x:c>
      <x:c r="E4584" s="30" t="str">
        <x:v>按执行角色权限读取；策略只能使用可访问快照</x:v>
      </x:c>
    </x:row>
    <x:row r="4585" ht="32" customHeight="1">
      <x:c r="A4585" s="30" t="str">
        <x:v>A052</x:v>
      </x:c>
      <x:c r="B4585" s="30" t="str">
        <x:v>F345</x:v>
      </x:c>
      <x:c r="C4585" s="30" t="str">
        <x:v>job.wall_time_s</x:v>
      </x:c>
      <x:c r="D4585" s="30" t="str">
        <x:v>候选输入schema</x:v>
      </x:c>
      <x:c r="E4585" s="30" t="str">
        <x:v>按执行角色权限读取；策略只能使用可访问快照</x:v>
      </x:c>
    </x:row>
    <x:row r="4586" ht="32" customHeight="1">
      <x:c r="A4586" s="30" t="str">
        <x:v>A052</x:v>
      </x:c>
      <x:c r="B4586" s="30" t="str">
        <x:v>F346</x:v>
      </x:c>
      <x:c r="C4586" s="30" t="str">
        <x:v>job.result_ref</x:v>
      </x:c>
      <x:c r="D4586" s="30" t="str">
        <x:v>候选输入schema</x:v>
      </x:c>
      <x:c r="E4586" s="30" t="str">
        <x:v>按执行角色权限读取；策略只能使用可访问快照</x:v>
      </x:c>
    </x:row>
    <x:row r="4587" ht="32" customHeight="1">
      <x:c r="A4587" s="30" t="str">
        <x:v>A052</x:v>
      </x:c>
      <x:c r="B4587" s="30" t="str">
        <x:v>F347</x:v>
      </x:c>
      <x:c r="C4587" s="30" t="str">
        <x:v>job.checkpoint_ref</x:v>
      </x:c>
      <x:c r="D4587" s="30" t="str">
        <x:v>候选输入schema</x:v>
      </x:c>
      <x:c r="E4587" s="30" t="str">
        <x:v>按执行角色权限读取；策略只能使用可访问快照</x:v>
      </x:c>
    </x:row>
    <x:row r="4588" ht="32" customHeight="1">
      <x:c r="A4588" s="30" t="str">
        <x:v>A052</x:v>
      </x:c>
      <x:c r="B4588" s="30" t="str">
        <x:v>F348</x:v>
      </x:c>
      <x:c r="C4588" s="30" t="str">
        <x:v>job.failure_reason</x:v>
      </x:c>
      <x:c r="D4588" s="30" t="str">
        <x:v>候选输入schema</x:v>
      </x:c>
      <x:c r="E4588" s="30" t="str">
        <x:v>按执行角色权限读取；策略只能使用可访问快照</x:v>
      </x:c>
    </x:row>
    <x:row r="4589" ht="32" customHeight="1">
      <x:c r="A4589" s="30" t="str">
        <x:v>A052</x:v>
      </x:c>
      <x:c r="B4589" s="30" t="str">
        <x:v>F207</x:v>
      </x:c>
      <x:c r="C4589" s="30" t="str">
        <x:v>task.assigned_to</x:v>
      </x:c>
      <x:c r="D4589" s="30" t="str">
        <x:v>直接效果</x:v>
      </x:c>
      <x:c r="E4589" s="30" t="str">
        <x:v>经实际执行/回执提交；不是规划时提前修改</x:v>
      </x:c>
    </x:row>
    <x:row r="4590" ht="32" customHeight="1">
      <x:c r="A4590" s="30" t="str">
        <x:v>A052</x:v>
      </x:c>
      <x:c r="B4590" s="30" t="str">
        <x:v>F200</x:v>
      </x:c>
      <x:c r="C4590" s="30" t="str">
        <x:v>task.revision</x:v>
      </x:c>
      <x:c r="D4590" s="30" t="str">
        <x:v>直接效果</x:v>
      </x:c>
      <x:c r="E4590" s="30" t="str">
        <x:v>经实际执行/回执提交；不是规划时提前修改</x:v>
      </x:c>
    </x:row>
    <x:row r="4591" ht="32" customHeight="1">
      <x:c r="A4591" s="30" t="str">
        <x:v>A052</x:v>
      </x:c>
      <x:c r="B4591" s="30" t="str">
        <x:v>F220</x:v>
      </x:c>
      <x:c r="C4591" s="30" t="str">
        <x:v>assignment.task_ref</x:v>
      </x:c>
      <x:c r="D4591" s="30" t="str">
        <x:v>直接效果</x:v>
      </x:c>
      <x:c r="E4591" s="30" t="str">
        <x:v>经实际执行/回执提交；不是规划时提前修改</x:v>
      </x:c>
    </x:row>
    <x:row r="4592" ht="32" customHeight="1">
      <x:c r="A4592" s="30" t="str">
        <x:v>A053</x:v>
      </x:c>
      <x:c r="B4592" s="30" t="str">
        <x:v>F095</x:v>
      </x:c>
      <x:c r="C4592" s="30" t="str">
        <x:v>platform.kind</x:v>
      </x:c>
      <x:c r="D4592" s="30" t="str">
        <x:v>候选输入schema</x:v>
      </x:c>
      <x:c r="E4592" s="30" t="str">
        <x:v>按执行角色权限读取；策略只能使用可访问快照</x:v>
      </x:c>
    </x:row>
    <x:row r="4593" ht="32" customHeight="1">
      <x:c r="A4593" s="30" t="str">
        <x:v>A053</x:v>
      </x:c>
      <x:c r="B4593" s="30" t="str">
        <x:v>F096</x:v>
      </x:c>
      <x:c r="C4593" s="30" t="str">
        <x:v>platform.capability_ids</x:v>
      </x:c>
      <x:c r="D4593" s="30" t="str">
        <x:v>候选输入schema</x:v>
      </x:c>
      <x:c r="E4593" s="30" t="str">
        <x:v>按执行角色权限读取；策略只能使用可访问快照</x:v>
      </x:c>
    </x:row>
    <x:row r="4594" ht="32" customHeight="1">
      <x:c r="A4594" s="30" t="str">
        <x:v>A053</x:v>
      </x:c>
      <x:c r="B4594" s="30" t="str">
        <x:v>F097</x:v>
      </x:c>
      <x:c r="C4594" s="30" t="str">
        <x:v>platform.equipment_ids</x:v>
      </x:c>
      <x:c r="D4594" s="30" t="str">
        <x:v>候选输入schema</x:v>
      </x:c>
      <x:c r="E4594" s="30" t="str">
        <x:v>按执行角色权限读取；策略只能使用可访问快照</x:v>
      </x:c>
    </x:row>
    <x:row r="4595" ht="32" customHeight="1">
      <x:c r="A4595" s="30" t="str">
        <x:v>A053</x:v>
      </x:c>
      <x:c r="B4595" s="30" t="str">
        <x:v>F098</x:v>
      </x:c>
      <x:c r="C4595" s="30" t="str">
        <x:v>platform.width_m</x:v>
      </x:c>
      <x:c r="D4595" s="30" t="str">
        <x:v>候选输入schema</x:v>
      </x:c>
      <x:c r="E4595" s="30" t="str">
        <x:v>按执行角色权限读取；策略只能使用可访问快照</x:v>
      </x:c>
    </x:row>
    <x:row r="4596" ht="32" customHeight="1">
      <x:c r="A4596" s="30" t="str">
        <x:v>A053</x:v>
      </x:c>
      <x:c r="B4596" s="30" t="str">
        <x:v>F099</x:v>
      </x:c>
      <x:c r="C4596" s="30" t="str">
        <x:v>platform.height_m</x:v>
      </x:c>
      <x:c r="D4596" s="30" t="str">
        <x:v>候选输入schema</x:v>
      </x:c>
      <x:c r="E4596" s="30" t="str">
        <x:v>按执行角色权限读取；策略只能使用可访问快照</x:v>
      </x:c>
    </x:row>
    <x:row r="4597" ht="32" customHeight="1">
      <x:c r="A4597" s="30" t="str">
        <x:v>A053</x:v>
      </x:c>
      <x:c r="B4597" s="30" t="str">
        <x:v>F100</x:v>
      </x:c>
      <x:c r="C4597" s="30" t="str">
        <x:v>platform.swept_radius_m</x:v>
      </x:c>
      <x:c r="D4597" s="30" t="str">
        <x:v>候选输入schema</x:v>
      </x:c>
      <x:c r="E4597" s="30" t="str">
        <x:v>按执行角色权限读取；策略只能使用可访问快照</x:v>
      </x:c>
    </x:row>
    <x:row r="4598" ht="32" customHeight="1">
      <x:c r="A4598" s="30" t="str">
        <x:v>A053</x:v>
      </x:c>
      <x:c r="B4598" s="30" t="str">
        <x:v>F101</x:v>
      </x:c>
      <x:c r="C4598" s="30" t="str">
        <x:v>platform.payload_capacity_kg</x:v>
      </x:c>
      <x:c r="D4598" s="30" t="str">
        <x:v>候选输入schema</x:v>
      </x:c>
      <x:c r="E4598" s="30" t="str">
        <x:v>按执行角色权限读取；策略只能使用可访问快照</x:v>
      </x:c>
    </x:row>
    <x:row r="4599" ht="32" customHeight="1">
      <x:c r="A4599" s="30" t="str">
        <x:v>A053</x:v>
      </x:c>
      <x:c r="B4599" s="30" t="str">
        <x:v>F102</x:v>
      </x:c>
      <x:c r="C4599" s="30" t="str">
        <x:v>platform.payload_used_kg</x:v>
      </x:c>
      <x:c r="D4599" s="30" t="str">
        <x:v>候选输入schema</x:v>
      </x:c>
      <x:c r="E4599" s="30" t="str">
        <x:v>按执行角色权限读取；策略只能使用可访问快照</x:v>
      </x:c>
    </x:row>
    <x:row r="4600" ht="32" customHeight="1">
      <x:c r="A4600" s="30" t="str">
        <x:v>A053</x:v>
      </x:c>
      <x:c r="B4600" s="30" t="str">
        <x:v>F103</x:v>
      </x:c>
      <x:c r="C4600" s="30" t="str">
        <x:v>platform.payload_item_ids</x:v>
      </x:c>
      <x:c r="D4600" s="30" t="str">
        <x:v>候选输入schema</x:v>
      </x:c>
      <x:c r="E4600" s="30" t="str">
        <x:v>按执行角色权限读取；策略只能使用可访问快照</x:v>
      </x:c>
    </x:row>
    <x:row r="4601" ht="32" customHeight="1">
      <x:c r="A4601" s="30" t="str">
        <x:v>A053</x:v>
      </x:c>
      <x:c r="B4601" s="30" t="str">
        <x:v>F104</x:v>
      </x:c>
      <x:c r="C4601" s="30" t="str">
        <x:v>platform.battery_capacity_Wh</x:v>
      </x:c>
      <x:c r="D4601" s="30" t="str">
        <x:v>候选输入schema</x:v>
      </x:c>
      <x:c r="E4601" s="30" t="str">
        <x:v>按执行角色权限读取；策略只能使用可访问快照</x:v>
      </x:c>
    </x:row>
    <x:row r="4602" ht="32" customHeight="1">
      <x:c r="A4602" s="30" t="str">
        <x:v>A053</x:v>
      </x:c>
      <x:c r="B4602" s="30" t="str">
        <x:v>F105</x:v>
      </x:c>
      <x:c r="C4602" s="30" t="str">
        <x:v>platform.battery_remaining_Wh</x:v>
      </x:c>
      <x:c r="D4602" s="30" t="str">
        <x:v>候选输入schema</x:v>
      </x:c>
      <x:c r="E4602" s="30" t="str">
        <x:v>按执行角色权限读取；策略只能使用可访问快照</x:v>
      </x:c>
    </x:row>
    <x:row r="4603" ht="32" customHeight="1">
      <x:c r="A4603" s="30" t="str">
        <x:v>A053</x:v>
      </x:c>
      <x:c r="B4603" s="30" t="str">
        <x:v>F106</x:v>
      </x:c>
      <x:c r="C4603" s="30" t="str">
        <x:v>platform.reserve_Wh</x:v>
      </x:c>
      <x:c r="D4603" s="30" t="str">
        <x:v>候选输入schema</x:v>
      </x:c>
      <x:c r="E4603" s="30" t="str">
        <x:v>按执行角色权限读取；策略只能使用可访问快照</x:v>
      </x:c>
    </x:row>
    <x:row r="4604" ht="32" customHeight="1">
      <x:c r="A4604" s="30" t="str">
        <x:v>A053</x:v>
      </x:c>
      <x:c r="B4604" s="30" t="str">
        <x:v>F107</x:v>
      </x:c>
      <x:c r="C4604" s="30" t="str">
        <x:v>platform.speed_limit_mps</x:v>
      </x:c>
      <x:c r="D4604" s="30" t="str">
        <x:v>候选输入schema</x:v>
      </x:c>
      <x:c r="E4604" s="30" t="str">
        <x:v>按执行角色权限读取；策略只能使用可访问快照</x:v>
      </x:c>
    </x:row>
    <x:row r="4605" ht="32" customHeight="1">
      <x:c r="A4605" s="30" t="str">
        <x:v>A053</x:v>
      </x:c>
      <x:c r="B4605" s="30" t="str">
        <x:v>F108</x:v>
      </x:c>
      <x:c r="C4605" s="30" t="str">
        <x:v>platform.energy_model</x:v>
      </x:c>
      <x:c r="D4605" s="30" t="str">
        <x:v>候选输入schema</x:v>
      </x:c>
      <x:c r="E4605" s="30" t="str">
        <x:v>按执行角色权限读取；策略只能使用可访问快照</x:v>
      </x:c>
    </x:row>
    <x:row r="4606" ht="32" customHeight="1">
      <x:c r="A4606" s="30" t="str">
        <x:v>A053</x:v>
      </x:c>
      <x:c r="B4606" s="30" t="str">
        <x:v>F109</x:v>
      </x:c>
      <x:c r="C4606" s="30" t="str">
        <x:v>platform.motion_state</x:v>
      </x:c>
      <x:c r="D4606" s="30" t="str">
        <x:v>候选输入schema</x:v>
      </x:c>
      <x:c r="E4606" s="30" t="str">
        <x:v>按执行角色权限读取；策略只能使用可访问快照</x:v>
      </x:c>
    </x:row>
    <x:row r="4607" ht="32" customHeight="1">
      <x:c r="A4607" s="30" t="str">
        <x:v>A053</x:v>
      </x:c>
      <x:c r="B4607" s="30" t="str">
        <x:v>F110</x:v>
      </x:c>
      <x:c r="C4607" s="30" t="str">
        <x:v>platform.health_state</x:v>
      </x:c>
      <x:c r="D4607" s="30" t="str">
        <x:v>候选输入schema</x:v>
      </x:c>
      <x:c r="E4607" s="30" t="str">
        <x:v>按执行角色权限读取；策略只能使用可访问快照</x:v>
      </x:c>
    </x:row>
    <x:row r="4608" ht="32" customHeight="1">
      <x:c r="A4608" s="30" t="str">
        <x:v>A053</x:v>
      </x:c>
      <x:c r="B4608" s="30" t="str">
        <x:v>F111</x:v>
      </x:c>
      <x:c r="C4608" s="30" t="str">
        <x:v>platform.current_action_id</x:v>
      </x:c>
      <x:c r="D4608" s="30" t="str">
        <x:v>候选输入schema</x:v>
      </x:c>
      <x:c r="E4608" s="30" t="str">
        <x:v>按执行角色权限读取；策略只能使用可访问快照</x:v>
      </x:c>
    </x:row>
    <x:row r="4609" ht="32" customHeight="1">
      <x:c r="A4609" s="30" t="str">
        <x:v>A053</x:v>
      </x:c>
      <x:c r="B4609" s="30" t="str">
        <x:v>F112</x:v>
      </x:c>
      <x:c r="C4609" s="30" t="str">
        <x:v>platform.busy_until_est_s</x:v>
      </x:c>
      <x:c r="D4609" s="30" t="str">
        <x:v>候选输入schema</x:v>
      </x:c>
      <x:c r="E4609" s="30" t="str">
        <x:v>按执行角色权限读取；策略只能使用可访问快照</x:v>
      </x:c>
    </x:row>
    <x:row r="4610" ht="32" customHeight="1">
      <x:c r="A4610" s="30" t="str">
        <x:v>A053</x:v>
      </x:c>
      <x:c r="B4610" s="30" t="str">
        <x:v>F113</x:v>
      </x:c>
      <x:c r="C4610" s="30" t="str">
        <x:v>platform.return_site_id</x:v>
      </x:c>
      <x:c r="D4610" s="30" t="str">
        <x:v>候选输入schema</x:v>
      </x:c>
      <x:c r="E4610" s="30" t="str">
        <x:v>按执行角色权限读取；策略只能使用可访问快照</x:v>
      </x:c>
    </x:row>
    <x:row r="4611" ht="32" customHeight="1">
      <x:c r="A4611" s="30" t="str">
        <x:v>A053</x:v>
      </x:c>
      <x:c r="B4611" s="30" t="str">
        <x:v>F114</x:v>
      </x:c>
      <x:c r="C4611" s="30" t="str">
        <x:v>platform.water_tolerance_m</x:v>
      </x:c>
      <x:c r="D4611" s="30" t="str">
        <x:v>候选输入schema</x:v>
      </x:c>
      <x:c r="E4611" s="30" t="str">
        <x:v>按执行角色权限读取；策略只能使用可访问快照</x:v>
      </x:c>
    </x:row>
    <x:row r="4612" ht="32" customHeight="1">
      <x:c r="A4612" s="30" t="str">
        <x:v>A053</x:v>
      </x:c>
      <x:c r="B4612" s="30" t="str">
        <x:v>F115</x:v>
      </x:c>
      <x:c r="C4612" s="30" t="str">
        <x:v>platform.concurrency_policy</x:v>
      </x:c>
      <x:c r="D4612" s="30" t="str">
        <x:v>候选输入schema</x:v>
      </x:c>
      <x:c r="E4612" s="30" t="str">
        <x:v>按执行角色权限读取；策略只能使用可访问快照</x:v>
      </x:c>
    </x:row>
    <x:row r="4613" ht="32" customHeight="1">
      <x:c r="A4613" s="30" t="str">
        <x:v>A053</x:v>
      </x:c>
      <x:c r="B4613" s="30" t="str">
        <x:v>F116</x:v>
      </x:c>
      <x:c r="C4613" s="30" t="str">
        <x:v>equipment.kind</x:v>
      </x:c>
      <x:c r="D4613" s="30" t="str">
        <x:v>候选输入schema</x:v>
      </x:c>
      <x:c r="E4613" s="30" t="str">
        <x:v>按执行角色权限读取；策略只能使用可访问快照</x:v>
      </x:c>
    </x:row>
    <x:row r="4614" ht="32" customHeight="1">
      <x:c r="A4614" s="30" t="str">
        <x:v>A053</x:v>
      </x:c>
      <x:c r="B4614" s="30" t="str">
        <x:v>F117</x:v>
      </x:c>
      <x:c r="C4614" s="30" t="str">
        <x:v>equipment.enabled</x:v>
      </x:c>
      <x:c r="D4614" s="30" t="str">
        <x:v>候选输入schema</x:v>
      </x:c>
      <x:c r="E4614" s="30" t="str">
        <x:v>按执行角色权限读取；策略只能使用可访问快照</x:v>
      </x:c>
    </x:row>
    <x:row r="4615" ht="32" customHeight="1">
      <x:c r="A4615" s="30" t="str">
        <x:v>A053</x:v>
      </x:c>
      <x:c r="B4615" s="30" t="str">
        <x:v>F118</x:v>
      </x:c>
      <x:c r="C4615" s="30" t="str">
        <x:v>equipment.health</x:v>
      </x:c>
      <x:c r="D4615" s="30" t="str">
        <x:v>候选输入schema</x:v>
      </x:c>
      <x:c r="E4615" s="30" t="str">
        <x:v>按执行角色权限读取；策略只能使用可访问快照</x:v>
      </x:c>
    </x:row>
    <x:row r="4616" ht="32" customHeight="1">
      <x:c r="A4616" s="30" t="str">
        <x:v>A053</x:v>
      </x:c>
      <x:c r="B4616" s="30" t="str">
        <x:v>F119</x:v>
      </x:c>
      <x:c r="C4616" s="30" t="str">
        <x:v>equipment.rated_load_kg</x:v>
      </x:c>
      <x:c r="D4616" s="30" t="str">
        <x:v>候选输入schema</x:v>
      </x:c>
      <x:c r="E4616" s="30" t="str">
        <x:v>按执行角色权限读取；策略只能使用可访问快照</x:v>
      </x:c>
    </x:row>
    <x:row r="4617" ht="32" customHeight="1">
      <x:c r="A4617" s="30" t="str">
        <x:v>A053</x:v>
      </x:c>
      <x:c r="B4617" s="30" t="str">
        <x:v>F120</x:v>
      </x:c>
      <x:c r="C4617" s="30" t="str">
        <x:v>equipment.reach_m</x:v>
      </x:c>
      <x:c r="D4617" s="30" t="str">
        <x:v>候选输入schema</x:v>
      </x:c>
      <x:c r="E4617" s="30" t="str">
        <x:v>按执行角色权限读取；策略只能使用可访问快照</x:v>
      </x:c>
    </x:row>
    <x:row r="4618" ht="32" customHeight="1">
      <x:c r="A4618" s="30" t="str">
        <x:v>A053</x:v>
      </x:c>
      <x:c r="B4618" s="30" t="str">
        <x:v>F121</x:v>
      </x:c>
      <x:c r="C4618" s="30" t="str">
        <x:v>equipment.compatible_materials</x:v>
      </x:c>
      <x:c r="D4618" s="30" t="str">
        <x:v>候选输入schema</x:v>
      </x:c>
      <x:c r="E4618" s="30" t="str">
        <x:v>按执行角色权限读取；策略只能使用可访问快照</x:v>
      </x:c>
    </x:row>
    <x:row r="4619" ht="32" customHeight="1">
      <x:c r="A4619" s="30" t="str">
        <x:v>A053</x:v>
      </x:c>
      <x:c r="B4619" s="30" t="str">
        <x:v>F122</x:v>
      </x:c>
      <x:c r="C4619" s="30" t="str">
        <x:v>equipment.tool_size</x:v>
      </x:c>
      <x:c r="D4619" s="30" t="str">
        <x:v>候选输入schema</x:v>
      </x:c>
      <x:c r="E4619" s="30" t="str">
        <x:v>按执行角色权限读取；策略只能使用可访问快照</x:v>
      </x:c>
    </x:row>
    <x:row r="4620" ht="32" customHeight="1">
      <x:c r="A4620" s="30" t="str">
        <x:v>A053</x:v>
      </x:c>
      <x:c r="B4620" s="30" t="str">
        <x:v>F123</x:v>
      </x:c>
      <x:c r="C4620" s="30" t="str">
        <x:v>equipment.consumable_type</x:v>
      </x:c>
      <x:c r="D4620" s="30" t="str">
        <x:v>候选输入schema</x:v>
      </x:c>
      <x:c r="E4620" s="30" t="str">
        <x:v>按执行角色权限读取；策略只能使用可访问快照</x:v>
      </x:c>
    </x:row>
    <x:row r="4621" ht="32" customHeight="1">
      <x:c r="A4621" s="30" t="str">
        <x:v>A053</x:v>
      </x:c>
      <x:c r="B4621" s="30" t="str">
        <x:v>F124</x:v>
      </x:c>
      <x:c r="C4621" s="30" t="str">
        <x:v>equipment.consumable_remaining</x:v>
      </x:c>
      <x:c r="D4621" s="30" t="str">
        <x:v>候选输入schema</x:v>
      </x:c>
      <x:c r="E4621" s="30" t="str">
        <x:v>按执行角色权限读取；策略只能使用可访问快照</x:v>
      </x:c>
    </x:row>
    <x:row r="4622" ht="32" customHeight="1">
      <x:c r="A4622" s="30" t="str">
        <x:v>A053</x:v>
      </x:c>
      <x:c r="B4622" s="30" t="str">
        <x:v>F125</x:v>
      </x:c>
      <x:c r="C4622" s="30" t="str">
        <x:v>equipment.operator_authority</x:v>
      </x:c>
      <x:c r="D4622" s="30" t="str">
        <x:v>候选输入schema</x:v>
      </x:c>
      <x:c r="E4622" s="30" t="str">
        <x:v>按执行角色权限读取；策略只能使用可访问快照</x:v>
      </x:c>
    </x:row>
    <x:row r="4623" ht="32" customHeight="1">
      <x:c r="A4623" s="30" t="str">
        <x:v>A053</x:v>
      </x:c>
      <x:c r="B4623" s="30" t="str">
        <x:v>F126</x:v>
      </x:c>
      <x:c r="C4623" s="30" t="str">
        <x:v>equipment.setup_state</x:v>
      </x:c>
      <x:c r="D4623" s="30" t="str">
        <x:v>候选输入schema</x:v>
      </x:c>
      <x:c r="E4623" s="30" t="str">
        <x:v>按执行角色权限读取；策略只能使用可访问快照</x:v>
      </x:c>
    </x:row>
    <x:row r="4624" ht="32" customHeight="1">
      <x:c r="A4624" s="30" t="str">
        <x:v>A053</x:v>
      </x:c>
      <x:c r="B4624" s="30" t="str">
        <x:v>F127</x:v>
      </x:c>
      <x:c r="C4624" s="30" t="str">
        <x:v>equipment.busy_action_id</x:v>
      </x:c>
      <x:c r="D4624" s="30" t="str">
        <x:v>候选输入schema</x:v>
      </x:c>
      <x:c r="E4624" s="30" t="str">
        <x:v>按执行角色权限读取；策略只能使用可访问快照</x:v>
      </x:c>
    </x:row>
    <x:row r="4625" ht="32" customHeight="1">
      <x:c r="A4625" s="30" t="str">
        <x:v>A053</x:v>
      </x:c>
      <x:c r="B4625" s="30" t="str">
        <x:v>F196</x:v>
      </x:c>
      <x:c r="C4625" s="30" t="str">
        <x:v>task.type</x:v>
      </x:c>
      <x:c r="D4625" s="30" t="str">
        <x:v>候选输入schema</x:v>
      </x:c>
      <x:c r="E4625" s="30" t="str">
        <x:v>按执行角色权限读取；策略只能使用可访问快照</x:v>
      </x:c>
    </x:row>
    <x:row r="4626" ht="32" customHeight="1">
      <x:c r="A4626" s="30" t="str">
        <x:v>A053</x:v>
      </x:c>
      <x:c r="B4626" s="30" t="str">
        <x:v>F197</x:v>
      </x:c>
      <x:c r="C4626" s="30" t="str">
        <x:v>task.creator_id</x:v>
      </x:c>
      <x:c r="D4626" s="30" t="str">
        <x:v>候选输入schema</x:v>
      </x:c>
      <x:c r="E4626" s="30" t="str">
        <x:v>按执行角色权限读取；策略只能使用可访问快照</x:v>
      </x:c>
    </x:row>
    <x:row r="4627" ht="32" customHeight="1">
      <x:c r="A4627" s="30" t="str">
        <x:v>A053</x:v>
      </x:c>
      <x:c r="B4627" s="30" t="str">
        <x:v>F198</x:v>
      </x:c>
      <x:c r="C4627" s="30" t="str">
        <x:v>task.target_ref</x:v>
      </x:c>
      <x:c r="D4627" s="30" t="str">
        <x:v>候选输入schema</x:v>
      </x:c>
      <x:c r="E4627" s="30" t="str">
        <x:v>按执行角色权限读取；策略只能使用可访问快照</x:v>
      </x:c>
    </x:row>
    <x:row r="4628" ht="32" customHeight="1">
      <x:c r="A4628" s="30" t="str">
        <x:v>A053</x:v>
      </x:c>
      <x:c r="B4628" s="30" t="str">
        <x:v>F199</x:v>
      </x:c>
      <x:c r="C4628" s="30" t="str">
        <x:v>task.goal_predicate</x:v>
      </x:c>
      <x:c r="D4628" s="30" t="str">
        <x:v>候选输入schema</x:v>
      </x:c>
      <x:c r="E4628" s="30" t="str">
        <x:v>按执行角色权限读取；策略只能使用可访问快照</x:v>
      </x:c>
    </x:row>
    <x:row r="4629" ht="32" customHeight="1">
      <x:c r="A4629" s="30" t="str">
        <x:v>A053</x:v>
      </x:c>
      <x:c r="B4629" s="30" t="str">
        <x:v>F200</x:v>
      </x:c>
      <x:c r="C4629" s="30" t="str">
        <x:v>task.revision</x:v>
      </x:c>
      <x:c r="D4629" s="30" t="str">
        <x:v>候选输入schema</x:v>
      </x:c>
      <x:c r="E4629" s="30" t="str">
        <x:v>按执行角色权限读取；策略只能使用可访问快照</x:v>
      </x:c>
    </x:row>
    <x:row r="4630" ht="32" customHeight="1">
      <x:c r="A4630" s="30" t="str">
        <x:v>A053</x:v>
      </x:c>
      <x:c r="B4630" s="30" t="str">
        <x:v>F201</x:v>
      </x:c>
      <x:c r="C4630" s="30" t="str">
        <x:v>task.status</x:v>
      </x:c>
      <x:c r="D4630" s="30" t="str">
        <x:v>候选输入schema</x:v>
      </x:c>
      <x:c r="E4630" s="30" t="str">
        <x:v>按执行角色权限读取；策略只能使用可访问快照</x:v>
      </x:c>
    </x:row>
    <x:row r="4631" ht="32" customHeight="1">
      <x:c r="A4631" s="30" t="str">
        <x:v>A053</x:v>
      </x:c>
      <x:c r="B4631" s="30" t="str">
        <x:v>F202</x:v>
      </x:c>
      <x:c r="C4631" s="30" t="str">
        <x:v>task.priority</x:v>
      </x:c>
      <x:c r="D4631" s="30" t="str">
        <x:v>候选输入schema</x:v>
      </x:c>
      <x:c r="E4631" s="30" t="str">
        <x:v>按执行角色权限读取；策略只能使用可访问快照</x:v>
      </x:c>
    </x:row>
    <x:row r="4632" ht="32" customHeight="1">
      <x:c r="A4632" s="30" t="str">
        <x:v>A053</x:v>
      </x:c>
      <x:c r="B4632" s="30" t="str">
        <x:v>F203</x:v>
      </x:c>
      <x:c r="C4632" s="30" t="str">
        <x:v>task.deadline_s</x:v>
      </x:c>
      <x:c r="D4632" s="30" t="str">
        <x:v>候选输入schema</x:v>
      </x:c>
      <x:c r="E4632" s="30" t="str">
        <x:v>按执行角色权限读取；策略只能使用可访问快照</x:v>
      </x:c>
    </x:row>
    <x:row r="4633" ht="32" customHeight="1">
      <x:c r="A4633" s="30" t="str">
        <x:v>A053</x:v>
      </x:c>
      <x:c r="B4633" s="30" t="str">
        <x:v>F204</x:v>
      </x:c>
      <x:c r="C4633" s="30" t="str">
        <x:v>task.dependency_ids</x:v>
      </x:c>
      <x:c r="D4633" s="30" t="str">
        <x:v>候选输入schema</x:v>
      </x:c>
      <x:c r="E4633" s="30" t="str">
        <x:v>按执行角色权限读取；策略只能使用可访问快照</x:v>
      </x:c>
    </x:row>
    <x:row r="4634" ht="32" customHeight="1">
      <x:c r="A4634" s="30" t="str">
        <x:v>A053</x:v>
      </x:c>
      <x:c r="B4634" s="30" t="str">
        <x:v>F205</x:v>
      </x:c>
      <x:c r="C4634" s="30" t="str">
        <x:v>task.required_capability_ids</x:v>
      </x:c>
      <x:c r="D4634" s="30" t="str">
        <x:v>候选输入schema</x:v>
      </x:c>
      <x:c r="E4634" s="30" t="str">
        <x:v>按执行角色权限读取；策略只能使用可访问快照</x:v>
      </x:c>
    </x:row>
    <x:row r="4635" ht="32" customHeight="1">
      <x:c r="A4635" s="30" t="str">
        <x:v>A053</x:v>
      </x:c>
      <x:c r="B4635" s="30" t="str">
        <x:v>F206</x:v>
      </x:c>
      <x:c r="C4635" s="30" t="str">
        <x:v>task.resource_budget</x:v>
      </x:c>
      <x:c r="D4635" s="30" t="str">
        <x:v>候选输入schema</x:v>
      </x:c>
      <x:c r="E4635" s="30" t="str">
        <x:v>按执行角色权限读取；策略只能使用可访问快照</x:v>
      </x:c>
    </x:row>
    <x:row r="4636" ht="32" customHeight="1">
      <x:c r="A4636" s="30" t="str">
        <x:v>A053</x:v>
      </x:c>
      <x:c r="B4636" s="30" t="str">
        <x:v>F207</x:v>
      </x:c>
      <x:c r="C4636" s="30" t="str">
        <x:v>task.assigned_to</x:v>
      </x:c>
      <x:c r="D4636" s="30" t="str">
        <x:v>候选输入schema</x:v>
      </x:c>
      <x:c r="E4636" s="30" t="str">
        <x:v>按执行角色权限读取；策略只能使用可访问快照</x:v>
      </x:c>
    </x:row>
    <x:row r="4637" ht="32" customHeight="1">
      <x:c r="A4637" s="30" t="str">
        <x:v>A053</x:v>
      </x:c>
      <x:c r="B4637" s="30" t="str">
        <x:v>F208</x:v>
      </x:c>
      <x:c r="C4637" s="30" t="str">
        <x:v>task.accepted_by</x:v>
      </x:c>
      <x:c r="D4637" s="30" t="str">
        <x:v>候选输入schema</x:v>
      </x:c>
      <x:c r="E4637" s="30" t="str">
        <x:v>按执行角色权限读取；策略只能使用可访问快照</x:v>
      </x:c>
    </x:row>
    <x:row r="4638" ht="32" customHeight="1">
      <x:c r="A4638" s="30" t="str">
        <x:v>A053</x:v>
      </x:c>
      <x:c r="B4638" s="30" t="str">
        <x:v>F209</x:v>
      </x:c>
      <x:c r="C4638" s="30" t="str">
        <x:v>task.commitment_window</x:v>
      </x:c>
      <x:c r="D4638" s="30" t="str">
        <x:v>候选输入schema</x:v>
      </x:c>
      <x:c r="E4638" s="30" t="str">
        <x:v>按执行角色权限读取；策略只能使用可访问快照</x:v>
      </x:c>
    </x:row>
    <x:row r="4639" ht="32" customHeight="1">
      <x:c r="A4639" s="30" t="str">
        <x:v>A053</x:v>
      </x:c>
      <x:c r="B4639" s="30" t="str">
        <x:v>F210</x:v>
      </x:c>
      <x:c r="C4639" s="30" t="str">
        <x:v>task.progress</x:v>
      </x:c>
      <x:c r="D4639" s="30" t="str">
        <x:v>候选输入schema</x:v>
      </x:c>
      <x:c r="E4639" s="30" t="str">
        <x:v>按执行角色权限读取；策略只能使用可访问快照</x:v>
      </x:c>
    </x:row>
    <x:row r="4640" ht="32" customHeight="1">
      <x:c r="A4640" s="30" t="str">
        <x:v>A053</x:v>
      </x:c>
      <x:c r="B4640" s="30" t="str">
        <x:v>F211</x:v>
      </x:c>
      <x:c r="C4640" s="30" t="str">
        <x:v>task.active_action_ids</x:v>
      </x:c>
      <x:c r="D4640" s="30" t="str">
        <x:v>候选输入schema</x:v>
      </x:c>
      <x:c r="E4640" s="30" t="str">
        <x:v>按执行角色权限读取；策略只能使用可访问快照</x:v>
      </x:c>
    </x:row>
    <x:row r="4641" ht="32" customHeight="1">
      <x:c r="A4641" s="30" t="str">
        <x:v>A053</x:v>
      </x:c>
      <x:c r="B4641" s="30" t="str">
        <x:v>F212</x:v>
      </x:c>
      <x:c r="C4641" s="30" t="str">
        <x:v>task.interruptibility</x:v>
      </x:c>
      <x:c r="D4641" s="30" t="str">
        <x:v>候选输入schema</x:v>
      </x:c>
      <x:c r="E4641" s="30" t="str">
        <x:v>按执行角色权限读取；策略只能使用可访问快照</x:v>
      </x:c>
    </x:row>
    <x:row r="4642" ht="32" customHeight="1">
      <x:c r="A4642" s="30" t="str">
        <x:v>A053</x:v>
      </x:c>
      <x:c r="B4642" s="30" t="str">
        <x:v>F213</x:v>
      </x:c>
      <x:c r="C4642" s="30" t="str">
        <x:v>task.original_task_id</x:v>
      </x:c>
      <x:c r="D4642" s="30" t="str">
        <x:v>候选输入schema</x:v>
      </x:c>
      <x:c r="E4642" s="30" t="str">
        <x:v>按执行角色权限读取；策略只能使用可访问快照</x:v>
      </x:c>
    </x:row>
    <x:row r="4643" ht="32" customHeight="1">
      <x:c r="A4643" s="30" t="str">
        <x:v>A053</x:v>
      </x:c>
      <x:c r="B4643" s="30" t="str">
        <x:v>F214</x:v>
      </x:c>
      <x:c r="C4643" s="30" t="str">
        <x:v>task.resume_checkpoint</x:v>
      </x:c>
      <x:c r="D4643" s="30" t="str">
        <x:v>候选输入schema</x:v>
      </x:c>
      <x:c r="E4643" s="30" t="str">
        <x:v>按执行角色权限读取；策略只能使用可访问快照</x:v>
      </x:c>
    </x:row>
    <x:row r="4644" ht="32" customHeight="1">
      <x:c r="A4644" s="30" t="str">
        <x:v>A053</x:v>
      </x:c>
      <x:c r="B4644" s="30" t="str">
        <x:v>F215</x:v>
      </x:c>
      <x:c r="C4644" s="30" t="str">
        <x:v>task.handoff_target_id</x:v>
      </x:c>
      <x:c r="D4644" s="30" t="str">
        <x:v>候选输入schema</x:v>
      </x:c>
      <x:c r="E4644" s="30" t="str">
        <x:v>按执行角色权限读取；策略只能使用可访问快照</x:v>
      </x:c>
    </x:row>
    <x:row r="4645" ht="32" customHeight="1">
      <x:c r="A4645" s="30" t="str">
        <x:v>A053</x:v>
      </x:c>
      <x:c r="B4645" s="30" t="str">
        <x:v>F216</x:v>
      </x:c>
      <x:c r="C4645" s="30" t="str">
        <x:v>task.result_evidence_ids</x:v>
      </x:c>
      <x:c r="D4645" s="30" t="str">
        <x:v>候选输入schema</x:v>
      </x:c>
      <x:c r="E4645" s="30" t="str">
        <x:v>按执行角色权限读取；策略只能使用可访问快照</x:v>
      </x:c>
    </x:row>
    <x:row r="4646" ht="32" customHeight="1">
      <x:c r="A4646" s="30" t="str">
        <x:v>A053</x:v>
      </x:c>
      <x:c r="B4646" s="30" t="str">
        <x:v>F217</x:v>
      </x:c>
      <x:c r="C4646" s="30" t="str">
        <x:v>task.failure_reason</x:v>
      </x:c>
      <x:c r="D4646" s="30" t="str">
        <x:v>候选输入schema</x:v>
      </x:c>
      <x:c r="E4646" s="30" t="str">
        <x:v>按执行角色权限读取；策略只能使用可访问快照</x:v>
      </x:c>
    </x:row>
    <x:row r="4647" ht="32" customHeight="1">
      <x:c r="A4647" s="30" t="str">
        <x:v>A053</x:v>
      </x:c>
      <x:c r="B4647" s="30" t="str">
        <x:v>F218</x:v>
      </x:c>
      <x:c r="C4647" s="30" t="str">
        <x:v>task.last_event_s</x:v>
      </x:c>
      <x:c r="D4647" s="30" t="str">
        <x:v>候选输入schema</x:v>
      </x:c>
      <x:c r="E4647" s="30" t="str">
        <x:v>按执行角色权限读取；策略只能使用可访问快照</x:v>
      </x:c>
    </x:row>
    <x:row r="4648" ht="32" customHeight="1">
      <x:c r="A4648" s="30" t="str">
        <x:v>A053</x:v>
      </x:c>
      <x:c r="B4648" s="30" t="str">
        <x:v>F219</x:v>
      </x:c>
      <x:c r="C4648" s="30" t="str">
        <x:v>task.opportunity_cost</x:v>
      </x:c>
      <x:c r="D4648" s="30" t="str">
        <x:v>候选输入schema</x:v>
      </x:c>
      <x:c r="E4648" s="30" t="str">
        <x:v>按执行角色权限读取；策略只能使用可访问快照</x:v>
      </x:c>
    </x:row>
    <x:row r="4649" ht="32" customHeight="1">
      <x:c r="A4649" s="30" t="str">
        <x:v>A053</x:v>
      </x:c>
      <x:c r="B4649" s="30" t="str">
        <x:v>F220</x:v>
      </x:c>
      <x:c r="C4649" s="30" t="str">
        <x:v>assignment.task_ref</x:v>
      </x:c>
      <x:c r="D4649" s="30" t="str">
        <x:v>候选输入schema</x:v>
      </x:c>
      <x:c r="E4649" s="30" t="str">
        <x:v>按执行角色权限读取；策略只能使用可访问快照</x:v>
      </x:c>
    </x:row>
    <x:row r="4650" ht="32" customHeight="1">
      <x:c r="A4650" s="30" t="str">
        <x:v>A053</x:v>
      </x:c>
      <x:c r="B4650" s="30" t="str">
        <x:v>F221</x:v>
      </x:c>
      <x:c r="C4650" s="30" t="str">
        <x:v>assignment.sender_id</x:v>
      </x:c>
      <x:c r="D4650" s="30" t="str">
        <x:v>候选输入schema</x:v>
      </x:c>
      <x:c r="E4650" s="30" t="str">
        <x:v>按执行角色权限读取；策略只能使用可访问快照</x:v>
      </x:c>
    </x:row>
    <x:row r="4651" ht="32" customHeight="1">
      <x:c r="A4651" s="30" t="str">
        <x:v>A053</x:v>
      </x:c>
      <x:c r="B4651" s="30" t="str">
        <x:v>F222</x:v>
      </x:c>
      <x:c r="C4651" s="30" t="str">
        <x:v>assignment.receiver_id</x:v>
      </x:c>
      <x:c r="D4651" s="30" t="str">
        <x:v>候选输入schema</x:v>
      </x:c>
      <x:c r="E4651" s="30" t="str">
        <x:v>按执行角色权限读取；策略只能使用可访问快照</x:v>
      </x:c>
    </x:row>
    <x:row r="4652" ht="32" customHeight="1">
      <x:c r="A4652" s="30" t="str">
        <x:v>A053</x:v>
      </x:c>
      <x:c r="B4652" s="30" t="str">
        <x:v>F223</x:v>
      </x:c>
      <x:c r="C4652" s="30" t="str">
        <x:v>assignment.bid</x:v>
      </x:c>
      <x:c r="D4652" s="30" t="str">
        <x:v>候选输入schema</x:v>
      </x:c>
      <x:c r="E4652" s="30" t="str">
        <x:v>按执行角色权限读取；策略只能使用可访问快照</x:v>
      </x:c>
    </x:row>
    <x:row r="4653" ht="32" customHeight="1">
      <x:c r="A4653" s="30" t="str">
        <x:v>A053</x:v>
      </x:c>
      <x:c r="B4653" s="30" t="str">
        <x:v>F224</x:v>
      </x:c>
      <x:c r="C4653" s="30" t="str">
        <x:v>assignment.message_id</x:v>
      </x:c>
      <x:c r="D4653" s="30" t="str">
        <x:v>候选输入schema</x:v>
      </x:c>
      <x:c r="E4653" s="30" t="str">
        <x:v>按执行角色权限读取；策略只能使用可访问快照</x:v>
      </x:c>
    </x:row>
    <x:row r="4654" ht="32" customHeight="1">
      <x:c r="A4654" s="30" t="str">
        <x:v>A053</x:v>
      </x:c>
      <x:c r="B4654" s="30" t="str">
        <x:v>F225</x:v>
      </x:c>
      <x:c r="C4654" s="30" t="str">
        <x:v>assignment.delivery_state</x:v>
      </x:c>
      <x:c r="D4654" s="30" t="str">
        <x:v>候选输入schema</x:v>
      </x:c>
      <x:c r="E4654" s="30" t="str">
        <x:v>按执行角色权限读取；策略只能使用可访问快照</x:v>
      </x:c>
    </x:row>
    <x:row r="4655" ht="32" customHeight="1">
      <x:c r="A4655" s="30" t="str">
        <x:v>A053</x:v>
      </x:c>
      <x:c r="B4655" s="30" t="str">
        <x:v>F226</x:v>
      </x:c>
      <x:c r="C4655" s="30" t="str">
        <x:v>assignment.decision</x:v>
      </x:c>
      <x:c r="D4655" s="30" t="str">
        <x:v>候选输入schema</x:v>
      </x:c>
      <x:c r="E4655" s="30" t="str">
        <x:v>按执行角色权限读取；策略只能使用可访问快照</x:v>
      </x:c>
    </x:row>
    <x:row r="4656" ht="32" customHeight="1">
      <x:c r="A4656" s="30" t="str">
        <x:v>A053</x:v>
      </x:c>
      <x:c r="B4656" s="30" t="str">
        <x:v>F227</x:v>
      </x:c>
      <x:c r="C4656" s="30" t="str">
        <x:v>assignment.decision_reason</x:v>
      </x:c>
      <x:c r="D4656" s="30" t="str">
        <x:v>候选输入schema</x:v>
      </x:c>
      <x:c r="E4656" s="30" t="str">
        <x:v>按执行角色权限读取；策略只能使用可访问快照</x:v>
      </x:c>
    </x:row>
    <x:row r="4657" ht="32" customHeight="1">
      <x:c r="A4657" s="30" t="str">
        <x:v>A053</x:v>
      </x:c>
      <x:c r="B4657" s="30" t="str">
        <x:v>F228</x:v>
      </x:c>
      <x:c r="C4657" s="30" t="str">
        <x:v>assignment.lease_end_s</x:v>
      </x:c>
      <x:c r="D4657" s="30" t="str">
        <x:v>候选输入schema</x:v>
      </x:c>
      <x:c r="E4657" s="30" t="str">
        <x:v>按执行角色权限读取；策略只能使用可访问快照</x:v>
      </x:c>
    </x:row>
    <x:row r="4658" ht="32" customHeight="1">
      <x:c r="A4658" s="30" t="str">
        <x:v>A053</x:v>
      </x:c>
      <x:c r="B4658" s="30" t="str">
        <x:v>F229</x:v>
      </x:c>
      <x:c r="C4658" s="30" t="str">
        <x:v>assignment.acknowledged_revision</x:v>
      </x:c>
      <x:c r="D4658" s="30" t="str">
        <x:v>候选输入schema</x:v>
      </x:c>
      <x:c r="E4658" s="30" t="str">
        <x:v>按执行角色权限读取；策略只能使用可访问快照</x:v>
      </x:c>
    </x:row>
    <x:row r="4659" ht="32" customHeight="1">
      <x:c r="A4659" s="30" t="str">
        <x:v>A053</x:v>
      </x:c>
      <x:c r="B4659" s="30" t="str">
        <x:v>F275</x:v>
      </x:c>
      <x:c r="C4659" s="30" t="str">
        <x:v>message.kind</x:v>
      </x:c>
      <x:c r="D4659" s="30" t="str">
        <x:v>候选输入schema</x:v>
      </x:c>
      <x:c r="E4659" s="30" t="str">
        <x:v>按执行角色权限读取；策略只能使用可访问快照</x:v>
      </x:c>
    </x:row>
    <x:row r="4660" ht="32" customHeight="1">
      <x:c r="A4660" s="30" t="str">
        <x:v>A053</x:v>
      </x:c>
      <x:c r="B4660" s="30" t="str">
        <x:v>F276</x:v>
      </x:c>
      <x:c r="C4660" s="30" t="str">
        <x:v>message.sender_id</x:v>
      </x:c>
      <x:c r="D4660" s="30" t="str">
        <x:v>候选输入schema</x:v>
      </x:c>
      <x:c r="E4660" s="30" t="str">
        <x:v>按执行角色权限读取；策略只能使用可访问快照</x:v>
      </x:c>
    </x:row>
    <x:row r="4661" ht="32" customHeight="1">
      <x:c r="A4661" s="30" t="str">
        <x:v>A053</x:v>
      </x:c>
      <x:c r="B4661" s="30" t="str">
        <x:v>F277</x:v>
      </x:c>
      <x:c r="C4661" s="30" t="str">
        <x:v>message.receiver_ids</x:v>
      </x:c>
      <x:c r="D4661" s="30" t="str">
        <x:v>候选输入schema</x:v>
      </x:c>
      <x:c r="E4661" s="30" t="str">
        <x:v>按执行角色权限读取；策略只能使用可访问快照</x:v>
      </x:c>
    </x:row>
    <x:row r="4662" ht="32" customHeight="1">
      <x:c r="A4662" s="30" t="str">
        <x:v>A053</x:v>
      </x:c>
      <x:c r="B4662" s="30" t="str">
        <x:v>F278</x:v>
      </x:c>
      <x:c r="C4662" s="30" t="str">
        <x:v>message.payload_ref</x:v>
      </x:c>
      <x:c r="D4662" s="30" t="str">
        <x:v>候选输入schema</x:v>
      </x:c>
      <x:c r="E4662" s="30" t="str">
        <x:v>按执行角色权限读取；策略只能使用可访问快照</x:v>
      </x:c>
    </x:row>
    <x:row r="4663" ht="32" customHeight="1">
      <x:c r="A4663" s="30" t="str">
        <x:v>A053</x:v>
      </x:c>
      <x:c r="B4663" s="30" t="str">
        <x:v>F279</x:v>
      </x:c>
      <x:c r="C4663" s="30" t="str">
        <x:v>message.size_bytes</x:v>
      </x:c>
      <x:c r="D4663" s="30" t="str">
        <x:v>候选输入schema</x:v>
      </x:c>
      <x:c r="E4663" s="30" t="str">
        <x:v>按执行角色权限读取；策略只能使用可访问快照</x:v>
      </x:c>
    </x:row>
    <x:row r="4664" ht="32" customHeight="1">
      <x:c r="A4664" s="30" t="str">
        <x:v>A053</x:v>
      </x:c>
      <x:c r="B4664" s="30" t="str">
        <x:v>F280</x:v>
      </x:c>
      <x:c r="C4664" s="30" t="str">
        <x:v>message.fragment_count</x:v>
      </x:c>
      <x:c r="D4664" s="30" t="str">
        <x:v>候选输入schema</x:v>
      </x:c>
      <x:c r="E4664" s="30" t="str">
        <x:v>按执行角色权限读取；策略只能使用可访问快照</x:v>
      </x:c>
    </x:row>
    <x:row r="4665" ht="32" customHeight="1">
      <x:c r="A4665" s="30" t="str">
        <x:v>A053</x:v>
      </x:c>
      <x:c r="B4665" s="30" t="str">
        <x:v>F281</x:v>
      </x:c>
      <x:c r="C4665" s="30" t="str">
        <x:v>message.received_fragments</x:v>
      </x:c>
      <x:c r="D4665" s="30" t="str">
        <x:v>候选输入schema</x:v>
      </x:c>
      <x:c r="E4665" s="30" t="str">
        <x:v>按执行角色权限读取；策略只能使用可访问快照</x:v>
      </x:c>
    </x:row>
    <x:row r="4666" ht="32" customHeight="1">
      <x:c r="A4666" s="30" t="str">
        <x:v>A053</x:v>
      </x:c>
      <x:c r="B4666" s="30" t="str">
        <x:v>F282</x:v>
      </x:c>
      <x:c r="C4666" s="30" t="str">
        <x:v>message.content_hash</x:v>
      </x:c>
      <x:c r="D4666" s="30" t="str">
        <x:v>候选输入schema</x:v>
      </x:c>
      <x:c r="E4666" s="30" t="str">
        <x:v>按执行角色权限读取；策略只能使用可访问快照</x:v>
      </x:c>
    </x:row>
    <x:row r="4667" ht="32" customHeight="1">
      <x:c r="A4667" s="30" t="str">
        <x:v>A053</x:v>
      </x:c>
      <x:c r="B4667" s="30" t="str">
        <x:v>F283</x:v>
      </x:c>
      <x:c r="C4667" s="30" t="str">
        <x:v>message.priority</x:v>
      </x:c>
      <x:c r="D4667" s="30" t="str">
        <x:v>候选输入schema</x:v>
      </x:c>
      <x:c r="E4667" s="30" t="str">
        <x:v>按执行角色权限读取；策略只能使用可访问快照</x:v>
      </x:c>
    </x:row>
    <x:row r="4668" ht="32" customHeight="1">
      <x:c r="A4668" s="30" t="str">
        <x:v>A053</x:v>
      </x:c>
      <x:c r="B4668" s="30" t="str">
        <x:v>F284</x:v>
      </x:c>
      <x:c r="C4668" s="30" t="str">
        <x:v>message.ttl_s</x:v>
      </x:c>
      <x:c r="D4668" s="30" t="str">
        <x:v>候选输入schema</x:v>
      </x:c>
      <x:c r="E4668" s="30" t="str">
        <x:v>按执行角色权限读取；策略只能使用可访问快照</x:v>
      </x:c>
    </x:row>
    <x:row r="4669" ht="32" customHeight="1">
      <x:c r="A4669" s="30" t="str">
        <x:v>A053</x:v>
      </x:c>
      <x:c r="B4669" s="30" t="str">
        <x:v>F285</x:v>
      </x:c>
      <x:c r="C4669" s="30" t="str">
        <x:v>message.status</x:v>
      </x:c>
      <x:c r="D4669" s="30" t="str">
        <x:v>候选输入schema</x:v>
      </x:c>
      <x:c r="E4669" s="30" t="str">
        <x:v>按执行角色权限读取；策略只能使用可访问快照</x:v>
      </x:c>
    </x:row>
    <x:row r="4670" ht="32" customHeight="1">
      <x:c r="A4670" s="30" t="str">
        <x:v>A053</x:v>
      </x:c>
      <x:c r="B4670" s="30" t="str">
        <x:v>F286</x:v>
      </x:c>
      <x:c r="C4670" s="30" t="str">
        <x:v>message.sent_s</x:v>
      </x:c>
      <x:c r="D4670" s="30" t="str">
        <x:v>候选输入schema</x:v>
      </x:c>
      <x:c r="E4670" s="30" t="str">
        <x:v>按执行角色权限读取；策略只能使用可访问快照</x:v>
      </x:c>
    </x:row>
    <x:row r="4671" ht="32" customHeight="1">
      <x:c r="A4671" s="30" t="str">
        <x:v>A053</x:v>
      </x:c>
      <x:c r="B4671" s="30" t="str">
        <x:v>F287</x:v>
      </x:c>
      <x:c r="C4671" s="30" t="str">
        <x:v>message.delivered_s</x:v>
      </x:c>
      <x:c r="D4671" s="30" t="str">
        <x:v>候选输入schema</x:v>
      </x:c>
      <x:c r="E4671" s="30" t="str">
        <x:v>按执行角色权限读取；策略只能使用可访问快照</x:v>
      </x:c>
    </x:row>
    <x:row r="4672" ht="32" customHeight="1">
      <x:c r="A4672" s="30" t="str">
        <x:v>A053</x:v>
      </x:c>
      <x:c r="B4672" s="30" t="str">
        <x:v>F288</x:v>
      </x:c>
      <x:c r="C4672" s="30" t="str">
        <x:v>message.ack_state</x:v>
      </x:c>
      <x:c r="D4672" s="30" t="str">
        <x:v>候选输入schema</x:v>
      </x:c>
      <x:c r="E4672" s="30" t="str">
        <x:v>按执行角色权限读取；策略只能使用可访问快照</x:v>
      </x:c>
    </x:row>
    <x:row r="4673" ht="32" customHeight="1">
      <x:c r="A4673" s="30" t="str">
        <x:v>A053</x:v>
      </x:c>
      <x:c r="B4673" s="30" t="str">
        <x:v>F289</x:v>
      </x:c>
      <x:c r="C4673" s="30" t="str">
        <x:v>message.retry_count</x:v>
      </x:c>
      <x:c r="D4673" s="30" t="str">
        <x:v>候选输入schema</x:v>
      </x:c>
      <x:c r="E4673" s="30" t="str">
        <x:v>按执行角色权限读取；策略只能使用可访问快照</x:v>
      </x:c>
    </x:row>
    <x:row r="4674" ht="32" customHeight="1">
      <x:c r="A4674" s="30" t="str">
        <x:v>A053</x:v>
      </x:c>
      <x:c r="B4674" s="30" t="str">
        <x:v>F290</x:v>
      </x:c>
      <x:c r="C4674" s="30" t="str">
        <x:v>message.hop_trace</x:v>
      </x:c>
      <x:c r="D4674" s="30" t="str">
        <x:v>候选输入schema</x:v>
      </x:c>
      <x:c r="E4674" s="30" t="str">
        <x:v>按执行角色权限读取；策略只能使用可访问快照</x:v>
      </x:c>
    </x:row>
    <x:row r="4675" ht="32" customHeight="1">
      <x:c r="A4675" s="30" t="str">
        <x:v>A053</x:v>
      </x:c>
      <x:c r="B4675" s="30" t="str">
        <x:v>F291</x:v>
      </x:c>
      <x:c r="C4675" s="30" t="str">
        <x:v>message.correlation_id</x:v>
      </x:c>
      <x:c r="D4675" s="30" t="str">
        <x:v>候选输入schema</x:v>
      </x:c>
      <x:c r="E4675" s="30" t="str">
        <x:v>按执行角色权限读取；策略只能使用可访问快照</x:v>
      </x:c>
    </x:row>
    <x:row r="4676" ht="32" customHeight="1">
      <x:c r="A4676" s="30" t="str">
        <x:v>A053</x:v>
      </x:c>
      <x:c r="B4676" s="30" t="str">
        <x:v>F292</x:v>
      </x:c>
      <x:c r="C4676" s="30" t="str">
        <x:v>message.local_availability</x:v>
      </x:c>
      <x:c r="D4676" s="30" t="str">
        <x:v>候选输入schema</x:v>
      </x:c>
      <x:c r="E4676" s="30" t="str">
        <x:v>按执行角色权限读取；策略只能使用可访问快照</x:v>
      </x:c>
    </x:row>
    <x:row r="4677" ht="32" customHeight="1">
      <x:c r="A4677" s="30" t="str">
        <x:v>A053</x:v>
      </x:c>
      <x:c r="B4677" s="30" t="str">
        <x:v>F208</x:v>
      </x:c>
      <x:c r="C4677" s="30" t="str">
        <x:v>task.accepted_by</x:v>
      </x:c>
      <x:c r="D4677" s="30" t="str">
        <x:v>直接效果</x:v>
      </x:c>
      <x:c r="E4677" s="30" t="str">
        <x:v>经实际执行/回执提交；不是规划时提前修改</x:v>
      </x:c>
    </x:row>
    <x:row r="4678" ht="32" customHeight="1">
      <x:c r="A4678" s="30" t="str">
        <x:v>A053</x:v>
      </x:c>
      <x:c r="B4678" s="30" t="str">
        <x:v>F209</x:v>
      </x:c>
      <x:c r="C4678" s="30" t="str">
        <x:v>task.commitment_window</x:v>
      </x:c>
      <x:c r="D4678" s="30" t="str">
        <x:v>直接效果</x:v>
      </x:c>
      <x:c r="E4678" s="30" t="str">
        <x:v>经实际执行/回执提交；不是规划时提前修改</x:v>
      </x:c>
    </x:row>
    <x:row r="4679" ht="32" customHeight="1">
      <x:c r="A4679" s="30" t="str">
        <x:v>A053</x:v>
      </x:c>
      <x:c r="B4679" s="30" t="str">
        <x:v>F226</x:v>
      </x:c>
      <x:c r="C4679" s="30" t="str">
        <x:v>assignment.decision</x:v>
      </x:c>
      <x:c r="D4679" s="30" t="str">
        <x:v>直接效果</x:v>
      </x:c>
      <x:c r="E4679" s="30" t="str">
        <x:v>经实际执行/回执提交；不是规划时提前修改</x:v>
      </x:c>
    </x:row>
    <x:row r="4680" ht="32" customHeight="1">
      <x:c r="A4680" s="30" t="str">
        <x:v>A054</x:v>
      </x:c>
      <x:c r="B4680" s="30" t="str">
        <x:v>F166</x:v>
      </x:c>
      <x:c r="C4680" s="30" t="str">
        <x:v>observation.observer_id</x:v>
      </x:c>
      <x:c r="D4680" s="30" t="str">
        <x:v>候选输入schema</x:v>
      </x:c>
      <x:c r="E4680" s="30" t="str">
        <x:v>按执行角色权限读取；策略只能使用可访问快照</x:v>
      </x:c>
    </x:row>
    <x:row r="4681" ht="32" customHeight="1">
      <x:c r="A4681" s="30" t="str">
        <x:v>A054</x:v>
      </x:c>
      <x:c r="B4681" s="30" t="str">
        <x:v>F167</x:v>
      </x:c>
      <x:c r="C4681" s="30" t="str">
        <x:v>observation.sensor_id</x:v>
      </x:c>
      <x:c r="D4681" s="30" t="str">
        <x:v>候选输入schema</x:v>
      </x:c>
      <x:c r="E4681" s="30" t="str">
        <x:v>按执行角色权限读取；策略只能使用可访问快照</x:v>
      </x:c>
    </x:row>
    <x:row r="4682" ht="32" customHeight="1">
      <x:c r="A4682" s="30" t="str">
        <x:v>A054</x:v>
      </x:c>
      <x:c r="B4682" s="30" t="str">
        <x:v>F168</x:v>
      </x:c>
      <x:c r="C4682" s="30" t="str">
        <x:v>observation.captured_at_s</x:v>
      </x:c>
      <x:c r="D4682" s="30" t="str">
        <x:v>候选输入schema</x:v>
      </x:c>
      <x:c r="E4682" s="30" t="str">
        <x:v>按执行角色权限读取；策略只能使用可访问快照</x:v>
      </x:c>
    </x:row>
    <x:row r="4683" ht="32" customHeight="1">
      <x:c r="A4683" s="30" t="str">
        <x:v>A054</x:v>
      </x:c>
      <x:c r="B4683" s="30" t="str">
        <x:v>F169</x:v>
      </x:c>
      <x:c r="C4683" s="30" t="str">
        <x:v>observation.pose_estimate</x:v>
      </x:c>
      <x:c r="D4683" s="30" t="str">
        <x:v>候选输入schema</x:v>
      </x:c>
      <x:c r="E4683" s="30" t="str">
        <x:v>按执行角色权限读取；策略只能使用可访问快照</x:v>
      </x:c>
    </x:row>
    <x:row r="4684" ht="32" customHeight="1">
      <x:c r="A4684" s="30" t="str">
        <x:v>A054</x:v>
      </x:c>
      <x:c r="B4684" s="30" t="str">
        <x:v>F170</x:v>
      </x:c>
      <x:c r="C4684" s="30" t="str">
        <x:v>observation.payload_ref</x:v>
      </x:c>
      <x:c r="D4684" s="30" t="str">
        <x:v>候选输入schema</x:v>
      </x:c>
      <x:c r="E4684" s="30" t="str">
        <x:v>按执行角色权限读取；策略只能使用可访问快照</x:v>
      </x:c>
    </x:row>
    <x:row r="4685" ht="32" customHeight="1">
      <x:c r="A4685" s="30" t="str">
        <x:v>A054</x:v>
      </x:c>
      <x:c r="B4685" s="30" t="str">
        <x:v>F171</x:v>
      </x:c>
      <x:c r="C4685" s="30" t="str">
        <x:v>observation.payload_bytes</x:v>
      </x:c>
      <x:c r="D4685" s="30" t="str">
        <x:v>候选输入schema</x:v>
      </x:c>
      <x:c r="E4685" s="30" t="str">
        <x:v>按执行角色权限读取；策略只能使用可访问快照</x:v>
      </x:c>
    </x:row>
    <x:row r="4686" ht="32" customHeight="1">
      <x:c r="A4686" s="30" t="str">
        <x:v>A054</x:v>
      </x:c>
      <x:c r="B4686" s="30" t="str">
        <x:v>F172</x:v>
      </x:c>
      <x:c r="C4686" s="30" t="str">
        <x:v>observation.content_hash</x:v>
      </x:c>
      <x:c r="D4686" s="30" t="str">
        <x:v>候选输入schema</x:v>
      </x:c>
      <x:c r="E4686" s="30" t="str">
        <x:v>按执行角色权限读取；策略只能使用可访问快照</x:v>
      </x:c>
    </x:row>
    <x:row r="4687" ht="32" customHeight="1">
      <x:c r="A4687" s="30" t="str">
        <x:v>A054</x:v>
      </x:c>
      <x:c r="B4687" s="30" t="str">
        <x:v>F173</x:v>
      </x:c>
      <x:c r="C4687" s="30" t="str">
        <x:v>observation.modality</x:v>
      </x:c>
      <x:c r="D4687" s="30" t="str">
        <x:v>候选输入schema</x:v>
      </x:c>
      <x:c r="E4687" s="30" t="str">
        <x:v>按执行角色权限读取；策略只能使用可访问快照</x:v>
      </x:c>
    </x:row>
    <x:row r="4688" ht="32" customHeight="1">
      <x:c r="A4688" s="30" t="str">
        <x:v>A054</x:v>
      </x:c>
      <x:c r="B4688" s="30" t="str">
        <x:v>F174</x:v>
      </x:c>
      <x:c r="C4688" s="30" t="str">
        <x:v>observation.detections</x:v>
      </x:c>
      <x:c r="D4688" s="30" t="str">
        <x:v>候选输入schema</x:v>
      </x:c>
      <x:c r="E4688" s="30" t="str">
        <x:v>按执行角色权限读取；策略只能使用可访问快照</x:v>
      </x:c>
    </x:row>
    <x:row r="4689" ht="32" customHeight="1">
      <x:c r="A4689" s="30" t="str">
        <x:v>A054</x:v>
      </x:c>
      <x:c r="B4689" s="30" t="str">
        <x:v>F175</x:v>
      </x:c>
      <x:c r="C4689" s="30" t="str">
        <x:v>observation.confidence</x:v>
      </x:c>
      <x:c r="D4689" s="30" t="str">
        <x:v>候选输入schema</x:v>
      </x:c>
      <x:c r="E4689" s="30" t="str">
        <x:v>按执行角色权限读取；策略只能使用可访问快照</x:v>
      </x:c>
    </x:row>
    <x:row r="4690" ht="32" customHeight="1">
      <x:c r="A4690" s="30" t="str">
        <x:v>A054</x:v>
      </x:c>
      <x:c r="B4690" s="30" t="str">
        <x:v>F176</x:v>
      </x:c>
      <x:c r="C4690" s="30" t="str">
        <x:v>observation.coverage_estimate</x:v>
      </x:c>
      <x:c r="D4690" s="30" t="str">
        <x:v>候选输入schema</x:v>
      </x:c>
      <x:c r="E4690" s="30" t="str">
        <x:v>按执行角色权限读取；策略只能使用可访问快照</x:v>
      </x:c>
    </x:row>
    <x:row r="4691" ht="32" customHeight="1">
      <x:c r="A4691" s="30" t="str">
        <x:v>A054</x:v>
      </x:c>
      <x:c r="B4691" s="30" t="str">
        <x:v>F177</x:v>
      </x:c>
      <x:c r="C4691" s="30" t="str">
        <x:v>observation.processing_job_id</x:v>
      </x:c>
      <x:c r="D4691" s="30" t="str">
        <x:v>候选输入schema</x:v>
      </x:c>
      <x:c r="E4691" s="30" t="str">
        <x:v>按执行角色权限读取；策略只能使用可访问快照</x:v>
      </x:c>
    </x:row>
    <x:row r="4692" ht="32" customHeight="1">
      <x:c r="A4692" s="30" t="str">
        <x:v>A054</x:v>
      </x:c>
      <x:c r="B4692" s="30" t="str">
        <x:v>F178</x:v>
      </x:c>
      <x:c r="C4692" s="30" t="str">
        <x:v>observation.parent_evidence_ids</x:v>
      </x:c>
      <x:c r="D4692" s="30" t="str">
        <x:v>候选输入schema</x:v>
      </x:c>
      <x:c r="E4692" s="30" t="str">
        <x:v>按执行角色权限读取；策略只能使用可访问快照</x:v>
      </x:c>
    </x:row>
    <x:row r="4693" ht="32" customHeight="1">
      <x:c r="A4693" s="30" t="str">
        <x:v>A054</x:v>
      </x:c>
      <x:c r="B4693" s="30" t="str">
        <x:v>F179</x:v>
      </x:c>
      <x:c r="C4693" s="30" t="str">
        <x:v>observation.valid_until_s</x:v>
      </x:c>
      <x:c r="D4693" s="30" t="str">
        <x:v>候选输入schema</x:v>
      </x:c>
      <x:c r="E4693" s="30" t="str">
        <x:v>按执行角色权限读取；策略只能使用可访问快照</x:v>
      </x:c>
    </x:row>
    <x:row r="4694" ht="32" customHeight="1">
      <x:c r="A4694" s="30" t="str">
        <x:v>A054</x:v>
      </x:c>
      <x:c r="B4694" s="30" t="str">
        <x:v>F180</x:v>
      </x:c>
      <x:c r="C4694" s="30" t="str">
        <x:v>observation.mode</x:v>
      </x:c>
      <x:c r="D4694" s="30" t="str">
        <x:v>候选输入schema</x:v>
      </x:c>
      <x:c r="E4694" s="30" t="str">
        <x:v>按执行角色权限读取；策略只能使用可访问快照</x:v>
      </x:c>
    </x:row>
    <x:row r="4695" ht="32" customHeight="1">
      <x:c r="A4695" s="30" t="str">
        <x:v>A054</x:v>
      </x:c>
      <x:c r="B4695" s="30" t="str">
        <x:v>F196</x:v>
      </x:c>
      <x:c r="C4695" s="30" t="str">
        <x:v>task.type</x:v>
      </x:c>
      <x:c r="D4695" s="30" t="str">
        <x:v>候选输入schema</x:v>
      </x:c>
      <x:c r="E4695" s="30" t="str">
        <x:v>按执行角色权限读取；策略只能使用可访问快照</x:v>
      </x:c>
    </x:row>
    <x:row r="4696" ht="32" customHeight="1">
      <x:c r="A4696" s="30" t="str">
        <x:v>A054</x:v>
      </x:c>
      <x:c r="B4696" s="30" t="str">
        <x:v>F197</x:v>
      </x:c>
      <x:c r="C4696" s="30" t="str">
        <x:v>task.creator_id</x:v>
      </x:c>
      <x:c r="D4696" s="30" t="str">
        <x:v>候选输入schema</x:v>
      </x:c>
      <x:c r="E4696" s="30" t="str">
        <x:v>按执行角色权限读取；策略只能使用可访问快照</x:v>
      </x:c>
    </x:row>
    <x:row r="4697" ht="32" customHeight="1">
      <x:c r="A4697" s="30" t="str">
        <x:v>A054</x:v>
      </x:c>
      <x:c r="B4697" s="30" t="str">
        <x:v>F198</x:v>
      </x:c>
      <x:c r="C4697" s="30" t="str">
        <x:v>task.target_ref</x:v>
      </x:c>
      <x:c r="D4697" s="30" t="str">
        <x:v>候选输入schema</x:v>
      </x:c>
      <x:c r="E4697" s="30" t="str">
        <x:v>按执行角色权限读取；策略只能使用可访问快照</x:v>
      </x:c>
    </x:row>
    <x:row r="4698" ht="32" customHeight="1">
      <x:c r="A4698" s="30" t="str">
        <x:v>A054</x:v>
      </x:c>
      <x:c r="B4698" s="30" t="str">
        <x:v>F199</x:v>
      </x:c>
      <x:c r="C4698" s="30" t="str">
        <x:v>task.goal_predicate</x:v>
      </x:c>
      <x:c r="D4698" s="30" t="str">
        <x:v>候选输入schema</x:v>
      </x:c>
      <x:c r="E4698" s="30" t="str">
        <x:v>按执行角色权限读取；策略只能使用可访问快照</x:v>
      </x:c>
    </x:row>
    <x:row r="4699" ht="32" customHeight="1">
      <x:c r="A4699" s="30" t="str">
        <x:v>A054</x:v>
      </x:c>
      <x:c r="B4699" s="30" t="str">
        <x:v>F200</x:v>
      </x:c>
      <x:c r="C4699" s="30" t="str">
        <x:v>task.revision</x:v>
      </x:c>
      <x:c r="D4699" s="30" t="str">
        <x:v>候选输入schema</x:v>
      </x:c>
      <x:c r="E4699" s="30" t="str">
        <x:v>按执行角色权限读取；策略只能使用可访问快照</x:v>
      </x:c>
    </x:row>
    <x:row r="4700" ht="32" customHeight="1">
      <x:c r="A4700" s="30" t="str">
        <x:v>A054</x:v>
      </x:c>
      <x:c r="B4700" s="30" t="str">
        <x:v>F201</x:v>
      </x:c>
      <x:c r="C4700" s="30" t="str">
        <x:v>task.status</x:v>
      </x:c>
      <x:c r="D4700" s="30" t="str">
        <x:v>候选输入schema</x:v>
      </x:c>
      <x:c r="E4700" s="30" t="str">
        <x:v>按执行角色权限读取；策略只能使用可访问快照</x:v>
      </x:c>
    </x:row>
    <x:row r="4701" ht="32" customHeight="1">
      <x:c r="A4701" s="30" t="str">
        <x:v>A054</x:v>
      </x:c>
      <x:c r="B4701" s="30" t="str">
        <x:v>F202</x:v>
      </x:c>
      <x:c r="C4701" s="30" t="str">
        <x:v>task.priority</x:v>
      </x:c>
      <x:c r="D4701" s="30" t="str">
        <x:v>候选输入schema</x:v>
      </x:c>
      <x:c r="E4701" s="30" t="str">
        <x:v>按执行角色权限读取；策略只能使用可访问快照</x:v>
      </x:c>
    </x:row>
    <x:row r="4702" ht="32" customHeight="1">
      <x:c r="A4702" s="30" t="str">
        <x:v>A054</x:v>
      </x:c>
      <x:c r="B4702" s="30" t="str">
        <x:v>F203</x:v>
      </x:c>
      <x:c r="C4702" s="30" t="str">
        <x:v>task.deadline_s</x:v>
      </x:c>
      <x:c r="D4702" s="30" t="str">
        <x:v>候选输入schema</x:v>
      </x:c>
      <x:c r="E4702" s="30" t="str">
        <x:v>按执行角色权限读取；策略只能使用可访问快照</x:v>
      </x:c>
    </x:row>
    <x:row r="4703" ht="32" customHeight="1">
      <x:c r="A4703" s="30" t="str">
        <x:v>A054</x:v>
      </x:c>
      <x:c r="B4703" s="30" t="str">
        <x:v>F204</x:v>
      </x:c>
      <x:c r="C4703" s="30" t="str">
        <x:v>task.dependency_ids</x:v>
      </x:c>
      <x:c r="D4703" s="30" t="str">
        <x:v>候选输入schema</x:v>
      </x:c>
      <x:c r="E4703" s="30" t="str">
        <x:v>按执行角色权限读取；策略只能使用可访问快照</x:v>
      </x:c>
    </x:row>
    <x:row r="4704" ht="32" customHeight="1">
      <x:c r="A4704" s="30" t="str">
        <x:v>A054</x:v>
      </x:c>
      <x:c r="B4704" s="30" t="str">
        <x:v>F205</x:v>
      </x:c>
      <x:c r="C4704" s="30" t="str">
        <x:v>task.required_capability_ids</x:v>
      </x:c>
      <x:c r="D4704" s="30" t="str">
        <x:v>候选输入schema</x:v>
      </x:c>
      <x:c r="E4704" s="30" t="str">
        <x:v>按执行角色权限读取；策略只能使用可访问快照</x:v>
      </x:c>
    </x:row>
    <x:row r="4705" ht="32" customHeight="1">
      <x:c r="A4705" s="30" t="str">
        <x:v>A054</x:v>
      </x:c>
      <x:c r="B4705" s="30" t="str">
        <x:v>F206</x:v>
      </x:c>
      <x:c r="C4705" s="30" t="str">
        <x:v>task.resource_budget</x:v>
      </x:c>
      <x:c r="D4705" s="30" t="str">
        <x:v>候选输入schema</x:v>
      </x:c>
      <x:c r="E4705" s="30" t="str">
        <x:v>按执行角色权限读取；策略只能使用可访问快照</x:v>
      </x:c>
    </x:row>
    <x:row r="4706" ht="32" customHeight="1">
      <x:c r="A4706" s="30" t="str">
        <x:v>A054</x:v>
      </x:c>
      <x:c r="B4706" s="30" t="str">
        <x:v>F207</x:v>
      </x:c>
      <x:c r="C4706" s="30" t="str">
        <x:v>task.assigned_to</x:v>
      </x:c>
      <x:c r="D4706" s="30" t="str">
        <x:v>候选输入schema</x:v>
      </x:c>
      <x:c r="E4706" s="30" t="str">
        <x:v>按执行角色权限读取；策略只能使用可访问快照</x:v>
      </x:c>
    </x:row>
    <x:row r="4707" ht="32" customHeight="1">
      <x:c r="A4707" s="30" t="str">
        <x:v>A054</x:v>
      </x:c>
      <x:c r="B4707" s="30" t="str">
        <x:v>F208</x:v>
      </x:c>
      <x:c r="C4707" s="30" t="str">
        <x:v>task.accepted_by</x:v>
      </x:c>
      <x:c r="D4707" s="30" t="str">
        <x:v>候选输入schema</x:v>
      </x:c>
      <x:c r="E4707" s="30" t="str">
        <x:v>按执行角色权限读取；策略只能使用可访问快照</x:v>
      </x:c>
    </x:row>
    <x:row r="4708" ht="32" customHeight="1">
      <x:c r="A4708" s="30" t="str">
        <x:v>A054</x:v>
      </x:c>
      <x:c r="B4708" s="30" t="str">
        <x:v>F209</x:v>
      </x:c>
      <x:c r="C4708" s="30" t="str">
        <x:v>task.commitment_window</x:v>
      </x:c>
      <x:c r="D4708" s="30" t="str">
        <x:v>候选输入schema</x:v>
      </x:c>
      <x:c r="E4708" s="30" t="str">
        <x:v>按执行角色权限读取；策略只能使用可访问快照</x:v>
      </x:c>
    </x:row>
    <x:row r="4709" ht="32" customHeight="1">
      <x:c r="A4709" s="30" t="str">
        <x:v>A054</x:v>
      </x:c>
      <x:c r="B4709" s="30" t="str">
        <x:v>F210</x:v>
      </x:c>
      <x:c r="C4709" s="30" t="str">
        <x:v>task.progress</x:v>
      </x:c>
      <x:c r="D4709" s="30" t="str">
        <x:v>候选输入schema</x:v>
      </x:c>
      <x:c r="E4709" s="30" t="str">
        <x:v>按执行角色权限读取；策略只能使用可访问快照</x:v>
      </x:c>
    </x:row>
    <x:row r="4710" ht="32" customHeight="1">
      <x:c r="A4710" s="30" t="str">
        <x:v>A054</x:v>
      </x:c>
      <x:c r="B4710" s="30" t="str">
        <x:v>F211</x:v>
      </x:c>
      <x:c r="C4710" s="30" t="str">
        <x:v>task.active_action_ids</x:v>
      </x:c>
      <x:c r="D4710" s="30" t="str">
        <x:v>候选输入schema</x:v>
      </x:c>
      <x:c r="E4710" s="30" t="str">
        <x:v>按执行角色权限读取；策略只能使用可访问快照</x:v>
      </x:c>
    </x:row>
    <x:row r="4711" ht="32" customHeight="1">
      <x:c r="A4711" s="30" t="str">
        <x:v>A054</x:v>
      </x:c>
      <x:c r="B4711" s="30" t="str">
        <x:v>F212</x:v>
      </x:c>
      <x:c r="C4711" s="30" t="str">
        <x:v>task.interruptibility</x:v>
      </x:c>
      <x:c r="D4711" s="30" t="str">
        <x:v>候选输入schema</x:v>
      </x:c>
      <x:c r="E4711" s="30" t="str">
        <x:v>按执行角色权限读取；策略只能使用可访问快照</x:v>
      </x:c>
    </x:row>
    <x:row r="4712" ht="32" customHeight="1">
      <x:c r="A4712" s="30" t="str">
        <x:v>A054</x:v>
      </x:c>
      <x:c r="B4712" s="30" t="str">
        <x:v>F213</x:v>
      </x:c>
      <x:c r="C4712" s="30" t="str">
        <x:v>task.original_task_id</x:v>
      </x:c>
      <x:c r="D4712" s="30" t="str">
        <x:v>候选输入schema</x:v>
      </x:c>
      <x:c r="E4712" s="30" t="str">
        <x:v>按执行角色权限读取；策略只能使用可访问快照</x:v>
      </x:c>
    </x:row>
    <x:row r="4713" ht="32" customHeight="1">
      <x:c r="A4713" s="30" t="str">
        <x:v>A054</x:v>
      </x:c>
      <x:c r="B4713" s="30" t="str">
        <x:v>F214</x:v>
      </x:c>
      <x:c r="C4713" s="30" t="str">
        <x:v>task.resume_checkpoint</x:v>
      </x:c>
      <x:c r="D4713" s="30" t="str">
        <x:v>候选输入schema</x:v>
      </x:c>
      <x:c r="E4713" s="30" t="str">
        <x:v>按执行角色权限读取；策略只能使用可访问快照</x:v>
      </x:c>
    </x:row>
    <x:row r="4714" ht="32" customHeight="1">
      <x:c r="A4714" s="30" t="str">
        <x:v>A054</x:v>
      </x:c>
      <x:c r="B4714" s="30" t="str">
        <x:v>F215</x:v>
      </x:c>
      <x:c r="C4714" s="30" t="str">
        <x:v>task.handoff_target_id</x:v>
      </x:c>
      <x:c r="D4714" s="30" t="str">
        <x:v>候选输入schema</x:v>
      </x:c>
      <x:c r="E4714" s="30" t="str">
        <x:v>按执行角色权限读取；策略只能使用可访问快照</x:v>
      </x:c>
    </x:row>
    <x:row r="4715" ht="32" customHeight="1">
      <x:c r="A4715" s="30" t="str">
        <x:v>A054</x:v>
      </x:c>
      <x:c r="B4715" s="30" t="str">
        <x:v>F216</x:v>
      </x:c>
      <x:c r="C4715" s="30" t="str">
        <x:v>task.result_evidence_ids</x:v>
      </x:c>
      <x:c r="D4715" s="30" t="str">
        <x:v>候选输入schema</x:v>
      </x:c>
      <x:c r="E4715" s="30" t="str">
        <x:v>按执行角色权限读取；策略只能使用可访问快照</x:v>
      </x:c>
    </x:row>
    <x:row r="4716" ht="32" customHeight="1">
      <x:c r="A4716" s="30" t="str">
        <x:v>A054</x:v>
      </x:c>
      <x:c r="B4716" s="30" t="str">
        <x:v>F217</x:v>
      </x:c>
      <x:c r="C4716" s="30" t="str">
        <x:v>task.failure_reason</x:v>
      </x:c>
      <x:c r="D4716" s="30" t="str">
        <x:v>候选输入schema</x:v>
      </x:c>
      <x:c r="E4716" s="30" t="str">
        <x:v>按执行角色权限读取；策略只能使用可访问快照</x:v>
      </x:c>
    </x:row>
    <x:row r="4717" ht="32" customHeight="1">
      <x:c r="A4717" s="30" t="str">
        <x:v>A054</x:v>
      </x:c>
      <x:c r="B4717" s="30" t="str">
        <x:v>F218</x:v>
      </x:c>
      <x:c r="C4717" s="30" t="str">
        <x:v>task.last_event_s</x:v>
      </x:c>
      <x:c r="D4717" s="30" t="str">
        <x:v>候选输入schema</x:v>
      </x:c>
      <x:c r="E4717" s="30" t="str">
        <x:v>按执行角色权限读取；策略只能使用可访问快照</x:v>
      </x:c>
    </x:row>
    <x:row r="4718" ht="32" customHeight="1">
      <x:c r="A4718" s="30" t="str">
        <x:v>A054</x:v>
      </x:c>
      <x:c r="B4718" s="30" t="str">
        <x:v>F219</x:v>
      </x:c>
      <x:c r="C4718" s="30" t="str">
        <x:v>task.opportunity_cost</x:v>
      </x:c>
      <x:c r="D4718" s="30" t="str">
        <x:v>候选输入schema</x:v>
      </x:c>
      <x:c r="E4718" s="30" t="str">
        <x:v>按执行角色权限读取；策略只能使用可访问快照</x:v>
      </x:c>
    </x:row>
    <x:row r="4719" ht="32" customHeight="1">
      <x:c r="A4719" s="30" t="str">
        <x:v>A054</x:v>
      </x:c>
      <x:c r="B4719" s="30" t="str">
        <x:v>F220</x:v>
      </x:c>
      <x:c r="C4719" s="30" t="str">
        <x:v>assignment.task_ref</x:v>
      </x:c>
      <x:c r="D4719" s="30" t="str">
        <x:v>候选输入schema</x:v>
      </x:c>
      <x:c r="E4719" s="30" t="str">
        <x:v>按执行角色权限读取；策略只能使用可访问快照</x:v>
      </x:c>
    </x:row>
    <x:row r="4720" ht="32" customHeight="1">
      <x:c r="A4720" s="30" t="str">
        <x:v>A054</x:v>
      </x:c>
      <x:c r="B4720" s="30" t="str">
        <x:v>F221</x:v>
      </x:c>
      <x:c r="C4720" s="30" t="str">
        <x:v>assignment.sender_id</x:v>
      </x:c>
      <x:c r="D4720" s="30" t="str">
        <x:v>候选输入schema</x:v>
      </x:c>
      <x:c r="E4720" s="30" t="str">
        <x:v>按执行角色权限读取；策略只能使用可访问快照</x:v>
      </x:c>
    </x:row>
    <x:row r="4721" ht="32" customHeight="1">
      <x:c r="A4721" s="30" t="str">
        <x:v>A054</x:v>
      </x:c>
      <x:c r="B4721" s="30" t="str">
        <x:v>F222</x:v>
      </x:c>
      <x:c r="C4721" s="30" t="str">
        <x:v>assignment.receiver_id</x:v>
      </x:c>
      <x:c r="D4721" s="30" t="str">
        <x:v>候选输入schema</x:v>
      </x:c>
      <x:c r="E4721" s="30" t="str">
        <x:v>按执行角色权限读取；策略只能使用可访问快照</x:v>
      </x:c>
    </x:row>
    <x:row r="4722" ht="32" customHeight="1">
      <x:c r="A4722" s="30" t="str">
        <x:v>A054</x:v>
      </x:c>
      <x:c r="B4722" s="30" t="str">
        <x:v>F223</x:v>
      </x:c>
      <x:c r="C4722" s="30" t="str">
        <x:v>assignment.bid</x:v>
      </x:c>
      <x:c r="D4722" s="30" t="str">
        <x:v>候选输入schema</x:v>
      </x:c>
      <x:c r="E4722" s="30" t="str">
        <x:v>按执行角色权限读取；策略只能使用可访问快照</x:v>
      </x:c>
    </x:row>
    <x:row r="4723" ht="32" customHeight="1">
      <x:c r="A4723" s="30" t="str">
        <x:v>A054</x:v>
      </x:c>
      <x:c r="B4723" s="30" t="str">
        <x:v>F224</x:v>
      </x:c>
      <x:c r="C4723" s="30" t="str">
        <x:v>assignment.message_id</x:v>
      </x:c>
      <x:c r="D4723" s="30" t="str">
        <x:v>候选输入schema</x:v>
      </x:c>
      <x:c r="E4723" s="30" t="str">
        <x:v>按执行角色权限读取；策略只能使用可访问快照</x:v>
      </x:c>
    </x:row>
    <x:row r="4724" ht="32" customHeight="1">
      <x:c r="A4724" s="30" t="str">
        <x:v>A054</x:v>
      </x:c>
      <x:c r="B4724" s="30" t="str">
        <x:v>F225</x:v>
      </x:c>
      <x:c r="C4724" s="30" t="str">
        <x:v>assignment.delivery_state</x:v>
      </x:c>
      <x:c r="D4724" s="30" t="str">
        <x:v>候选输入schema</x:v>
      </x:c>
      <x:c r="E4724" s="30" t="str">
        <x:v>按执行角色权限读取；策略只能使用可访问快照</x:v>
      </x:c>
    </x:row>
    <x:row r="4725" ht="32" customHeight="1">
      <x:c r="A4725" s="30" t="str">
        <x:v>A054</x:v>
      </x:c>
      <x:c r="B4725" s="30" t="str">
        <x:v>F226</x:v>
      </x:c>
      <x:c r="C4725" s="30" t="str">
        <x:v>assignment.decision</x:v>
      </x:c>
      <x:c r="D4725" s="30" t="str">
        <x:v>候选输入schema</x:v>
      </x:c>
      <x:c r="E4725" s="30" t="str">
        <x:v>按执行角色权限读取；策略只能使用可访问快照</x:v>
      </x:c>
    </x:row>
    <x:row r="4726" ht="32" customHeight="1">
      <x:c r="A4726" s="30" t="str">
        <x:v>A054</x:v>
      </x:c>
      <x:c r="B4726" s="30" t="str">
        <x:v>F227</x:v>
      </x:c>
      <x:c r="C4726" s="30" t="str">
        <x:v>assignment.decision_reason</x:v>
      </x:c>
      <x:c r="D4726" s="30" t="str">
        <x:v>候选输入schema</x:v>
      </x:c>
      <x:c r="E4726" s="30" t="str">
        <x:v>按执行角色权限读取；策略只能使用可访问快照</x:v>
      </x:c>
    </x:row>
    <x:row r="4727" ht="32" customHeight="1">
      <x:c r="A4727" s="30" t="str">
        <x:v>A054</x:v>
      </x:c>
      <x:c r="B4727" s="30" t="str">
        <x:v>F228</x:v>
      </x:c>
      <x:c r="C4727" s="30" t="str">
        <x:v>assignment.lease_end_s</x:v>
      </x:c>
      <x:c r="D4727" s="30" t="str">
        <x:v>候选输入schema</x:v>
      </x:c>
      <x:c r="E4727" s="30" t="str">
        <x:v>按执行角色权限读取；策略只能使用可访问快照</x:v>
      </x:c>
    </x:row>
    <x:row r="4728" ht="32" customHeight="1">
      <x:c r="A4728" s="30" t="str">
        <x:v>A054</x:v>
      </x:c>
      <x:c r="B4728" s="30" t="str">
        <x:v>F229</x:v>
      </x:c>
      <x:c r="C4728" s="30" t="str">
        <x:v>assignment.acknowledged_revision</x:v>
      </x:c>
      <x:c r="D4728" s="30" t="str">
        <x:v>候选输入schema</x:v>
      </x:c>
      <x:c r="E4728" s="30" t="str">
        <x:v>按执行角色权限读取；策略只能使用可访问快照</x:v>
      </x:c>
    </x:row>
    <x:row r="4729" ht="32" customHeight="1">
      <x:c r="A4729" s="30" t="str">
        <x:v>A054</x:v>
      </x:c>
      <x:c r="B4729" s="30" t="str">
        <x:v>F230</x:v>
      </x:c>
      <x:c r="C4729" s="30" t="str">
        <x:v>action.type</x:v>
      </x:c>
      <x:c r="D4729" s="30" t="str">
        <x:v>候选输入schema</x:v>
      </x:c>
      <x:c r="E4729" s="30" t="str">
        <x:v>按执行角色权限读取；策略只能使用可访问快照</x:v>
      </x:c>
    </x:row>
    <x:row r="4730" ht="32" customHeight="1">
      <x:c r="A4730" s="30" t="str">
        <x:v>A054</x:v>
      </x:c>
      <x:c r="B4730" s="30" t="str">
        <x:v>F231</x:v>
      </x:c>
      <x:c r="C4730" s="30" t="str">
        <x:v>action.executor_id</x:v>
      </x:c>
      <x:c r="D4730" s="30" t="str">
        <x:v>候选输入schema</x:v>
      </x:c>
      <x:c r="E4730" s="30" t="str">
        <x:v>按执行角色权限读取；策略只能使用可访问快照</x:v>
      </x:c>
    </x:row>
    <x:row r="4731" ht="32" customHeight="1">
      <x:c r="A4731" s="30" t="str">
        <x:v>A054</x:v>
      </x:c>
      <x:c r="B4731" s="30" t="str">
        <x:v>F232</x:v>
      </x:c>
      <x:c r="C4731" s="30" t="str">
        <x:v>action.task_ref</x:v>
      </x:c>
      <x:c r="D4731" s="30" t="str">
        <x:v>候选输入schema</x:v>
      </x:c>
      <x:c r="E4731" s="30" t="str">
        <x:v>按执行角色权限读取；策略只能使用可访问快照</x:v>
      </x:c>
    </x:row>
    <x:row r="4732" ht="32" customHeight="1">
      <x:c r="A4732" s="30" t="str">
        <x:v>A054</x:v>
      </x:c>
      <x:c r="B4732" s="30" t="str">
        <x:v>F233</x:v>
      </x:c>
      <x:c r="C4732" s="30" t="str">
        <x:v>action.target_ref</x:v>
      </x:c>
      <x:c r="D4732" s="30" t="str">
        <x:v>候选输入schema</x:v>
      </x:c>
      <x:c r="E4732" s="30" t="str">
        <x:v>按执行角色权限读取；策略只能使用可访问快照</x:v>
      </x:c>
    </x:row>
    <x:row r="4733" ht="32" customHeight="1">
      <x:c r="A4733" s="30" t="str">
        <x:v>A054</x:v>
      </x:c>
      <x:c r="B4733" s="30" t="str">
        <x:v>F234</x:v>
      </x:c>
      <x:c r="C4733" s="30" t="str">
        <x:v>action.parameters</x:v>
      </x:c>
      <x:c r="D4733" s="30" t="str">
        <x:v>候选输入schema</x:v>
      </x:c>
      <x:c r="E4733" s="30" t="str">
        <x:v>按执行角色权限读取；策略只能使用可访问快照</x:v>
      </x:c>
    </x:row>
    <x:row r="4734" ht="32" customHeight="1">
      <x:c r="A4734" s="30" t="str">
        <x:v>A054</x:v>
      </x:c>
      <x:c r="B4734" s="30" t="str">
        <x:v>F235</x:v>
      </x:c>
      <x:c r="C4734" s="30" t="str">
        <x:v>action.status</x:v>
      </x:c>
      <x:c r="D4734" s="30" t="str">
        <x:v>候选输入schema</x:v>
      </x:c>
      <x:c r="E4734" s="30" t="str">
        <x:v>按执行角色权限读取；策略只能使用可访问快照</x:v>
      </x:c>
    </x:row>
    <x:row r="4735" ht="32" customHeight="1">
      <x:c r="A4735" s="30" t="str">
        <x:v>A054</x:v>
      </x:c>
      <x:c r="B4735" s="30" t="str">
        <x:v>F236</x:v>
      </x:c>
      <x:c r="C4735" s="30" t="str">
        <x:v>action.start_s</x:v>
      </x:c>
      <x:c r="D4735" s="30" t="str">
        <x:v>候选输入schema</x:v>
      </x:c>
      <x:c r="E4735" s="30" t="str">
        <x:v>按执行角色权限读取；策略只能使用可访问快照</x:v>
      </x:c>
    </x:row>
    <x:row r="4736" ht="32" customHeight="1">
      <x:c r="A4736" s="30" t="str">
        <x:v>A054</x:v>
      </x:c>
      <x:c r="B4736" s="30" t="str">
        <x:v>F237</x:v>
      </x:c>
      <x:c r="C4736" s="30" t="str">
        <x:v>action.finish_s</x:v>
      </x:c>
      <x:c r="D4736" s="30" t="str">
        <x:v>候选输入schema</x:v>
      </x:c>
      <x:c r="E4736" s="30" t="str">
        <x:v>按执行角色权限读取；策略只能使用可访问快照</x:v>
      </x:c>
    </x:row>
    <x:row r="4737" ht="32" customHeight="1">
      <x:c r="A4737" s="30" t="str">
        <x:v>A054</x:v>
      </x:c>
      <x:c r="B4737" s="30" t="str">
        <x:v>F238</x:v>
      </x:c>
      <x:c r="C4737" s="30" t="str">
        <x:v>action.reserved_resources</x:v>
      </x:c>
      <x:c r="D4737" s="30" t="str">
        <x:v>候选输入schema</x:v>
      </x:c>
      <x:c r="E4737" s="30" t="str">
        <x:v>按执行角色权限读取；策略只能使用可访问快照</x:v>
      </x:c>
    </x:row>
    <x:row r="4738" ht="32" customHeight="1">
      <x:c r="A4738" s="30" t="str">
        <x:v>A054</x:v>
      </x:c>
      <x:c r="B4738" s="30" t="str">
        <x:v>F239</x:v>
      </x:c>
      <x:c r="C4738" s="30" t="str">
        <x:v>action.consumed_resources</x:v>
      </x:c>
      <x:c r="D4738" s="30" t="str">
        <x:v>候选输入schema</x:v>
      </x:c>
      <x:c r="E4738" s="30" t="str">
        <x:v>按执行角色权限读取；策略只能使用可访问快照</x:v>
      </x:c>
    </x:row>
    <x:row r="4739" ht="32" customHeight="1">
      <x:c r="A4739" s="30" t="str">
        <x:v>A054</x:v>
      </x:c>
      <x:c r="B4739" s="30" t="str">
        <x:v>F240</x:v>
      </x:c>
      <x:c r="C4739" s="30" t="str">
        <x:v>action.feedback</x:v>
      </x:c>
      <x:c r="D4739" s="30" t="str">
        <x:v>候选输入schema</x:v>
      </x:c>
      <x:c r="E4739" s="30" t="str">
        <x:v>按执行角色权限读取；策略只能使用可访问快照</x:v>
      </x:c>
    </x:row>
    <x:row r="4740" ht="32" customHeight="1">
      <x:c r="A4740" s="30" t="str">
        <x:v>A054</x:v>
      </x:c>
      <x:c r="B4740" s="30" t="str">
        <x:v>F241</x:v>
      </x:c>
      <x:c r="C4740" s="30" t="str">
        <x:v>action.result</x:v>
      </x:c>
      <x:c r="D4740" s="30" t="str">
        <x:v>候选输入schema</x:v>
      </x:c>
      <x:c r="E4740" s="30" t="str">
        <x:v>按执行角色权限读取；策略只能使用可访问快照</x:v>
      </x:c>
    </x:row>
    <x:row r="4741" ht="32" customHeight="1">
      <x:c r="A4741" s="30" t="str">
        <x:v>A054</x:v>
      </x:c>
      <x:c r="B4741" s="30" t="str">
        <x:v>F242</x:v>
      </x:c>
      <x:c r="C4741" s="30" t="str">
        <x:v>action.rejection_code</x:v>
      </x:c>
      <x:c r="D4741" s="30" t="str">
        <x:v>候选输入schema</x:v>
      </x:c>
      <x:c r="E4741" s="30" t="str">
        <x:v>按执行角色权限读取；策略只能使用可访问快照</x:v>
      </x:c>
    </x:row>
    <x:row r="4742" ht="32" customHeight="1">
      <x:c r="A4742" s="30" t="str">
        <x:v>A054</x:v>
      </x:c>
      <x:c r="B4742" s="30" t="str">
        <x:v>F243</x:v>
      </x:c>
      <x:c r="C4742" s="30" t="str">
        <x:v>action.failure_code</x:v>
      </x:c>
      <x:c r="D4742" s="30" t="str">
        <x:v>候选输入schema</x:v>
      </x:c>
      <x:c r="E4742" s="30" t="str">
        <x:v>按执行角色权限读取；策略只能使用可访问快照</x:v>
      </x:c>
    </x:row>
    <x:row r="4743" ht="32" customHeight="1">
      <x:c r="A4743" s="30" t="str">
        <x:v>A054</x:v>
      </x:c>
      <x:c r="B4743" s="30" t="str">
        <x:v>F244</x:v>
      </x:c>
      <x:c r="C4743" s="30" t="str">
        <x:v>action.cancel_requested</x:v>
      </x:c>
      <x:c r="D4743" s="30" t="str">
        <x:v>候选输入schema</x:v>
      </x:c>
      <x:c r="E4743" s="30" t="str">
        <x:v>按执行角色权限读取；策略只能使用可访问快照</x:v>
      </x:c>
    </x:row>
    <x:row r="4744" ht="32" customHeight="1">
      <x:c r="A4744" s="30" t="str">
        <x:v>A054</x:v>
      </x:c>
      <x:c r="B4744" s="30" t="str">
        <x:v>F245</x:v>
      </x:c>
      <x:c r="C4744" s="30" t="str">
        <x:v>action.backend_mode</x:v>
      </x:c>
      <x:c r="D4744" s="30" t="str">
        <x:v>候选输入schema</x:v>
      </x:c>
      <x:c r="E4744" s="30" t="str">
        <x:v>按执行角色权限读取；策略只能使用可访问快照</x:v>
      </x:c>
    </x:row>
    <x:row r="4745" ht="32" customHeight="1">
      <x:c r="A4745" s="30" t="str">
        <x:v>A054</x:v>
      </x:c>
      <x:c r="B4745" s="30" t="str">
        <x:v>F275</x:v>
      </x:c>
      <x:c r="C4745" s="30" t="str">
        <x:v>message.kind</x:v>
      </x:c>
      <x:c r="D4745" s="30" t="str">
        <x:v>候选输入schema</x:v>
      </x:c>
      <x:c r="E4745" s="30" t="str">
        <x:v>按执行角色权限读取；策略只能使用可访问快照</x:v>
      </x:c>
    </x:row>
    <x:row r="4746" ht="32" customHeight="1">
      <x:c r="A4746" s="30" t="str">
        <x:v>A054</x:v>
      </x:c>
      <x:c r="B4746" s="30" t="str">
        <x:v>F276</x:v>
      </x:c>
      <x:c r="C4746" s="30" t="str">
        <x:v>message.sender_id</x:v>
      </x:c>
      <x:c r="D4746" s="30" t="str">
        <x:v>候选输入schema</x:v>
      </x:c>
      <x:c r="E4746" s="30" t="str">
        <x:v>按执行角色权限读取；策略只能使用可访问快照</x:v>
      </x:c>
    </x:row>
    <x:row r="4747" ht="32" customHeight="1">
      <x:c r="A4747" s="30" t="str">
        <x:v>A054</x:v>
      </x:c>
      <x:c r="B4747" s="30" t="str">
        <x:v>F277</x:v>
      </x:c>
      <x:c r="C4747" s="30" t="str">
        <x:v>message.receiver_ids</x:v>
      </x:c>
      <x:c r="D4747" s="30" t="str">
        <x:v>候选输入schema</x:v>
      </x:c>
      <x:c r="E4747" s="30" t="str">
        <x:v>按执行角色权限读取；策略只能使用可访问快照</x:v>
      </x:c>
    </x:row>
    <x:row r="4748" ht="32" customHeight="1">
      <x:c r="A4748" s="30" t="str">
        <x:v>A054</x:v>
      </x:c>
      <x:c r="B4748" s="30" t="str">
        <x:v>F278</x:v>
      </x:c>
      <x:c r="C4748" s="30" t="str">
        <x:v>message.payload_ref</x:v>
      </x:c>
      <x:c r="D4748" s="30" t="str">
        <x:v>候选输入schema</x:v>
      </x:c>
      <x:c r="E4748" s="30" t="str">
        <x:v>按执行角色权限读取；策略只能使用可访问快照</x:v>
      </x:c>
    </x:row>
    <x:row r="4749" ht="32" customHeight="1">
      <x:c r="A4749" s="30" t="str">
        <x:v>A054</x:v>
      </x:c>
      <x:c r="B4749" s="30" t="str">
        <x:v>F279</x:v>
      </x:c>
      <x:c r="C4749" s="30" t="str">
        <x:v>message.size_bytes</x:v>
      </x:c>
      <x:c r="D4749" s="30" t="str">
        <x:v>候选输入schema</x:v>
      </x:c>
      <x:c r="E4749" s="30" t="str">
        <x:v>按执行角色权限读取；策略只能使用可访问快照</x:v>
      </x:c>
    </x:row>
    <x:row r="4750" ht="32" customHeight="1">
      <x:c r="A4750" s="30" t="str">
        <x:v>A054</x:v>
      </x:c>
      <x:c r="B4750" s="30" t="str">
        <x:v>F280</x:v>
      </x:c>
      <x:c r="C4750" s="30" t="str">
        <x:v>message.fragment_count</x:v>
      </x:c>
      <x:c r="D4750" s="30" t="str">
        <x:v>候选输入schema</x:v>
      </x:c>
      <x:c r="E4750" s="30" t="str">
        <x:v>按执行角色权限读取；策略只能使用可访问快照</x:v>
      </x:c>
    </x:row>
    <x:row r="4751" ht="32" customHeight="1">
      <x:c r="A4751" s="30" t="str">
        <x:v>A054</x:v>
      </x:c>
      <x:c r="B4751" s="30" t="str">
        <x:v>F281</x:v>
      </x:c>
      <x:c r="C4751" s="30" t="str">
        <x:v>message.received_fragments</x:v>
      </x:c>
      <x:c r="D4751" s="30" t="str">
        <x:v>候选输入schema</x:v>
      </x:c>
      <x:c r="E4751" s="30" t="str">
        <x:v>按执行角色权限读取；策略只能使用可访问快照</x:v>
      </x:c>
    </x:row>
    <x:row r="4752" ht="32" customHeight="1">
      <x:c r="A4752" s="30" t="str">
        <x:v>A054</x:v>
      </x:c>
      <x:c r="B4752" s="30" t="str">
        <x:v>F282</x:v>
      </x:c>
      <x:c r="C4752" s="30" t="str">
        <x:v>message.content_hash</x:v>
      </x:c>
      <x:c r="D4752" s="30" t="str">
        <x:v>候选输入schema</x:v>
      </x:c>
      <x:c r="E4752" s="30" t="str">
        <x:v>按执行角色权限读取；策略只能使用可访问快照</x:v>
      </x:c>
    </x:row>
    <x:row r="4753" ht="32" customHeight="1">
      <x:c r="A4753" s="30" t="str">
        <x:v>A054</x:v>
      </x:c>
      <x:c r="B4753" s="30" t="str">
        <x:v>F283</x:v>
      </x:c>
      <x:c r="C4753" s="30" t="str">
        <x:v>message.priority</x:v>
      </x:c>
      <x:c r="D4753" s="30" t="str">
        <x:v>候选输入schema</x:v>
      </x:c>
      <x:c r="E4753" s="30" t="str">
        <x:v>按执行角色权限读取；策略只能使用可访问快照</x:v>
      </x:c>
    </x:row>
    <x:row r="4754" ht="32" customHeight="1">
      <x:c r="A4754" s="30" t="str">
        <x:v>A054</x:v>
      </x:c>
      <x:c r="B4754" s="30" t="str">
        <x:v>F284</x:v>
      </x:c>
      <x:c r="C4754" s="30" t="str">
        <x:v>message.ttl_s</x:v>
      </x:c>
      <x:c r="D4754" s="30" t="str">
        <x:v>候选输入schema</x:v>
      </x:c>
      <x:c r="E4754" s="30" t="str">
        <x:v>按执行角色权限读取；策略只能使用可访问快照</x:v>
      </x:c>
    </x:row>
    <x:row r="4755" ht="32" customHeight="1">
      <x:c r="A4755" s="30" t="str">
        <x:v>A054</x:v>
      </x:c>
      <x:c r="B4755" s="30" t="str">
        <x:v>F285</x:v>
      </x:c>
      <x:c r="C4755" s="30" t="str">
        <x:v>message.status</x:v>
      </x:c>
      <x:c r="D4755" s="30" t="str">
        <x:v>候选输入schema</x:v>
      </x:c>
      <x:c r="E4755" s="30" t="str">
        <x:v>按执行角色权限读取；策略只能使用可访问快照</x:v>
      </x:c>
    </x:row>
    <x:row r="4756" ht="32" customHeight="1">
      <x:c r="A4756" s="30" t="str">
        <x:v>A054</x:v>
      </x:c>
      <x:c r="B4756" s="30" t="str">
        <x:v>F286</x:v>
      </x:c>
      <x:c r="C4756" s="30" t="str">
        <x:v>message.sent_s</x:v>
      </x:c>
      <x:c r="D4756" s="30" t="str">
        <x:v>候选输入schema</x:v>
      </x:c>
      <x:c r="E4756" s="30" t="str">
        <x:v>按执行角色权限读取；策略只能使用可访问快照</x:v>
      </x:c>
    </x:row>
    <x:row r="4757" ht="32" customHeight="1">
      <x:c r="A4757" s="30" t="str">
        <x:v>A054</x:v>
      </x:c>
      <x:c r="B4757" s="30" t="str">
        <x:v>F287</x:v>
      </x:c>
      <x:c r="C4757" s="30" t="str">
        <x:v>message.delivered_s</x:v>
      </x:c>
      <x:c r="D4757" s="30" t="str">
        <x:v>候选输入schema</x:v>
      </x:c>
      <x:c r="E4757" s="30" t="str">
        <x:v>按执行角色权限读取；策略只能使用可访问快照</x:v>
      </x:c>
    </x:row>
    <x:row r="4758" ht="32" customHeight="1">
      <x:c r="A4758" s="30" t="str">
        <x:v>A054</x:v>
      </x:c>
      <x:c r="B4758" s="30" t="str">
        <x:v>F288</x:v>
      </x:c>
      <x:c r="C4758" s="30" t="str">
        <x:v>message.ack_state</x:v>
      </x:c>
      <x:c r="D4758" s="30" t="str">
        <x:v>候选输入schema</x:v>
      </x:c>
      <x:c r="E4758" s="30" t="str">
        <x:v>按执行角色权限读取；策略只能使用可访问快照</x:v>
      </x:c>
    </x:row>
    <x:row r="4759" ht="32" customHeight="1">
      <x:c r="A4759" s="30" t="str">
        <x:v>A054</x:v>
      </x:c>
      <x:c r="B4759" s="30" t="str">
        <x:v>F289</x:v>
      </x:c>
      <x:c r="C4759" s="30" t="str">
        <x:v>message.retry_count</x:v>
      </x:c>
      <x:c r="D4759" s="30" t="str">
        <x:v>候选输入schema</x:v>
      </x:c>
      <x:c r="E4759" s="30" t="str">
        <x:v>按执行角色权限读取；策略只能使用可访问快照</x:v>
      </x:c>
    </x:row>
    <x:row r="4760" ht="32" customHeight="1">
      <x:c r="A4760" s="30" t="str">
        <x:v>A054</x:v>
      </x:c>
      <x:c r="B4760" s="30" t="str">
        <x:v>F290</x:v>
      </x:c>
      <x:c r="C4760" s="30" t="str">
        <x:v>message.hop_trace</x:v>
      </x:c>
      <x:c r="D4760" s="30" t="str">
        <x:v>候选输入schema</x:v>
      </x:c>
      <x:c r="E4760" s="30" t="str">
        <x:v>按执行角色权限读取；策略只能使用可访问快照</x:v>
      </x:c>
    </x:row>
    <x:row r="4761" ht="32" customHeight="1">
      <x:c r="A4761" s="30" t="str">
        <x:v>A054</x:v>
      </x:c>
      <x:c r="B4761" s="30" t="str">
        <x:v>F291</x:v>
      </x:c>
      <x:c r="C4761" s="30" t="str">
        <x:v>message.correlation_id</x:v>
      </x:c>
      <x:c r="D4761" s="30" t="str">
        <x:v>候选输入schema</x:v>
      </x:c>
      <x:c r="E4761" s="30" t="str">
        <x:v>按执行角色权限读取；策略只能使用可访问快照</x:v>
      </x:c>
    </x:row>
    <x:row r="4762" ht="32" customHeight="1">
      <x:c r="A4762" s="30" t="str">
        <x:v>A054</x:v>
      </x:c>
      <x:c r="B4762" s="30" t="str">
        <x:v>F292</x:v>
      </x:c>
      <x:c r="C4762" s="30" t="str">
        <x:v>message.local_availability</x:v>
      </x:c>
      <x:c r="D4762" s="30" t="str">
        <x:v>候选输入schema</x:v>
      </x:c>
      <x:c r="E4762" s="30" t="str">
        <x:v>按执行角色权限读取；策略只能使用可访问快照</x:v>
      </x:c>
    </x:row>
    <x:row r="4763" ht="32" customHeight="1">
      <x:c r="A4763" s="30" t="str">
        <x:v>A054</x:v>
      </x:c>
      <x:c r="B4763" s="30" t="str">
        <x:v>F201</x:v>
      </x:c>
      <x:c r="C4763" s="30" t="str">
        <x:v>task.status</x:v>
      </x:c>
      <x:c r="D4763" s="30" t="str">
        <x:v>直接效果</x:v>
      </x:c>
      <x:c r="E4763" s="30" t="str">
        <x:v>经实际执行/回执提交；不是规划时提前修改</x:v>
      </x:c>
    </x:row>
    <x:row r="4764" ht="32" customHeight="1">
      <x:c r="A4764" s="30" t="str">
        <x:v>A054</x:v>
      </x:c>
      <x:c r="B4764" s="30" t="str">
        <x:v>F210</x:v>
      </x:c>
      <x:c r="C4764" s="30" t="str">
        <x:v>task.progress</x:v>
      </x:c>
      <x:c r="D4764" s="30" t="str">
        <x:v>直接效果</x:v>
      </x:c>
      <x:c r="E4764" s="30" t="str">
        <x:v>经实际执行/回执提交；不是规划时提前修改</x:v>
      </x:c>
    </x:row>
    <x:row r="4765" ht="32" customHeight="1">
      <x:c r="A4765" s="30" t="str">
        <x:v>A054</x:v>
      </x:c>
      <x:c r="B4765" s="30" t="str">
        <x:v>F216</x:v>
      </x:c>
      <x:c r="C4765" s="30" t="str">
        <x:v>task.result_evidence_ids</x:v>
      </x:c>
      <x:c r="D4765" s="30" t="str">
        <x:v>直接效果</x:v>
      </x:c>
      <x:c r="E4765" s="30" t="str">
        <x:v>经实际执行/回执提交；不是规划时提前修改</x:v>
      </x:c>
    </x:row>
    <x:row r="4766" ht="32" customHeight="1">
      <x:c r="A4766" s="30" t="str">
        <x:v>A054</x:v>
      </x:c>
      <x:c r="B4766" s="30" t="str">
        <x:v>F217</x:v>
      </x:c>
      <x:c r="C4766" s="30" t="str">
        <x:v>task.failure_reason</x:v>
      </x:c>
      <x:c r="D4766" s="30" t="str">
        <x:v>直接效果</x:v>
      </x:c>
      <x:c r="E4766" s="30" t="str">
        <x:v>经实际执行/回执提交；不是规划时提前修改</x:v>
      </x:c>
    </x:row>
    <x:row r="4767" ht="32" customHeight="1">
      <x:c r="A4767" s="30" t="str">
        <x:v>A055</x:v>
      </x:c>
      <x:c r="B4767" s="30" t="str">
        <x:v>F095</x:v>
      </x:c>
      <x:c r="C4767" s="30" t="str">
        <x:v>platform.kind</x:v>
      </x:c>
      <x:c r="D4767" s="30" t="str">
        <x:v>候选输入schema</x:v>
      </x:c>
      <x:c r="E4767" s="30" t="str">
        <x:v>按执行角色权限读取；策略只能使用可访问快照</x:v>
      </x:c>
    </x:row>
    <x:row r="4768" ht="32" customHeight="1">
      <x:c r="A4768" s="30" t="str">
        <x:v>A055</x:v>
      </x:c>
      <x:c r="B4768" s="30" t="str">
        <x:v>F096</x:v>
      </x:c>
      <x:c r="C4768" s="30" t="str">
        <x:v>platform.capability_ids</x:v>
      </x:c>
      <x:c r="D4768" s="30" t="str">
        <x:v>候选输入schema</x:v>
      </x:c>
      <x:c r="E4768" s="30" t="str">
        <x:v>按执行角色权限读取；策略只能使用可访问快照</x:v>
      </x:c>
    </x:row>
    <x:row r="4769" ht="32" customHeight="1">
      <x:c r="A4769" s="30" t="str">
        <x:v>A055</x:v>
      </x:c>
      <x:c r="B4769" s="30" t="str">
        <x:v>F097</x:v>
      </x:c>
      <x:c r="C4769" s="30" t="str">
        <x:v>platform.equipment_ids</x:v>
      </x:c>
      <x:c r="D4769" s="30" t="str">
        <x:v>候选输入schema</x:v>
      </x:c>
      <x:c r="E4769" s="30" t="str">
        <x:v>按执行角色权限读取；策略只能使用可访问快照</x:v>
      </x:c>
    </x:row>
    <x:row r="4770" ht="32" customHeight="1">
      <x:c r="A4770" s="30" t="str">
        <x:v>A055</x:v>
      </x:c>
      <x:c r="B4770" s="30" t="str">
        <x:v>F098</x:v>
      </x:c>
      <x:c r="C4770" s="30" t="str">
        <x:v>platform.width_m</x:v>
      </x:c>
      <x:c r="D4770" s="30" t="str">
        <x:v>候选输入schema</x:v>
      </x:c>
      <x:c r="E4770" s="30" t="str">
        <x:v>按执行角色权限读取；策略只能使用可访问快照</x:v>
      </x:c>
    </x:row>
    <x:row r="4771" ht="32" customHeight="1">
      <x:c r="A4771" s="30" t="str">
        <x:v>A055</x:v>
      </x:c>
      <x:c r="B4771" s="30" t="str">
        <x:v>F099</x:v>
      </x:c>
      <x:c r="C4771" s="30" t="str">
        <x:v>platform.height_m</x:v>
      </x:c>
      <x:c r="D4771" s="30" t="str">
        <x:v>候选输入schema</x:v>
      </x:c>
      <x:c r="E4771" s="30" t="str">
        <x:v>按执行角色权限读取；策略只能使用可访问快照</x:v>
      </x:c>
    </x:row>
    <x:row r="4772" ht="32" customHeight="1">
      <x:c r="A4772" s="30" t="str">
        <x:v>A055</x:v>
      </x:c>
      <x:c r="B4772" s="30" t="str">
        <x:v>F100</x:v>
      </x:c>
      <x:c r="C4772" s="30" t="str">
        <x:v>platform.swept_radius_m</x:v>
      </x:c>
      <x:c r="D4772" s="30" t="str">
        <x:v>候选输入schema</x:v>
      </x:c>
      <x:c r="E4772" s="30" t="str">
        <x:v>按执行角色权限读取；策略只能使用可访问快照</x:v>
      </x:c>
    </x:row>
    <x:row r="4773" ht="32" customHeight="1">
      <x:c r="A4773" s="30" t="str">
        <x:v>A055</x:v>
      </x:c>
      <x:c r="B4773" s="30" t="str">
        <x:v>F101</x:v>
      </x:c>
      <x:c r="C4773" s="30" t="str">
        <x:v>platform.payload_capacity_kg</x:v>
      </x:c>
      <x:c r="D4773" s="30" t="str">
        <x:v>候选输入schema</x:v>
      </x:c>
      <x:c r="E4773" s="30" t="str">
        <x:v>按执行角色权限读取；策略只能使用可访问快照</x:v>
      </x:c>
    </x:row>
    <x:row r="4774" ht="32" customHeight="1">
      <x:c r="A4774" s="30" t="str">
        <x:v>A055</x:v>
      </x:c>
      <x:c r="B4774" s="30" t="str">
        <x:v>F102</x:v>
      </x:c>
      <x:c r="C4774" s="30" t="str">
        <x:v>platform.payload_used_kg</x:v>
      </x:c>
      <x:c r="D4774" s="30" t="str">
        <x:v>候选输入schema</x:v>
      </x:c>
      <x:c r="E4774" s="30" t="str">
        <x:v>按执行角色权限读取；策略只能使用可访问快照</x:v>
      </x:c>
    </x:row>
    <x:row r="4775" ht="32" customHeight="1">
      <x:c r="A4775" s="30" t="str">
        <x:v>A055</x:v>
      </x:c>
      <x:c r="B4775" s="30" t="str">
        <x:v>F103</x:v>
      </x:c>
      <x:c r="C4775" s="30" t="str">
        <x:v>platform.payload_item_ids</x:v>
      </x:c>
      <x:c r="D4775" s="30" t="str">
        <x:v>候选输入schema</x:v>
      </x:c>
      <x:c r="E4775" s="30" t="str">
        <x:v>按执行角色权限读取；策略只能使用可访问快照</x:v>
      </x:c>
    </x:row>
    <x:row r="4776" ht="32" customHeight="1">
      <x:c r="A4776" s="30" t="str">
        <x:v>A055</x:v>
      </x:c>
      <x:c r="B4776" s="30" t="str">
        <x:v>F104</x:v>
      </x:c>
      <x:c r="C4776" s="30" t="str">
        <x:v>platform.battery_capacity_Wh</x:v>
      </x:c>
      <x:c r="D4776" s="30" t="str">
        <x:v>候选输入schema</x:v>
      </x:c>
      <x:c r="E4776" s="30" t="str">
        <x:v>按执行角色权限读取；策略只能使用可访问快照</x:v>
      </x:c>
    </x:row>
    <x:row r="4777" ht="32" customHeight="1">
      <x:c r="A4777" s="30" t="str">
        <x:v>A055</x:v>
      </x:c>
      <x:c r="B4777" s="30" t="str">
        <x:v>F105</x:v>
      </x:c>
      <x:c r="C4777" s="30" t="str">
        <x:v>platform.battery_remaining_Wh</x:v>
      </x:c>
      <x:c r="D4777" s="30" t="str">
        <x:v>候选输入schema</x:v>
      </x:c>
      <x:c r="E4777" s="30" t="str">
        <x:v>按执行角色权限读取；策略只能使用可访问快照</x:v>
      </x:c>
    </x:row>
    <x:row r="4778" ht="32" customHeight="1">
      <x:c r="A4778" s="30" t="str">
        <x:v>A055</x:v>
      </x:c>
      <x:c r="B4778" s="30" t="str">
        <x:v>F106</x:v>
      </x:c>
      <x:c r="C4778" s="30" t="str">
        <x:v>platform.reserve_Wh</x:v>
      </x:c>
      <x:c r="D4778" s="30" t="str">
        <x:v>候选输入schema</x:v>
      </x:c>
      <x:c r="E4778" s="30" t="str">
        <x:v>按执行角色权限读取；策略只能使用可访问快照</x:v>
      </x:c>
    </x:row>
    <x:row r="4779" ht="32" customHeight="1">
      <x:c r="A4779" s="30" t="str">
        <x:v>A055</x:v>
      </x:c>
      <x:c r="B4779" s="30" t="str">
        <x:v>F107</x:v>
      </x:c>
      <x:c r="C4779" s="30" t="str">
        <x:v>platform.speed_limit_mps</x:v>
      </x:c>
      <x:c r="D4779" s="30" t="str">
        <x:v>候选输入schema</x:v>
      </x:c>
      <x:c r="E4779" s="30" t="str">
        <x:v>按执行角色权限读取；策略只能使用可访问快照</x:v>
      </x:c>
    </x:row>
    <x:row r="4780" ht="32" customHeight="1">
      <x:c r="A4780" s="30" t="str">
        <x:v>A055</x:v>
      </x:c>
      <x:c r="B4780" s="30" t="str">
        <x:v>F108</x:v>
      </x:c>
      <x:c r="C4780" s="30" t="str">
        <x:v>platform.energy_model</x:v>
      </x:c>
      <x:c r="D4780" s="30" t="str">
        <x:v>候选输入schema</x:v>
      </x:c>
      <x:c r="E4780" s="30" t="str">
        <x:v>按执行角色权限读取；策略只能使用可访问快照</x:v>
      </x:c>
    </x:row>
    <x:row r="4781" ht="32" customHeight="1">
      <x:c r="A4781" s="30" t="str">
        <x:v>A055</x:v>
      </x:c>
      <x:c r="B4781" s="30" t="str">
        <x:v>F109</x:v>
      </x:c>
      <x:c r="C4781" s="30" t="str">
        <x:v>platform.motion_state</x:v>
      </x:c>
      <x:c r="D4781" s="30" t="str">
        <x:v>候选输入schema</x:v>
      </x:c>
      <x:c r="E4781" s="30" t="str">
        <x:v>按执行角色权限读取；策略只能使用可访问快照</x:v>
      </x:c>
    </x:row>
    <x:row r="4782" ht="32" customHeight="1">
      <x:c r="A4782" s="30" t="str">
        <x:v>A055</x:v>
      </x:c>
      <x:c r="B4782" s="30" t="str">
        <x:v>F110</x:v>
      </x:c>
      <x:c r="C4782" s="30" t="str">
        <x:v>platform.health_state</x:v>
      </x:c>
      <x:c r="D4782" s="30" t="str">
        <x:v>候选输入schema</x:v>
      </x:c>
      <x:c r="E4782" s="30" t="str">
        <x:v>按执行角色权限读取；策略只能使用可访问快照</x:v>
      </x:c>
    </x:row>
    <x:row r="4783" ht="32" customHeight="1">
      <x:c r="A4783" s="30" t="str">
        <x:v>A055</x:v>
      </x:c>
      <x:c r="B4783" s="30" t="str">
        <x:v>F111</x:v>
      </x:c>
      <x:c r="C4783" s="30" t="str">
        <x:v>platform.current_action_id</x:v>
      </x:c>
      <x:c r="D4783" s="30" t="str">
        <x:v>候选输入schema</x:v>
      </x:c>
      <x:c r="E4783" s="30" t="str">
        <x:v>按执行角色权限读取；策略只能使用可访问快照</x:v>
      </x:c>
    </x:row>
    <x:row r="4784" ht="32" customHeight="1">
      <x:c r="A4784" s="30" t="str">
        <x:v>A055</x:v>
      </x:c>
      <x:c r="B4784" s="30" t="str">
        <x:v>F112</x:v>
      </x:c>
      <x:c r="C4784" s="30" t="str">
        <x:v>platform.busy_until_est_s</x:v>
      </x:c>
      <x:c r="D4784" s="30" t="str">
        <x:v>候选输入schema</x:v>
      </x:c>
      <x:c r="E4784" s="30" t="str">
        <x:v>按执行角色权限读取；策略只能使用可访问快照</x:v>
      </x:c>
    </x:row>
    <x:row r="4785" ht="32" customHeight="1">
      <x:c r="A4785" s="30" t="str">
        <x:v>A055</x:v>
      </x:c>
      <x:c r="B4785" s="30" t="str">
        <x:v>F113</x:v>
      </x:c>
      <x:c r="C4785" s="30" t="str">
        <x:v>platform.return_site_id</x:v>
      </x:c>
      <x:c r="D4785" s="30" t="str">
        <x:v>候选输入schema</x:v>
      </x:c>
      <x:c r="E4785" s="30" t="str">
        <x:v>按执行角色权限读取；策略只能使用可访问快照</x:v>
      </x:c>
    </x:row>
    <x:row r="4786" ht="32" customHeight="1">
      <x:c r="A4786" s="30" t="str">
        <x:v>A055</x:v>
      </x:c>
      <x:c r="B4786" s="30" t="str">
        <x:v>F114</x:v>
      </x:c>
      <x:c r="C4786" s="30" t="str">
        <x:v>platform.water_tolerance_m</x:v>
      </x:c>
      <x:c r="D4786" s="30" t="str">
        <x:v>候选输入schema</x:v>
      </x:c>
      <x:c r="E4786" s="30" t="str">
        <x:v>按执行角色权限读取；策略只能使用可访问快照</x:v>
      </x:c>
    </x:row>
    <x:row r="4787" ht="32" customHeight="1">
      <x:c r="A4787" s="30" t="str">
        <x:v>A055</x:v>
      </x:c>
      <x:c r="B4787" s="30" t="str">
        <x:v>F115</x:v>
      </x:c>
      <x:c r="C4787" s="30" t="str">
        <x:v>platform.concurrency_policy</x:v>
      </x:c>
      <x:c r="D4787" s="30" t="str">
        <x:v>候选输入schema</x:v>
      </x:c>
      <x:c r="E4787" s="30" t="str">
        <x:v>按执行角色权限读取；策略只能使用可访问快照</x:v>
      </x:c>
    </x:row>
    <x:row r="4788" ht="32" customHeight="1">
      <x:c r="A4788" s="30" t="str">
        <x:v>A055</x:v>
      </x:c>
      <x:c r="B4788" s="30" t="str">
        <x:v>F116</x:v>
      </x:c>
      <x:c r="C4788" s="30" t="str">
        <x:v>equipment.kind</x:v>
      </x:c>
      <x:c r="D4788" s="30" t="str">
        <x:v>候选输入schema</x:v>
      </x:c>
      <x:c r="E4788" s="30" t="str">
        <x:v>按执行角色权限读取；策略只能使用可访问快照</x:v>
      </x:c>
    </x:row>
    <x:row r="4789" ht="32" customHeight="1">
      <x:c r="A4789" s="30" t="str">
        <x:v>A055</x:v>
      </x:c>
      <x:c r="B4789" s="30" t="str">
        <x:v>F117</x:v>
      </x:c>
      <x:c r="C4789" s="30" t="str">
        <x:v>equipment.enabled</x:v>
      </x:c>
      <x:c r="D4789" s="30" t="str">
        <x:v>候选输入schema</x:v>
      </x:c>
      <x:c r="E4789" s="30" t="str">
        <x:v>按执行角色权限读取；策略只能使用可访问快照</x:v>
      </x:c>
    </x:row>
    <x:row r="4790" ht="32" customHeight="1">
      <x:c r="A4790" s="30" t="str">
        <x:v>A055</x:v>
      </x:c>
      <x:c r="B4790" s="30" t="str">
        <x:v>F118</x:v>
      </x:c>
      <x:c r="C4790" s="30" t="str">
        <x:v>equipment.health</x:v>
      </x:c>
      <x:c r="D4790" s="30" t="str">
        <x:v>候选输入schema</x:v>
      </x:c>
      <x:c r="E4790" s="30" t="str">
        <x:v>按执行角色权限读取；策略只能使用可访问快照</x:v>
      </x:c>
    </x:row>
    <x:row r="4791" ht="32" customHeight="1">
      <x:c r="A4791" s="30" t="str">
        <x:v>A055</x:v>
      </x:c>
      <x:c r="B4791" s="30" t="str">
        <x:v>F119</x:v>
      </x:c>
      <x:c r="C4791" s="30" t="str">
        <x:v>equipment.rated_load_kg</x:v>
      </x:c>
      <x:c r="D4791" s="30" t="str">
        <x:v>候选输入schema</x:v>
      </x:c>
      <x:c r="E4791" s="30" t="str">
        <x:v>按执行角色权限读取；策略只能使用可访问快照</x:v>
      </x:c>
    </x:row>
    <x:row r="4792" ht="32" customHeight="1">
      <x:c r="A4792" s="30" t="str">
        <x:v>A055</x:v>
      </x:c>
      <x:c r="B4792" s="30" t="str">
        <x:v>F120</x:v>
      </x:c>
      <x:c r="C4792" s="30" t="str">
        <x:v>equipment.reach_m</x:v>
      </x:c>
      <x:c r="D4792" s="30" t="str">
        <x:v>候选输入schema</x:v>
      </x:c>
      <x:c r="E4792" s="30" t="str">
        <x:v>按执行角色权限读取；策略只能使用可访问快照</x:v>
      </x:c>
    </x:row>
    <x:row r="4793" ht="32" customHeight="1">
      <x:c r="A4793" s="30" t="str">
        <x:v>A055</x:v>
      </x:c>
      <x:c r="B4793" s="30" t="str">
        <x:v>F121</x:v>
      </x:c>
      <x:c r="C4793" s="30" t="str">
        <x:v>equipment.compatible_materials</x:v>
      </x:c>
      <x:c r="D4793" s="30" t="str">
        <x:v>候选输入schema</x:v>
      </x:c>
      <x:c r="E4793" s="30" t="str">
        <x:v>按执行角色权限读取；策略只能使用可访问快照</x:v>
      </x:c>
    </x:row>
    <x:row r="4794" ht="32" customHeight="1">
      <x:c r="A4794" s="30" t="str">
        <x:v>A055</x:v>
      </x:c>
      <x:c r="B4794" s="30" t="str">
        <x:v>F122</x:v>
      </x:c>
      <x:c r="C4794" s="30" t="str">
        <x:v>equipment.tool_size</x:v>
      </x:c>
      <x:c r="D4794" s="30" t="str">
        <x:v>候选输入schema</x:v>
      </x:c>
      <x:c r="E4794" s="30" t="str">
        <x:v>按执行角色权限读取；策略只能使用可访问快照</x:v>
      </x:c>
    </x:row>
    <x:row r="4795" ht="32" customHeight="1">
      <x:c r="A4795" s="30" t="str">
        <x:v>A055</x:v>
      </x:c>
      <x:c r="B4795" s="30" t="str">
        <x:v>F123</x:v>
      </x:c>
      <x:c r="C4795" s="30" t="str">
        <x:v>equipment.consumable_type</x:v>
      </x:c>
      <x:c r="D4795" s="30" t="str">
        <x:v>候选输入schema</x:v>
      </x:c>
      <x:c r="E4795" s="30" t="str">
        <x:v>按执行角色权限读取；策略只能使用可访问快照</x:v>
      </x:c>
    </x:row>
    <x:row r="4796" ht="32" customHeight="1">
      <x:c r="A4796" s="30" t="str">
        <x:v>A055</x:v>
      </x:c>
      <x:c r="B4796" s="30" t="str">
        <x:v>F124</x:v>
      </x:c>
      <x:c r="C4796" s="30" t="str">
        <x:v>equipment.consumable_remaining</x:v>
      </x:c>
      <x:c r="D4796" s="30" t="str">
        <x:v>候选输入schema</x:v>
      </x:c>
      <x:c r="E4796" s="30" t="str">
        <x:v>按执行角色权限读取；策略只能使用可访问快照</x:v>
      </x:c>
    </x:row>
    <x:row r="4797" ht="32" customHeight="1">
      <x:c r="A4797" s="30" t="str">
        <x:v>A055</x:v>
      </x:c>
      <x:c r="B4797" s="30" t="str">
        <x:v>F125</x:v>
      </x:c>
      <x:c r="C4797" s="30" t="str">
        <x:v>equipment.operator_authority</x:v>
      </x:c>
      <x:c r="D4797" s="30" t="str">
        <x:v>候选输入schema</x:v>
      </x:c>
      <x:c r="E4797" s="30" t="str">
        <x:v>按执行角色权限读取；策略只能使用可访问快照</x:v>
      </x:c>
    </x:row>
    <x:row r="4798" ht="32" customHeight="1">
      <x:c r="A4798" s="30" t="str">
        <x:v>A055</x:v>
      </x:c>
      <x:c r="B4798" s="30" t="str">
        <x:v>F126</x:v>
      </x:c>
      <x:c r="C4798" s="30" t="str">
        <x:v>equipment.setup_state</x:v>
      </x:c>
      <x:c r="D4798" s="30" t="str">
        <x:v>候选输入schema</x:v>
      </x:c>
      <x:c r="E4798" s="30" t="str">
        <x:v>按执行角色权限读取；策略只能使用可访问快照</x:v>
      </x:c>
    </x:row>
    <x:row r="4799" ht="32" customHeight="1">
      <x:c r="A4799" s="30" t="str">
        <x:v>A055</x:v>
      </x:c>
      <x:c r="B4799" s="30" t="str">
        <x:v>F127</x:v>
      </x:c>
      <x:c r="C4799" s="30" t="str">
        <x:v>equipment.busy_action_id</x:v>
      </x:c>
      <x:c r="D4799" s="30" t="str">
        <x:v>候选输入schema</x:v>
      </x:c>
      <x:c r="E4799" s="30" t="str">
        <x:v>按执行角色权限读取；策略只能使用可访问快照</x:v>
      </x:c>
    </x:row>
    <x:row r="4800" ht="32" customHeight="1">
      <x:c r="A4800" s="30" t="str">
        <x:v>A055</x:v>
      </x:c>
      <x:c r="B4800" s="30" t="str">
        <x:v>F196</x:v>
      </x:c>
      <x:c r="C4800" s="30" t="str">
        <x:v>task.type</x:v>
      </x:c>
      <x:c r="D4800" s="30" t="str">
        <x:v>候选输入schema</x:v>
      </x:c>
      <x:c r="E4800" s="30" t="str">
        <x:v>按执行角色权限读取；策略只能使用可访问快照</x:v>
      </x:c>
    </x:row>
    <x:row r="4801" ht="32" customHeight="1">
      <x:c r="A4801" s="30" t="str">
        <x:v>A055</x:v>
      </x:c>
      <x:c r="B4801" s="30" t="str">
        <x:v>F197</x:v>
      </x:c>
      <x:c r="C4801" s="30" t="str">
        <x:v>task.creator_id</x:v>
      </x:c>
      <x:c r="D4801" s="30" t="str">
        <x:v>候选输入schema</x:v>
      </x:c>
      <x:c r="E4801" s="30" t="str">
        <x:v>按执行角色权限读取；策略只能使用可访问快照</x:v>
      </x:c>
    </x:row>
    <x:row r="4802" ht="32" customHeight="1">
      <x:c r="A4802" s="30" t="str">
        <x:v>A055</x:v>
      </x:c>
      <x:c r="B4802" s="30" t="str">
        <x:v>F198</x:v>
      </x:c>
      <x:c r="C4802" s="30" t="str">
        <x:v>task.target_ref</x:v>
      </x:c>
      <x:c r="D4802" s="30" t="str">
        <x:v>候选输入schema</x:v>
      </x:c>
      <x:c r="E4802" s="30" t="str">
        <x:v>按执行角色权限读取；策略只能使用可访问快照</x:v>
      </x:c>
    </x:row>
    <x:row r="4803" ht="32" customHeight="1">
      <x:c r="A4803" s="30" t="str">
        <x:v>A055</x:v>
      </x:c>
      <x:c r="B4803" s="30" t="str">
        <x:v>F199</x:v>
      </x:c>
      <x:c r="C4803" s="30" t="str">
        <x:v>task.goal_predicate</x:v>
      </x:c>
      <x:c r="D4803" s="30" t="str">
        <x:v>候选输入schema</x:v>
      </x:c>
      <x:c r="E4803" s="30" t="str">
        <x:v>按执行角色权限读取；策略只能使用可访问快照</x:v>
      </x:c>
    </x:row>
    <x:row r="4804" ht="32" customHeight="1">
      <x:c r="A4804" s="30" t="str">
        <x:v>A055</x:v>
      </x:c>
      <x:c r="B4804" s="30" t="str">
        <x:v>F200</x:v>
      </x:c>
      <x:c r="C4804" s="30" t="str">
        <x:v>task.revision</x:v>
      </x:c>
      <x:c r="D4804" s="30" t="str">
        <x:v>候选输入schema</x:v>
      </x:c>
      <x:c r="E4804" s="30" t="str">
        <x:v>按执行角色权限读取；策略只能使用可访问快照</x:v>
      </x:c>
    </x:row>
    <x:row r="4805" ht="32" customHeight="1">
      <x:c r="A4805" s="30" t="str">
        <x:v>A055</x:v>
      </x:c>
      <x:c r="B4805" s="30" t="str">
        <x:v>F201</x:v>
      </x:c>
      <x:c r="C4805" s="30" t="str">
        <x:v>task.status</x:v>
      </x:c>
      <x:c r="D4805" s="30" t="str">
        <x:v>候选输入schema</x:v>
      </x:c>
      <x:c r="E4805" s="30" t="str">
        <x:v>按执行角色权限读取；策略只能使用可访问快照</x:v>
      </x:c>
    </x:row>
    <x:row r="4806" ht="32" customHeight="1">
      <x:c r="A4806" s="30" t="str">
        <x:v>A055</x:v>
      </x:c>
      <x:c r="B4806" s="30" t="str">
        <x:v>F202</x:v>
      </x:c>
      <x:c r="C4806" s="30" t="str">
        <x:v>task.priority</x:v>
      </x:c>
      <x:c r="D4806" s="30" t="str">
        <x:v>候选输入schema</x:v>
      </x:c>
      <x:c r="E4806" s="30" t="str">
        <x:v>按执行角色权限读取；策略只能使用可访问快照</x:v>
      </x:c>
    </x:row>
    <x:row r="4807" ht="32" customHeight="1">
      <x:c r="A4807" s="30" t="str">
        <x:v>A055</x:v>
      </x:c>
      <x:c r="B4807" s="30" t="str">
        <x:v>F203</x:v>
      </x:c>
      <x:c r="C4807" s="30" t="str">
        <x:v>task.deadline_s</x:v>
      </x:c>
      <x:c r="D4807" s="30" t="str">
        <x:v>候选输入schema</x:v>
      </x:c>
      <x:c r="E4807" s="30" t="str">
        <x:v>按执行角色权限读取；策略只能使用可访问快照</x:v>
      </x:c>
    </x:row>
    <x:row r="4808" ht="32" customHeight="1">
      <x:c r="A4808" s="30" t="str">
        <x:v>A055</x:v>
      </x:c>
      <x:c r="B4808" s="30" t="str">
        <x:v>F204</x:v>
      </x:c>
      <x:c r="C4808" s="30" t="str">
        <x:v>task.dependency_ids</x:v>
      </x:c>
      <x:c r="D4808" s="30" t="str">
        <x:v>候选输入schema</x:v>
      </x:c>
      <x:c r="E4808" s="30" t="str">
        <x:v>按执行角色权限读取；策略只能使用可访问快照</x:v>
      </x:c>
    </x:row>
    <x:row r="4809" ht="32" customHeight="1">
      <x:c r="A4809" s="30" t="str">
        <x:v>A055</x:v>
      </x:c>
      <x:c r="B4809" s="30" t="str">
        <x:v>F205</x:v>
      </x:c>
      <x:c r="C4809" s="30" t="str">
        <x:v>task.required_capability_ids</x:v>
      </x:c>
      <x:c r="D4809" s="30" t="str">
        <x:v>候选输入schema</x:v>
      </x:c>
      <x:c r="E4809" s="30" t="str">
        <x:v>按执行角色权限读取；策略只能使用可访问快照</x:v>
      </x:c>
    </x:row>
    <x:row r="4810" ht="32" customHeight="1">
      <x:c r="A4810" s="30" t="str">
        <x:v>A055</x:v>
      </x:c>
      <x:c r="B4810" s="30" t="str">
        <x:v>F206</x:v>
      </x:c>
      <x:c r="C4810" s="30" t="str">
        <x:v>task.resource_budget</x:v>
      </x:c>
      <x:c r="D4810" s="30" t="str">
        <x:v>候选输入schema</x:v>
      </x:c>
      <x:c r="E4810" s="30" t="str">
        <x:v>按执行角色权限读取；策略只能使用可访问快照</x:v>
      </x:c>
    </x:row>
    <x:row r="4811" ht="32" customHeight="1">
      <x:c r="A4811" s="30" t="str">
        <x:v>A055</x:v>
      </x:c>
      <x:c r="B4811" s="30" t="str">
        <x:v>F207</x:v>
      </x:c>
      <x:c r="C4811" s="30" t="str">
        <x:v>task.assigned_to</x:v>
      </x:c>
      <x:c r="D4811" s="30" t="str">
        <x:v>候选输入schema</x:v>
      </x:c>
      <x:c r="E4811" s="30" t="str">
        <x:v>按执行角色权限读取；策略只能使用可访问快照</x:v>
      </x:c>
    </x:row>
    <x:row r="4812" ht="32" customHeight="1">
      <x:c r="A4812" s="30" t="str">
        <x:v>A055</x:v>
      </x:c>
      <x:c r="B4812" s="30" t="str">
        <x:v>F208</x:v>
      </x:c>
      <x:c r="C4812" s="30" t="str">
        <x:v>task.accepted_by</x:v>
      </x:c>
      <x:c r="D4812" s="30" t="str">
        <x:v>候选输入schema</x:v>
      </x:c>
      <x:c r="E4812" s="30" t="str">
        <x:v>按执行角色权限读取；策略只能使用可访问快照</x:v>
      </x:c>
    </x:row>
    <x:row r="4813" ht="32" customHeight="1">
      <x:c r="A4813" s="30" t="str">
        <x:v>A055</x:v>
      </x:c>
      <x:c r="B4813" s="30" t="str">
        <x:v>F209</x:v>
      </x:c>
      <x:c r="C4813" s="30" t="str">
        <x:v>task.commitment_window</x:v>
      </x:c>
      <x:c r="D4813" s="30" t="str">
        <x:v>候选输入schema</x:v>
      </x:c>
      <x:c r="E4813" s="30" t="str">
        <x:v>按执行角色权限读取；策略只能使用可访问快照</x:v>
      </x:c>
    </x:row>
    <x:row r="4814" ht="32" customHeight="1">
      <x:c r="A4814" s="30" t="str">
        <x:v>A055</x:v>
      </x:c>
      <x:c r="B4814" s="30" t="str">
        <x:v>F210</x:v>
      </x:c>
      <x:c r="C4814" s="30" t="str">
        <x:v>task.progress</x:v>
      </x:c>
      <x:c r="D4814" s="30" t="str">
        <x:v>候选输入schema</x:v>
      </x:c>
      <x:c r="E4814" s="30" t="str">
        <x:v>按执行角色权限读取；策略只能使用可访问快照</x:v>
      </x:c>
    </x:row>
    <x:row r="4815" ht="32" customHeight="1">
      <x:c r="A4815" s="30" t="str">
        <x:v>A055</x:v>
      </x:c>
      <x:c r="B4815" s="30" t="str">
        <x:v>F211</x:v>
      </x:c>
      <x:c r="C4815" s="30" t="str">
        <x:v>task.active_action_ids</x:v>
      </x:c>
      <x:c r="D4815" s="30" t="str">
        <x:v>候选输入schema</x:v>
      </x:c>
      <x:c r="E4815" s="30" t="str">
        <x:v>按执行角色权限读取；策略只能使用可访问快照</x:v>
      </x:c>
    </x:row>
    <x:row r="4816" ht="32" customHeight="1">
      <x:c r="A4816" s="30" t="str">
        <x:v>A055</x:v>
      </x:c>
      <x:c r="B4816" s="30" t="str">
        <x:v>F212</x:v>
      </x:c>
      <x:c r="C4816" s="30" t="str">
        <x:v>task.interruptibility</x:v>
      </x:c>
      <x:c r="D4816" s="30" t="str">
        <x:v>候选输入schema</x:v>
      </x:c>
      <x:c r="E4816" s="30" t="str">
        <x:v>按执行角色权限读取；策略只能使用可访问快照</x:v>
      </x:c>
    </x:row>
    <x:row r="4817" ht="32" customHeight="1">
      <x:c r="A4817" s="30" t="str">
        <x:v>A055</x:v>
      </x:c>
      <x:c r="B4817" s="30" t="str">
        <x:v>F213</x:v>
      </x:c>
      <x:c r="C4817" s="30" t="str">
        <x:v>task.original_task_id</x:v>
      </x:c>
      <x:c r="D4817" s="30" t="str">
        <x:v>候选输入schema</x:v>
      </x:c>
      <x:c r="E4817" s="30" t="str">
        <x:v>按执行角色权限读取；策略只能使用可访问快照</x:v>
      </x:c>
    </x:row>
    <x:row r="4818" ht="32" customHeight="1">
      <x:c r="A4818" s="30" t="str">
        <x:v>A055</x:v>
      </x:c>
      <x:c r="B4818" s="30" t="str">
        <x:v>F214</x:v>
      </x:c>
      <x:c r="C4818" s="30" t="str">
        <x:v>task.resume_checkpoint</x:v>
      </x:c>
      <x:c r="D4818" s="30" t="str">
        <x:v>候选输入schema</x:v>
      </x:c>
      <x:c r="E4818" s="30" t="str">
        <x:v>按执行角色权限读取；策略只能使用可访问快照</x:v>
      </x:c>
    </x:row>
    <x:row r="4819" ht="32" customHeight="1">
      <x:c r="A4819" s="30" t="str">
        <x:v>A055</x:v>
      </x:c>
      <x:c r="B4819" s="30" t="str">
        <x:v>F215</x:v>
      </x:c>
      <x:c r="C4819" s="30" t="str">
        <x:v>task.handoff_target_id</x:v>
      </x:c>
      <x:c r="D4819" s="30" t="str">
        <x:v>候选输入schema</x:v>
      </x:c>
      <x:c r="E4819" s="30" t="str">
        <x:v>按执行角色权限读取；策略只能使用可访问快照</x:v>
      </x:c>
    </x:row>
    <x:row r="4820" ht="32" customHeight="1">
      <x:c r="A4820" s="30" t="str">
        <x:v>A055</x:v>
      </x:c>
      <x:c r="B4820" s="30" t="str">
        <x:v>F216</x:v>
      </x:c>
      <x:c r="C4820" s="30" t="str">
        <x:v>task.result_evidence_ids</x:v>
      </x:c>
      <x:c r="D4820" s="30" t="str">
        <x:v>候选输入schema</x:v>
      </x:c>
      <x:c r="E4820" s="30" t="str">
        <x:v>按执行角色权限读取；策略只能使用可访问快照</x:v>
      </x:c>
    </x:row>
    <x:row r="4821" ht="32" customHeight="1">
      <x:c r="A4821" s="30" t="str">
        <x:v>A055</x:v>
      </x:c>
      <x:c r="B4821" s="30" t="str">
        <x:v>F217</x:v>
      </x:c>
      <x:c r="C4821" s="30" t="str">
        <x:v>task.failure_reason</x:v>
      </x:c>
      <x:c r="D4821" s="30" t="str">
        <x:v>候选输入schema</x:v>
      </x:c>
      <x:c r="E4821" s="30" t="str">
        <x:v>按执行角色权限读取；策略只能使用可访问快照</x:v>
      </x:c>
    </x:row>
    <x:row r="4822" ht="32" customHeight="1">
      <x:c r="A4822" s="30" t="str">
        <x:v>A055</x:v>
      </x:c>
      <x:c r="B4822" s="30" t="str">
        <x:v>F218</x:v>
      </x:c>
      <x:c r="C4822" s="30" t="str">
        <x:v>task.last_event_s</x:v>
      </x:c>
      <x:c r="D4822" s="30" t="str">
        <x:v>候选输入schema</x:v>
      </x:c>
      <x:c r="E4822" s="30" t="str">
        <x:v>按执行角色权限读取；策略只能使用可访问快照</x:v>
      </x:c>
    </x:row>
    <x:row r="4823" ht="32" customHeight="1">
      <x:c r="A4823" s="30" t="str">
        <x:v>A055</x:v>
      </x:c>
      <x:c r="B4823" s="30" t="str">
        <x:v>F219</x:v>
      </x:c>
      <x:c r="C4823" s="30" t="str">
        <x:v>task.opportunity_cost</x:v>
      </x:c>
      <x:c r="D4823" s="30" t="str">
        <x:v>候选输入schema</x:v>
      </x:c>
      <x:c r="E4823" s="30" t="str">
        <x:v>按执行角色权限读取；策略只能使用可访问快照</x:v>
      </x:c>
    </x:row>
    <x:row r="4824" ht="32" customHeight="1">
      <x:c r="A4824" s="30" t="str">
        <x:v>A055</x:v>
      </x:c>
      <x:c r="B4824" s="30" t="str">
        <x:v>F230</x:v>
      </x:c>
      <x:c r="C4824" s="30" t="str">
        <x:v>action.type</x:v>
      </x:c>
      <x:c r="D4824" s="30" t="str">
        <x:v>候选输入schema</x:v>
      </x:c>
      <x:c r="E4824" s="30" t="str">
        <x:v>按执行角色权限读取；策略只能使用可访问快照</x:v>
      </x:c>
    </x:row>
    <x:row r="4825" ht="32" customHeight="1">
      <x:c r="A4825" s="30" t="str">
        <x:v>A055</x:v>
      </x:c>
      <x:c r="B4825" s="30" t="str">
        <x:v>F231</x:v>
      </x:c>
      <x:c r="C4825" s="30" t="str">
        <x:v>action.executor_id</x:v>
      </x:c>
      <x:c r="D4825" s="30" t="str">
        <x:v>候选输入schema</x:v>
      </x:c>
      <x:c r="E4825" s="30" t="str">
        <x:v>按执行角色权限读取；策略只能使用可访问快照</x:v>
      </x:c>
    </x:row>
    <x:row r="4826" ht="32" customHeight="1">
      <x:c r="A4826" s="30" t="str">
        <x:v>A055</x:v>
      </x:c>
      <x:c r="B4826" s="30" t="str">
        <x:v>F232</x:v>
      </x:c>
      <x:c r="C4826" s="30" t="str">
        <x:v>action.task_ref</x:v>
      </x:c>
      <x:c r="D4826" s="30" t="str">
        <x:v>候选输入schema</x:v>
      </x:c>
      <x:c r="E4826" s="30" t="str">
        <x:v>按执行角色权限读取；策略只能使用可访问快照</x:v>
      </x:c>
    </x:row>
    <x:row r="4827" ht="32" customHeight="1">
      <x:c r="A4827" s="30" t="str">
        <x:v>A055</x:v>
      </x:c>
      <x:c r="B4827" s="30" t="str">
        <x:v>F233</x:v>
      </x:c>
      <x:c r="C4827" s="30" t="str">
        <x:v>action.target_ref</x:v>
      </x:c>
      <x:c r="D4827" s="30" t="str">
        <x:v>候选输入schema</x:v>
      </x:c>
      <x:c r="E4827" s="30" t="str">
        <x:v>按执行角色权限读取；策略只能使用可访问快照</x:v>
      </x:c>
    </x:row>
    <x:row r="4828" ht="32" customHeight="1">
      <x:c r="A4828" s="30" t="str">
        <x:v>A055</x:v>
      </x:c>
      <x:c r="B4828" s="30" t="str">
        <x:v>F234</x:v>
      </x:c>
      <x:c r="C4828" s="30" t="str">
        <x:v>action.parameters</x:v>
      </x:c>
      <x:c r="D4828" s="30" t="str">
        <x:v>候选输入schema</x:v>
      </x:c>
      <x:c r="E4828" s="30" t="str">
        <x:v>按执行角色权限读取；策略只能使用可访问快照</x:v>
      </x:c>
    </x:row>
    <x:row r="4829" ht="32" customHeight="1">
      <x:c r="A4829" s="30" t="str">
        <x:v>A055</x:v>
      </x:c>
      <x:c r="B4829" s="30" t="str">
        <x:v>F235</x:v>
      </x:c>
      <x:c r="C4829" s="30" t="str">
        <x:v>action.status</x:v>
      </x:c>
      <x:c r="D4829" s="30" t="str">
        <x:v>候选输入schema</x:v>
      </x:c>
      <x:c r="E4829" s="30" t="str">
        <x:v>按执行角色权限读取；策略只能使用可访问快照</x:v>
      </x:c>
    </x:row>
    <x:row r="4830" ht="32" customHeight="1">
      <x:c r="A4830" s="30" t="str">
        <x:v>A055</x:v>
      </x:c>
      <x:c r="B4830" s="30" t="str">
        <x:v>F236</x:v>
      </x:c>
      <x:c r="C4830" s="30" t="str">
        <x:v>action.start_s</x:v>
      </x:c>
      <x:c r="D4830" s="30" t="str">
        <x:v>候选输入schema</x:v>
      </x:c>
      <x:c r="E4830" s="30" t="str">
        <x:v>按执行角色权限读取；策略只能使用可访问快照</x:v>
      </x:c>
    </x:row>
    <x:row r="4831" ht="32" customHeight="1">
      <x:c r="A4831" s="30" t="str">
        <x:v>A055</x:v>
      </x:c>
      <x:c r="B4831" s="30" t="str">
        <x:v>F237</x:v>
      </x:c>
      <x:c r="C4831" s="30" t="str">
        <x:v>action.finish_s</x:v>
      </x:c>
      <x:c r="D4831" s="30" t="str">
        <x:v>候选输入schema</x:v>
      </x:c>
      <x:c r="E4831" s="30" t="str">
        <x:v>按执行角色权限读取；策略只能使用可访问快照</x:v>
      </x:c>
    </x:row>
    <x:row r="4832" ht="32" customHeight="1">
      <x:c r="A4832" s="30" t="str">
        <x:v>A055</x:v>
      </x:c>
      <x:c r="B4832" s="30" t="str">
        <x:v>F238</x:v>
      </x:c>
      <x:c r="C4832" s="30" t="str">
        <x:v>action.reserved_resources</x:v>
      </x:c>
      <x:c r="D4832" s="30" t="str">
        <x:v>候选输入schema</x:v>
      </x:c>
      <x:c r="E4832" s="30" t="str">
        <x:v>按执行角色权限读取；策略只能使用可访问快照</x:v>
      </x:c>
    </x:row>
    <x:row r="4833" ht="32" customHeight="1">
      <x:c r="A4833" s="30" t="str">
        <x:v>A055</x:v>
      </x:c>
      <x:c r="B4833" s="30" t="str">
        <x:v>F239</x:v>
      </x:c>
      <x:c r="C4833" s="30" t="str">
        <x:v>action.consumed_resources</x:v>
      </x:c>
      <x:c r="D4833" s="30" t="str">
        <x:v>候选输入schema</x:v>
      </x:c>
      <x:c r="E4833" s="30" t="str">
        <x:v>按执行角色权限读取；策略只能使用可访问快照</x:v>
      </x:c>
    </x:row>
    <x:row r="4834" ht="32" customHeight="1">
      <x:c r="A4834" s="30" t="str">
        <x:v>A055</x:v>
      </x:c>
      <x:c r="B4834" s="30" t="str">
        <x:v>F240</x:v>
      </x:c>
      <x:c r="C4834" s="30" t="str">
        <x:v>action.feedback</x:v>
      </x:c>
      <x:c r="D4834" s="30" t="str">
        <x:v>候选输入schema</x:v>
      </x:c>
      <x:c r="E4834" s="30" t="str">
        <x:v>按执行角色权限读取；策略只能使用可访问快照</x:v>
      </x:c>
    </x:row>
    <x:row r="4835" ht="32" customHeight="1">
      <x:c r="A4835" s="30" t="str">
        <x:v>A055</x:v>
      </x:c>
      <x:c r="B4835" s="30" t="str">
        <x:v>F241</x:v>
      </x:c>
      <x:c r="C4835" s="30" t="str">
        <x:v>action.result</x:v>
      </x:c>
      <x:c r="D4835" s="30" t="str">
        <x:v>候选输入schema</x:v>
      </x:c>
      <x:c r="E4835" s="30" t="str">
        <x:v>按执行角色权限读取；策略只能使用可访问快照</x:v>
      </x:c>
    </x:row>
    <x:row r="4836" ht="32" customHeight="1">
      <x:c r="A4836" s="30" t="str">
        <x:v>A055</x:v>
      </x:c>
      <x:c r="B4836" s="30" t="str">
        <x:v>F242</x:v>
      </x:c>
      <x:c r="C4836" s="30" t="str">
        <x:v>action.rejection_code</x:v>
      </x:c>
      <x:c r="D4836" s="30" t="str">
        <x:v>候选输入schema</x:v>
      </x:c>
      <x:c r="E4836" s="30" t="str">
        <x:v>按执行角色权限读取；策略只能使用可访问快照</x:v>
      </x:c>
    </x:row>
    <x:row r="4837" ht="32" customHeight="1">
      <x:c r="A4837" s="30" t="str">
        <x:v>A055</x:v>
      </x:c>
      <x:c r="B4837" s="30" t="str">
        <x:v>F243</x:v>
      </x:c>
      <x:c r="C4837" s="30" t="str">
        <x:v>action.failure_code</x:v>
      </x:c>
      <x:c r="D4837" s="30" t="str">
        <x:v>候选输入schema</x:v>
      </x:c>
      <x:c r="E4837" s="30" t="str">
        <x:v>按执行角色权限读取；策略只能使用可访问快照</x:v>
      </x:c>
    </x:row>
    <x:row r="4838" ht="32" customHeight="1">
      <x:c r="A4838" s="30" t="str">
        <x:v>A055</x:v>
      </x:c>
      <x:c r="B4838" s="30" t="str">
        <x:v>F244</x:v>
      </x:c>
      <x:c r="C4838" s="30" t="str">
        <x:v>action.cancel_requested</x:v>
      </x:c>
      <x:c r="D4838" s="30" t="str">
        <x:v>候选输入schema</x:v>
      </x:c>
      <x:c r="E4838" s="30" t="str">
        <x:v>按执行角色权限读取；策略只能使用可访问快照</x:v>
      </x:c>
    </x:row>
    <x:row r="4839" ht="32" customHeight="1">
      <x:c r="A4839" s="30" t="str">
        <x:v>A055</x:v>
      </x:c>
      <x:c r="B4839" s="30" t="str">
        <x:v>F245</x:v>
      </x:c>
      <x:c r="C4839" s="30" t="str">
        <x:v>action.backend_mode</x:v>
      </x:c>
      <x:c r="D4839" s="30" t="str">
        <x:v>候选输入schema</x:v>
      </x:c>
      <x:c r="E4839" s="30" t="str">
        <x:v>按执行角色权限读取；策略只能使用可访问快照</x:v>
      </x:c>
    </x:row>
    <x:row r="4840" ht="32" customHeight="1">
      <x:c r="A4840" s="30" t="str">
        <x:v>A055</x:v>
      </x:c>
      <x:c r="B4840" s="30" t="str">
        <x:v>F244</x:v>
      </x:c>
      <x:c r="C4840" s="30" t="str">
        <x:v>action.cancel_requested</x:v>
      </x:c>
      <x:c r="D4840" s="30" t="str">
        <x:v>直接效果</x:v>
      </x:c>
      <x:c r="E4840" s="30" t="str">
        <x:v>经实际执行/回执提交；不是规划时提前修改</x:v>
      </x:c>
    </x:row>
    <x:row r="4841" ht="32" customHeight="1">
      <x:c r="A4841" s="30" t="str">
        <x:v>A055</x:v>
      </x:c>
      <x:c r="B4841" s="30" t="str">
        <x:v>F235</x:v>
      </x:c>
      <x:c r="C4841" s="30" t="str">
        <x:v>action.status</x:v>
      </x:c>
      <x:c r="D4841" s="30" t="str">
        <x:v>直接效果</x:v>
      </x:c>
      <x:c r="E4841" s="30" t="str">
        <x:v>经实际执行/回执提交；不是规划时提前修改</x:v>
      </x:c>
    </x:row>
    <x:row r="4842" ht="32" customHeight="1">
      <x:c r="A4842" s="30" t="str">
        <x:v>A055</x:v>
      </x:c>
      <x:c r="B4842" s="30" t="str">
        <x:v>F109</x:v>
      </x:c>
      <x:c r="C4842" s="30" t="str">
        <x:v>platform.motion_state</x:v>
      </x:c>
      <x:c r="D4842" s="30" t="str">
        <x:v>直接效果</x:v>
      </x:c>
      <x:c r="E4842" s="30" t="str">
        <x:v>经实际执行/回执提交；不是规划时提前修改</x:v>
      </x:c>
    </x:row>
    <x:row r="4843" ht="32" customHeight="1">
      <x:c r="A4843" s="30" t="str">
        <x:v>A056</x:v>
      </x:c>
      <x:c r="B4843" s="30" t="str">
        <x:v>F095</x:v>
      </x:c>
      <x:c r="C4843" s="30" t="str">
        <x:v>platform.kind</x:v>
      </x:c>
      <x:c r="D4843" s="30" t="str">
        <x:v>候选输入schema</x:v>
      </x:c>
      <x:c r="E4843" s="30" t="str">
        <x:v>按执行角色权限读取；策略只能使用可访问快照</x:v>
      </x:c>
    </x:row>
    <x:row r="4844" ht="32" customHeight="1">
      <x:c r="A4844" s="30" t="str">
        <x:v>A056</x:v>
      </x:c>
      <x:c r="B4844" s="30" t="str">
        <x:v>F096</x:v>
      </x:c>
      <x:c r="C4844" s="30" t="str">
        <x:v>platform.capability_ids</x:v>
      </x:c>
      <x:c r="D4844" s="30" t="str">
        <x:v>候选输入schema</x:v>
      </x:c>
      <x:c r="E4844" s="30" t="str">
        <x:v>按执行角色权限读取；策略只能使用可访问快照</x:v>
      </x:c>
    </x:row>
    <x:row r="4845" ht="32" customHeight="1">
      <x:c r="A4845" s="30" t="str">
        <x:v>A056</x:v>
      </x:c>
      <x:c r="B4845" s="30" t="str">
        <x:v>F097</x:v>
      </x:c>
      <x:c r="C4845" s="30" t="str">
        <x:v>platform.equipment_ids</x:v>
      </x:c>
      <x:c r="D4845" s="30" t="str">
        <x:v>候选输入schema</x:v>
      </x:c>
      <x:c r="E4845" s="30" t="str">
        <x:v>按执行角色权限读取；策略只能使用可访问快照</x:v>
      </x:c>
    </x:row>
    <x:row r="4846" ht="32" customHeight="1">
      <x:c r="A4846" s="30" t="str">
        <x:v>A056</x:v>
      </x:c>
      <x:c r="B4846" s="30" t="str">
        <x:v>F098</x:v>
      </x:c>
      <x:c r="C4846" s="30" t="str">
        <x:v>platform.width_m</x:v>
      </x:c>
      <x:c r="D4846" s="30" t="str">
        <x:v>候选输入schema</x:v>
      </x:c>
      <x:c r="E4846" s="30" t="str">
        <x:v>按执行角色权限读取；策略只能使用可访问快照</x:v>
      </x:c>
    </x:row>
    <x:row r="4847" ht="32" customHeight="1">
      <x:c r="A4847" s="30" t="str">
        <x:v>A056</x:v>
      </x:c>
      <x:c r="B4847" s="30" t="str">
        <x:v>F099</x:v>
      </x:c>
      <x:c r="C4847" s="30" t="str">
        <x:v>platform.height_m</x:v>
      </x:c>
      <x:c r="D4847" s="30" t="str">
        <x:v>候选输入schema</x:v>
      </x:c>
      <x:c r="E4847" s="30" t="str">
        <x:v>按执行角色权限读取；策略只能使用可访问快照</x:v>
      </x:c>
    </x:row>
    <x:row r="4848" ht="32" customHeight="1">
      <x:c r="A4848" s="30" t="str">
        <x:v>A056</x:v>
      </x:c>
      <x:c r="B4848" s="30" t="str">
        <x:v>F100</x:v>
      </x:c>
      <x:c r="C4848" s="30" t="str">
        <x:v>platform.swept_radius_m</x:v>
      </x:c>
      <x:c r="D4848" s="30" t="str">
        <x:v>候选输入schema</x:v>
      </x:c>
      <x:c r="E4848" s="30" t="str">
        <x:v>按执行角色权限读取；策略只能使用可访问快照</x:v>
      </x:c>
    </x:row>
    <x:row r="4849" ht="32" customHeight="1">
      <x:c r="A4849" s="30" t="str">
        <x:v>A056</x:v>
      </x:c>
      <x:c r="B4849" s="30" t="str">
        <x:v>F101</x:v>
      </x:c>
      <x:c r="C4849" s="30" t="str">
        <x:v>platform.payload_capacity_kg</x:v>
      </x:c>
      <x:c r="D4849" s="30" t="str">
        <x:v>候选输入schema</x:v>
      </x:c>
      <x:c r="E4849" s="30" t="str">
        <x:v>按执行角色权限读取；策略只能使用可访问快照</x:v>
      </x:c>
    </x:row>
    <x:row r="4850" ht="32" customHeight="1">
      <x:c r="A4850" s="30" t="str">
        <x:v>A056</x:v>
      </x:c>
      <x:c r="B4850" s="30" t="str">
        <x:v>F102</x:v>
      </x:c>
      <x:c r="C4850" s="30" t="str">
        <x:v>platform.payload_used_kg</x:v>
      </x:c>
      <x:c r="D4850" s="30" t="str">
        <x:v>候选输入schema</x:v>
      </x:c>
      <x:c r="E4850" s="30" t="str">
        <x:v>按执行角色权限读取；策略只能使用可访问快照</x:v>
      </x:c>
    </x:row>
    <x:row r="4851" ht="32" customHeight="1">
      <x:c r="A4851" s="30" t="str">
        <x:v>A056</x:v>
      </x:c>
      <x:c r="B4851" s="30" t="str">
        <x:v>F103</x:v>
      </x:c>
      <x:c r="C4851" s="30" t="str">
        <x:v>platform.payload_item_ids</x:v>
      </x:c>
      <x:c r="D4851" s="30" t="str">
        <x:v>候选输入schema</x:v>
      </x:c>
      <x:c r="E4851" s="30" t="str">
        <x:v>按执行角色权限读取；策略只能使用可访问快照</x:v>
      </x:c>
    </x:row>
    <x:row r="4852" ht="32" customHeight="1">
      <x:c r="A4852" s="30" t="str">
        <x:v>A056</x:v>
      </x:c>
      <x:c r="B4852" s="30" t="str">
        <x:v>F104</x:v>
      </x:c>
      <x:c r="C4852" s="30" t="str">
        <x:v>platform.battery_capacity_Wh</x:v>
      </x:c>
      <x:c r="D4852" s="30" t="str">
        <x:v>候选输入schema</x:v>
      </x:c>
      <x:c r="E4852" s="30" t="str">
        <x:v>按执行角色权限读取；策略只能使用可访问快照</x:v>
      </x:c>
    </x:row>
    <x:row r="4853" ht="32" customHeight="1">
      <x:c r="A4853" s="30" t="str">
        <x:v>A056</x:v>
      </x:c>
      <x:c r="B4853" s="30" t="str">
        <x:v>F105</x:v>
      </x:c>
      <x:c r="C4853" s="30" t="str">
        <x:v>platform.battery_remaining_Wh</x:v>
      </x:c>
      <x:c r="D4853" s="30" t="str">
        <x:v>候选输入schema</x:v>
      </x:c>
      <x:c r="E4853" s="30" t="str">
        <x:v>按执行角色权限读取；策略只能使用可访问快照</x:v>
      </x:c>
    </x:row>
    <x:row r="4854" ht="32" customHeight="1">
      <x:c r="A4854" s="30" t="str">
        <x:v>A056</x:v>
      </x:c>
      <x:c r="B4854" s="30" t="str">
        <x:v>F106</x:v>
      </x:c>
      <x:c r="C4854" s="30" t="str">
        <x:v>platform.reserve_Wh</x:v>
      </x:c>
      <x:c r="D4854" s="30" t="str">
        <x:v>候选输入schema</x:v>
      </x:c>
      <x:c r="E4854" s="30" t="str">
        <x:v>按执行角色权限读取；策略只能使用可访问快照</x:v>
      </x:c>
    </x:row>
    <x:row r="4855" ht="32" customHeight="1">
      <x:c r="A4855" s="30" t="str">
        <x:v>A056</x:v>
      </x:c>
      <x:c r="B4855" s="30" t="str">
        <x:v>F107</x:v>
      </x:c>
      <x:c r="C4855" s="30" t="str">
        <x:v>platform.speed_limit_mps</x:v>
      </x:c>
      <x:c r="D4855" s="30" t="str">
        <x:v>候选输入schema</x:v>
      </x:c>
      <x:c r="E4855" s="30" t="str">
        <x:v>按执行角色权限读取；策略只能使用可访问快照</x:v>
      </x:c>
    </x:row>
    <x:row r="4856" ht="32" customHeight="1">
      <x:c r="A4856" s="30" t="str">
        <x:v>A056</x:v>
      </x:c>
      <x:c r="B4856" s="30" t="str">
        <x:v>F108</x:v>
      </x:c>
      <x:c r="C4856" s="30" t="str">
        <x:v>platform.energy_model</x:v>
      </x:c>
      <x:c r="D4856" s="30" t="str">
        <x:v>候选输入schema</x:v>
      </x:c>
      <x:c r="E4856" s="30" t="str">
        <x:v>按执行角色权限读取；策略只能使用可访问快照</x:v>
      </x:c>
    </x:row>
    <x:row r="4857" ht="32" customHeight="1">
      <x:c r="A4857" s="30" t="str">
        <x:v>A056</x:v>
      </x:c>
      <x:c r="B4857" s="30" t="str">
        <x:v>F109</x:v>
      </x:c>
      <x:c r="C4857" s="30" t="str">
        <x:v>platform.motion_state</x:v>
      </x:c>
      <x:c r="D4857" s="30" t="str">
        <x:v>候选输入schema</x:v>
      </x:c>
      <x:c r="E4857" s="30" t="str">
        <x:v>按执行角色权限读取；策略只能使用可访问快照</x:v>
      </x:c>
    </x:row>
    <x:row r="4858" ht="32" customHeight="1">
      <x:c r="A4858" s="30" t="str">
        <x:v>A056</x:v>
      </x:c>
      <x:c r="B4858" s="30" t="str">
        <x:v>F110</x:v>
      </x:c>
      <x:c r="C4858" s="30" t="str">
        <x:v>platform.health_state</x:v>
      </x:c>
      <x:c r="D4858" s="30" t="str">
        <x:v>候选输入schema</x:v>
      </x:c>
      <x:c r="E4858" s="30" t="str">
        <x:v>按执行角色权限读取；策略只能使用可访问快照</x:v>
      </x:c>
    </x:row>
    <x:row r="4859" ht="32" customHeight="1">
      <x:c r="A4859" s="30" t="str">
        <x:v>A056</x:v>
      </x:c>
      <x:c r="B4859" s="30" t="str">
        <x:v>F111</x:v>
      </x:c>
      <x:c r="C4859" s="30" t="str">
        <x:v>platform.current_action_id</x:v>
      </x:c>
      <x:c r="D4859" s="30" t="str">
        <x:v>候选输入schema</x:v>
      </x:c>
      <x:c r="E4859" s="30" t="str">
        <x:v>按执行角色权限读取；策略只能使用可访问快照</x:v>
      </x:c>
    </x:row>
    <x:row r="4860" ht="32" customHeight="1">
      <x:c r="A4860" s="30" t="str">
        <x:v>A056</x:v>
      </x:c>
      <x:c r="B4860" s="30" t="str">
        <x:v>F112</x:v>
      </x:c>
      <x:c r="C4860" s="30" t="str">
        <x:v>platform.busy_until_est_s</x:v>
      </x:c>
      <x:c r="D4860" s="30" t="str">
        <x:v>候选输入schema</x:v>
      </x:c>
      <x:c r="E4860" s="30" t="str">
        <x:v>按执行角色权限读取；策略只能使用可访问快照</x:v>
      </x:c>
    </x:row>
    <x:row r="4861" ht="32" customHeight="1">
      <x:c r="A4861" s="30" t="str">
        <x:v>A056</x:v>
      </x:c>
      <x:c r="B4861" s="30" t="str">
        <x:v>F113</x:v>
      </x:c>
      <x:c r="C4861" s="30" t="str">
        <x:v>platform.return_site_id</x:v>
      </x:c>
      <x:c r="D4861" s="30" t="str">
        <x:v>候选输入schema</x:v>
      </x:c>
      <x:c r="E4861" s="30" t="str">
        <x:v>按执行角色权限读取；策略只能使用可访问快照</x:v>
      </x:c>
    </x:row>
    <x:row r="4862" ht="32" customHeight="1">
      <x:c r="A4862" s="30" t="str">
        <x:v>A056</x:v>
      </x:c>
      <x:c r="B4862" s="30" t="str">
        <x:v>F114</x:v>
      </x:c>
      <x:c r="C4862" s="30" t="str">
        <x:v>platform.water_tolerance_m</x:v>
      </x:c>
      <x:c r="D4862" s="30" t="str">
        <x:v>候选输入schema</x:v>
      </x:c>
      <x:c r="E4862" s="30" t="str">
        <x:v>按执行角色权限读取；策略只能使用可访问快照</x:v>
      </x:c>
    </x:row>
    <x:row r="4863" ht="32" customHeight="1">
      <x:c r="A4863" s="30" t="str">
        <x:v>A056</x:v>
      </x:c>
      <x:c r="B4863" s="30" t="str">
        <x:v>F115</x:v>
      </x:c>
      <x:c r="C4863" s="30" t="str">
        <x:v>platform.concurrency_policy</x:v>
      </x:c>
      <x:c r="D4863" s="30" t="str">
        <x:v>候选输入schema</x:v>
      </x:c>
      <x:c r="E4863" s="30" t="str">
        <x:v>按执行角色权限读取；策略只能使用可访问快照</x:v>
      </x:c>
    </x:row>
    <x:row r="4864" ht="32" customHeight="1">
      <x:c r="A4864" s="30" t="str">
        <x:v>A056</x:v>
      </x:c>
      <x:c r="B4864" s="30" t="str">
        <x:v>F196</x:v>
      </x:c>
      <x:c r="C4864" s="30" t="str">
        <x:v>task.type</x:v>
      </x:c>
      <x:c r="D4864" s="30" t="str">
        <x:v>候选输入schema</x:v>
      </x:c>
      <x:c r="E4864" s="30" t="str">
        <x:v>按执行角色权限读取；策略只能使用可访问快照</x:v>
      </x:c>
    </x:row>
    <x:row r="4865" ht="32" customHeight="1">
      <x:c r="A4865" s="30" t="str">
        <x:v>A056</x:v>
      </x:c>
      <x:c r="B4865" s="30" t="str">
        <x:v>F197</x:v>
      </x:c>
      <x:c r="C4865" s="30" t="str">
        <x:v>task.creator_id</x:v>
      </x:c>
      <x:c r="D4865" s="30" t="str">
        <x:v>候选输入schema</x:v>
      </x:c>
      <x:c r="E4865" s="30" t="str">
        <x:v>按执行角色权限读取；策略只能使用可访问快照</x:v>
      </x:c>
    </x:row>
    <x:row r="4866" ht="32" customHeight="1">
      <x:c r="A4866" s="30" t="str">
        <x:v>A056</x:v>
      </x:c>
      <x:c r="B4866" s="30" t="str">
        <x:v>F198</x:v>
      </x:c>
      <x:c r="C4866" s="30" t="str">
        <x:v>task.target_ref</x:v>
      </x:c>
      <x:c r="D4866" s="30" t="str">
        <x:v>候选输入schema</x:v>
      </x:c>
      <x:c r="E4866" s="30" t="str">
        <x:v>按执行角色权限读取；策略只能使用可访问快照</x:v>
      </x:c>
    </x:row>
    <x:row r="4867" ht="32" customHeight="1">
      <x:c r="A4867" s="30" t="str">
        <x:v>A056</x:v>
      </x:c>
      <x:c r="B4867" s="30" t="str">
        <x:v>F199</x:v>
      </x:c>
      <x:c r="C4867" s="30" t="str">
        <x:v>task.goal_predicate</x:v>
      </x:c>
      <x:c r="D4867" s="30" t="str">
        <x:v>候选输入schema</x:v>
      </x:c>
      <x:c r="E4867" s="30" t="str">
        <x:v>按执行角色权限读取；策略只能使用可访问快照</x:v>
      </x:c>
    </x:row>
    <x:row r="4868" ht="32" customHeight="1">
      <x:c r="A4868" s="30" t="str">
        <x:v>A056</x:v>
      </x:c>
      <x:c r="B4868" s="30" t="str">
        <x:v>F200</x:v>
      </x:c>
      <x:c r="C4868" s="30" t="str">
        <x:v>task.revision</x:v>
      </x:c>
      <x:c r="D4868" s="30" t="str">
        <x:v>候选输入schema</x:v>
      </x:c>
      <x:c r="E4868" s="30" t="str">
        <x:v>按执行角色权限读取；策略只能使用可访问快照</x:v>
      </x:c>
    </x:row>
    <x:row r="4869" ht="32" customHeight="1">
      <x:c r="A4869" s="30" t="str">
        <x:v>A056</x:v>
      </x:c>
      <x:c r="B4869" s="30" t="str">
        <x:v>F201</x:v>
      </x:c>
      <x:c r="C4869" s="30" t="str">
        <x:v>task.status</x:v>
      </x:c>
      <x:c r="D4869" s="30" t="str">
        <x:v>候选输入schema</x:v>
      </x:c>
      <x:c r="E4869" s="30" t="str">
        <x:v>按执行角色权限读取；策略只能使用可访问快照</x:v>
      </x:c>
    </x:row>
    <x:row r="4870" ht="32" customHeight="1">
      <x:c r="A4870" s="30" t="str">
        <x:v>A056</x:v>
      </x:c>
      <x:c r="B4870" s="30" t="str">
        <x:v>F202</x:v>
      </x:c>
      <x:c r="C4870" s="30" t="str">
        <x:v>task.priority</x:v>
      </x:c>
      <x:c r="D4870" s="30" t="str">
        <x:v>候选输入schema</x:v>
      </x:c>
      <x:c r="E4870" s="30" t="str">
        <x:v>按执行角色权限读取；策略只能使用可访问快照</x:v>
      </x:c>
    </x:row>
    <x:row r="4871" ht="32" customHeight="1">
      <x:c r="A4871" s="30" t="str">
        <x:v>A056</x:v>
      </x:c>
      <x:c r="B4871" s="30" t="str">
        <x:v>F203</x:v>
      </x:c>
      <x:c r="C4871" s="30" t="str">
        <x:v>task.deadline_s</x:v>
      </x:c>
      <x:c r="D4871" s="30" t="str">
        <x:v>候选输入schema</x:v>
      </x:c>
      <x:c r="E4871" s="30" t="str">
        <x:v>按执行角色权限读取；策略只能使用可访问快照</x:v>
      </x:c>
    </x:row>
    <x:row r="4872" ht="32" customHeight="1">
      <x:c r="A4872" s="30" t="str">
        <x:v>A056</x:v>
      </x:c>
      <x:c r="B4872" s="30" t="str">
        <x:v>F204</x:v>
      </x:c>
      <x:c r="C4872" s="30" t="str">
        <x:v>task.dependency_ids</x:v>
      </x:c>
      <x:c r="D4872" s="30" t="str">
        <x:v>候选输入schema</x:v>
      </x:c>
      <x:c r="E4872" s="30" t="str">
        <x:v>按执行角色权限读取；策略只能使用可访问快照</x:v>
      </x:c>
    </x:row>
    <x:row r="4873" ht="32" customHeight="1">
      <x:c r="A4873" s="30" t="str">
        <x:v>A056</x:v>
      </x:c>
      <x:c r="B4873" s="30" t="str">
        <x:v>F205</x:v>
      </x:c>
      <x:c r="C4873" s="30" t="str">
        <x:v>task.required_capability_ids</x:v>
      </x:c>
      <x:c r="D4873" s="30" t="str">
        <x:v>候选输入schema</x:v>
      </x:c>
      <x:c r="E4873" s="30" t="str">
        <x:v>按执行角色权限读取；策略只能使用可访问快照</x:v>
      </x:c>
    </x:row>
    <x:row r="4874" ht="32" customHeight="1">
      <x:c r="A4874" s="30" t="str">
        <x:v>A056</x:v>
      </x:c>
      <x:c r="B4874" s="30" t="str">
        <x:v>F206</x:v>
      </x:c>
      <x:c r="C4874" s="30" t="str">
        <x:v>task.resource_budget</x:v>
      </x:c>
      <x:c r="D4874" s="30" t="str">
        <x:v>候选输入schema</x:v>
      </x:c>
      <x:c r="E4874" s="30" t="str">
        <x:v>按执行角色权限读取；策略只能使用可访问快照</x:v>
      </x:c>
    </x:row>
    <x:row r="4875" ht="32" customHeight="1">
      <x:c r="A4875" s="30" t="str">
        <x:v>A056</x:v>
      </x:c>
      <x:c r="B4875" s="30" t="str">
        <x:v>F207</x:v>
      </x:c>
      <x:c r="C4875" s="30" t="str">
        <x:v>task.assigned_to</x:v>
      </x:c>
      <x:c r="D4875" s="30" t="str">
        <x:v>候选输入schema</x:v>
      </x:c>
      <x:c r="E4875" s="30" t="str">
        <x:v>按执行角色权限读取；策略只能使用可访问快照</x:v>
      </x:c>
    </x:row>
    <x:row r="4876" ht="32" customHeight="1">
      <x:c r="A4876" s="30" t="str">
        <x:v>A056</x:v>
      </x:c>
      <x:c r="B4876" s="30" t="str">
        <x:v>F208</x:v>
      </x:c>
      <x:c r="C4876" s="30" t="str">
        <x:v>task.accepted_by</x:v>
      </x:c>
      <x:c r="D4876" s="30" t="str">
        <x:v>候选输入schema</x:v>
      </x:c>
      <x:c r="E4876" s="30" t="str">
        <x:v>按执行角色权限读取；策略只能使用可访问快照</x:v>
      </x:c>
    </x:row>
    <x:row r="4877" ht="32" customHeight="1">
      <x:c r="A4877" s="30" t="str">
        <x:v>A056</x:v>
      </x:c>
      <x:c r="B4877" s="30" t="str">
        <x:v>F209</x:v>
      </x:c>
      <x:c r="C4877" s="30" t="str">
        <x:v>task.commitment_window</x:v>
      </x:c>
      <x:c r="D4877" s="30" t="str">
        <x:v>候选输入schema</x:v>
      </x:c>
      <x:c r="E4877" s="30" t="str">
        <x:v>按执行角色权限读取；策略只能使用可访问快照</x:v>
      </x:c>
    </x:row>
    <x:row r="4878" ht="32" customHeight="1">
      <x:c r="A4878" s="30" t="str">
        <x:v>A056</x:v>
      </x:c>
      <x:c r="B4878" s="30" t="str">
        <x:v>F210</x:v>
      </x:c>
      <x:c r="C4878" s="30" t="str">
        <x:v>task.progress</x:v>
      </x:c>
      <x:c r="D4878" s="30" t="str">
        <x:v>候选输入schema</x:v>
      </x:c>
      <x:c r="E4878" s="30" t="str">
        <x:v>按执行角色权限读取；策略只能使用可访问快照</x:v>
      </x:c>
    </x:row>
    <x:row r="4879" ht="32" customHeight="1">
      <x:c r="A4879" s="30" t="str">
        <x:v>A056</x:v>
      </x:c>
      <x:c r="B4879" s="30" t="str">
        <x:v>F211</x:v>
      </x:c>
      <x:c r="C4879" s="30" t="str">
        <x:v>task.active_action_ids</x:v>
      </x:c>
      <x:c r="D4879" s="30" t="str">
        <x:v>候选输入schema</x:v>
      </x:c>
      <x:c r="E4879" s="30" t="str">
        <x:v>按执行角色权限读取；策略只能使用可访问快照</x:v>
      </x:c>
    </x:row>
    <x:row r="4880" ht="32" customHeight="1">
      <x:c r="A4880" s="30" t="str">
        <x:v>A056</x:v>
      </x:c>
      <x:c r="B4880" s="30" t="str">
        <x:v>F212</x:v>
      </x:c>
      <x:c r="C4880" s="30" t="str">
        <x:v>task.interruptibility</x:v>
      </x:c>
      <x:c r="D4880" s="30" t="str">
        <x:v>候选输入schema</x:v>
      </x:c>
      <x:c r="E4880" s="30" t="str">
        <x:v>按执行角色权限读取；策略只能使用可访问快照</x:v>
      </x:c>
    </x:row>
    <x:row r="4881" ht="32" customHeight="1">
      <x:c r="A4881" s="30" t="str">
        <x:v>A056</x:v>
      </x:c>
      <x:c r="B4881" s="30" t="str">
        <x:v>F213</x:v>
      </x:c>
      <x:c r="C4881" s="30" t="str">
        <x:v>task.original_task_id</x:v>
      </x:c>
      <x:c r="D4881" s="30" t="str">
        <x:v>候选输入schema</x:v>
      </x:c>
      <x:c r="E4881" s="30" t="str">
        <x:v>按执行角色权限读取；策略只能使用可访问快照</x:v>
      </x:c>
    </x:row>
    <x:row r="4882" ht="32" customHeight="1">
      <x:c r="A4882" s="30" t="str">
        <x:v>A056</x:v>
      </x:c>
      <x:c r="B4882" s="30" t="str">
        <x:v>F214</x:v>
      </x:c>
      <x:c r="C4882" s="30" t="str">
        <x:v>task.resume_checkpoint</x:v>
      </x:c>
      <x:c r="D4882" s="30" t="str">
        <x:v>候选输入schema</x:v>
      </x:c>
      <x:c r="E4882" s="30" t="str">
        <x:v>按执行角色权限读取；策略只能使用可访问快照</x:v>
      </x:c>
    </x:row>
    <x:row r="4883" ht="32" customHeight="1">
      <x:c r="A4883" s="30" t="str">
        <x:v>A056</x:v>
      </x:c>
      <x:c r="B4883" s="30" t="str">
        <x:v>F215</x:v>
      </x:c>
      <x:c r="C4883" s="30" t="str">
        <x:v>task.handoff_target_id</x:v>
      </x:c>
      <x:c r="D4883" s="30" t="str">
        <x:v>候选输入schema</x:v>
      </x:c>
      <x:c r="E4883" s="30" t="str">
        <x:v>按执行角色权限读取；策略只能使用可访问快照</x:v>
      </x:c>
    </x:row>
    <x:row r="4884" ht="32" customHeight="1">
      <x:c r="A4884" s="30" t="str">
        <x:v>A056</x:v>
      </x:c>
      <x:c r="B4884" s="30" t="str">
        <x:v>F216</x:v>
      </x:c>
      <x:c r="C4884" s="30" t="str">
        <x:v>task.result_evidence_ids</x:v>
      </x:c>
      <x:c r="D4884" s="30" t="str">
        <x:v>候选输入schema</x:v>
      </x:c>
      <x:c r="E4884" s="30" t="str">
        <x:v>按执行角色权限读取；策略只能使用可访问快照</x:v>
      </x:c>
    </x:row>
    <x:row r="4885" ht="32" customHeight="1">
      <x:c r="A4885" s="30" t="str">
        <x:v>A056</x:v>
      </x:c>
      <x:c r="B4885" s="30" t="str">
        <x:v>F217</x:v>
      </x:c>
      <x:c r="C4885" s="30" t="str">
        <x:v>task.failure_reason</x:v>
      </x:c>
      <x:c r="D4885" s="30" t="str">
        <x:v>候选输入schema</x:v>
      </x:c>
      <x:c r="E4885" s="30" t="str">
        <x:v>按执行角色权限读取；策略只能使用可访问快照</x:v>
      </x:c>
    </x:row>
    <x:row r="4886" ht="32" customHeight="1">
      <x:c r="A4886" s="30" t="str">
        <x:v>A056</x:v>
      </x:c>
      <x:c r="B4886" s="30" t="str">
        <x:v>F218</x:v>
      </x:c>
      <x:c r="C4886" s="30" t="str">
        <x:v>task.last_event_s</x:v>
      </x:c>
      <x:c r="D4886" s="30" t="str">
        <x:v>候选输入schema</x:v>
      </x:c>
      <x:c r="E4886" s="30" t="str">
        <x:v>按执行角色权限读取；策略只能使用可访问快照</x:v>
      </x:c>
    </x:row>
    <x:row r="4887" ht="32" customHeight="1">
      <x:c r="A4887" s="30" t="str">
        <x:v>A056</x:v>
      </x:c>
      <x:c r="B4887" s="30" t="str">
        <x:v>F219</x:v>
      </x:c>
      <x:c r="C4887" s="30" t="str">
        <x:v>task.opportunity_cost</x:v>
      </x:c>
      <x:c r="D4887" s="30" t="str">
        <x:v>候选输入schema</x:v>
      </x:c>
      <x:c r="E4887" s="30" t="str">
        <x:v>按执行角色权限读取；策略只能使用可访问快照</x:v>
      </x:c>
    </x:row>
    <x:row r="4888" ht="32" customHeight="1">
      <x:c r="A4888" s="30" t="str">
        <x:v>A056</x:v>
      </x:c>
      <x:c r="B4888" s="30" t="str">
        <x:v>F220</x:v>
      </x:c>
      <x:c r="C4888" s="30" t="str">
        <x:v>assignment.task_ref</x:v>
      </x:c>
      <x:c r="D4888" s="30" t="str">
        <x:v>候选输入schema</x:v>
      </x:c>
      <x:c r="E4888" s="30" t="str">
        <x:v>按执行角色权限读取；策略只能使用可访问快照</x:v>
      </x:c>
    </x:row>
    <x:row r="4889" ht="32" customHeight="1">
      <x:c r="A4889" s="30" t="str">
        <x:v>A056</x:v>
      </x:c>
      <x:c r="B4889" s="30" t="str">
        <x:v>F221</x:v>
      </x:c>
      <x:c r="C4889" s="30" t="str">
        <x:v>assignment.sender_id</x:v>
      </x:c>
      <x:c r="D4889" s="30" t="str">
        <x:v>候选输入schema</x:v>
      </x:c>
      <x:c r="E4889" s="30" t="str">
        <x:v>按执行角色权限读取；策略只能使用可访问快照</x:v>
      </x:c>
    </x:row>
    <x:row r="4890" ht="32" customHeight="1">
      <x:c r="A4890" s="30" t="str">
        <x:v>A056</x:v>
      </x:c>
      <x:c r="B4890" s="30" t="str">
        <x:v>F222</x:v>
      </x:c>
      <x:c r="C4890" s="30" t="str">
        <x:v>assignment.receiver_id</x:v>
      </x:c>
      <x:c r="D4890" s="30" t="str">
        <x:v>候选输入schema</x:v>
      </x:c>
      <x:c r="E4890" s="30" t="str">
        <x:v>按执行角色权限读取；策略只能使用可访问快照</x:v>
      </x:c>
    </x:row>
    <x:row r="4891" ht="32" customHeight="1">
      <x:c r="A4891" s="30" t="str">
        <x:v>A056</x:v>
      </x:c>
      <x:c r="B4891" s="30" t="str">
        <x:v>F223</x:v>
      </x:c>
      <x:c r="C4891" s="30" t="str">
        <x:v>assignment.bid</x:v>
      </x:c>
      <x:c r="D4891" s="30" t="str">
        <x:v>候选输入schema</x:v>
      </x:c>
      <x:c r="E4891" s="30" t="str">
        <x:v>按执行角色权限读取；策略只能使用可访问快照</x:v>
      </x:c>
    </x:row>
    <x:row r="4892" ht="32" customHeight="1">
      <x:c r="A4892" s="30" t="str">
        <x:v>A056</x:v>
      </x:c>
      <x:c r="B4892" s="30" t="str">
        <x:v>F224</x:v>
      </x:c>
      <x:c r="C4892" s="30" t="str">
        <x:v>assignment.message_id</x:v>
      </x:c>
      <x:c r="D4892" s="30" t="str">
        <x:v>候选输入schema</x:v>
      </x:c>
      <x:c r="E4892" s="30" t="str">
        <x:v>按执行角色权限读取；策略只能使用可访问快照</x:v>
      </x:c>
    </x:row>
    <x:row r="4893" ht="32" customHeight="1">
      <x:c r="A4893" s="30" t="str">
        <x:v>A056</x:v>
      </x:c>
      <x:c r="B4893" s="30" t="str">
        <x:v>F225</x:v>
      </x:c>
      <x:c r="C4893" s="30" t="str">
        <x:v>assignment.delivery_state</x:v>
      </x:c>
      <x:c r="D4893" s="30" t="str">
        <x:v>候选输入schema</x:v>
      </x:c>
      <x:c r="E4893" s="30" t="str">
        <x:v>按执行角色权限读取；策略只能使用可访问快照</x:v>
      </x:c>
    </x:row>
    <x:row r="4894" ht="32" customHeight="1">
      <x:c r="A4894" s="30" t="str">
        <x:v>A056</x:v>
      </x:c>
      <x:c r="B4894" s="30" t="str">
        <x:v>F226</x:v>
      </x:c>
      <x:c r="C4894" s="30" t="str">
        <x:v>assignment.decision</x:v>
      </x:c>
      <x:c r="D4894" s="30" t="str">
        <x:v>候选输入schema</x:v>
      </x:c>
      <x:c r="E4894" s="30" t="str">
        <x:v>按执行角色权限读取；策略只能使用可访问快照</x:v>
      </x:c>
    </x:row>
    <x:row r="4895" ht="32" customHeight="1">
      <x:c r="A4895" s="30" t="str">
        <x:v>A056</x:v>
      </x:c>
      <x:c r="B4895" s="30" t="str">
        <x:v>F227</x:v>
      </x:c>
      <x:c r="C4895" s="30" t="str">
        <x:v>assignment.decision_reason</x:v>
      </x:c>
      <x:c r="D4895" s="30" t="str">
        <x:v>候选输入schema</x:v>
      </x:c>
      <x:c r="E4895" s="30" t="str">
        <x:v>按执行角色权限读取；策略只能使用可访问快照</x:v>
      </x:c>
    </x:row>
    <x:row r="4896" ht="32" customHeight="1">
      <x:c r="A4896" s="30" t="str">
        <x:v>A056</x:v>
      </x:c>
      <x:c r="B4896" s="30" t="str">
        <x:v>F228</x:v>
      </x:c>
      <x:c r="C4896" s="30" t="str">
        <x:v>assignment.lease_end_s</x:v>
      </x:c>
      <x:c r="D4896" s="30" t="str">
        <x:v>候选输入schema</x:v>
      </x:c>
      <x:c r="E4896" s="30" t="str">
        <x:v>按执行角色权限读取；策略只能使用可访问快照</x:v>
      </x:c>
    </x:row>
    <x:row r="4897" ht="32" customHeight="1">
      <x:c r="A4897" s="30" t="str">
        <x:v>A056</x:v>
      </x:c>
      <x:c r="B4897" s="30" t="str">
        <x:v>F229</x:v>
      </x:c>
      <x:c r="C4897" s="30" t="str">
        <x:v>assignment.acknowledged_revision</x:v>
      </x:c>
      <x:c r="D4897" s="30" t="str">
        <x:v>候选输入schema</x:v>
      </x:c>
      <x:c r="E4897" s="30" t="str">
        <x:v>按执行角色权限读取；策略只能使用可访问快照</x:v>
      </x:c>
    </x:row>
    <x:row r="4898" ht="32" customHeight="1">
      <x:c r="A4898" s="30" t="str">
        <x:v>A056</x:v>
      </x:c>
      <x:c r="B4898" s="30" t="str">
        <x:v>F230</x:v>
      </x:c>
      <x:c r="C4898" s="30" t="str">
        <x:v>action.type</x:v>
      </x:c>
      <x:c r="D4898" s="30" t="str">
        <x:v>候选输入schema</x:v>
      </x:c>
      <x:c r="E4898" s="30" t="str">
        <x:v>按执行角色权限读取；策略只能使用可访问快照</x:v>
      </x:c>
    </x:row>
    <x:row r="4899" ht="32" customHeight="1">
      <x:c r="A4899" s="30" t="str">
        <x:v>A056</x:v>
      </x:c>
      <x:c r="B4899" s="30" t="str">
        <x:v>F231</x:v>
      </x:c>
      <x:c r="C4899" s="30" t="str">
        <x:v>action.executor_id</x:v>
      </x:c>
      <x:c r="D4899" s="30" t="str">
        <x:v>候选输入schema</x:v>
      </x:c>
      <x:c r="E4899" s="30" t="str">
        <x:v>按执行角色权限读取；策略只能使用可访问快照</x:v>
      </x:c>
    </x:row>
    <x:row r="4900" ht="32" customHeight="1">
      <x:c r="A4900" s="30" t="str">
        <x:v>A056</x:v>
      </x:c>
      <x:c r="B4900" s="30" t="str">
        <x:v>F232</x:v>
      </x:c>
      <x:c r="C4900" s="30" t="str">
        <x:v>action.task_ref</x:v>
      </x:c>
      <x:c r="D4900" s="30" t="str">
        <x:v>候选输入schema</x:v>
      </x:c>
      <x:c r="E4900" s="30" t="str">
        <x:v>按执行角色权限读取；策略只能使用可访问快照</x:v>
      </x:c>
    </x:row>
    <x:row r="4901" ht="32" customHeight="1">
      <x:c r="A4901" s="30" t="str">
        <x:v>A056</x:v>
      </x:c>
      <x:c r="B4901" s="30" t="str">
        <x:v>F233</x:v>
      </x:c>
      <x:c r="C4901" s="30" t="str">
        <x:v>action.target_ref</x:v>
      </x:c>
      <x:c r="D4901" s="30" t="str">
        <x:v>候选输入schema</x:v>
      </x:c>
      <x:c r="E4901" s="30" t="str">
        <x:v>按执行角色权限读取；策略只能使用可访问快照</x:v>
      </x:c>
    </x:row>
    <x:row r="4902" ht="32" customHeight="1">
      <x:c r="A4902" s="30" t="str">
        <x:v>A056</x:v>
      </x:c>
      <x:c r="B4902" s="30" t="str">
        <x:v>F234</x:v>
      </x:c>
      <x:c r="C4902" s="30" t="str">
        <x:v>action.parameters</x:v>
      </x:c>
      <x:c r="D4902" s="30" t="str">
        <x:v>候选输入schema</x:v>
      </x:c>
      <x:c r="E4902" s="30" t="str">
        <x:v>按执行角色权限读取；策略只能使用可访问快照</x:v>
      </x:c>
    </x:row>
    <x:row r="4903" ht="32" customHeight="1">
      <x:c r="A4903" s="30" t="str">
        <x:v>A056</x:v>
      </x:c>
      <x:c r="B4903" s="30" t="str">
        <x:v>F235</x:v>
      </x:c>
      <x:c r="C4903" s="30" t="str">
        <x:v>action.status</x:v>
      </x:c>
      <x:c r="D4903" s="30" t="str">
        <x:v>候选输入schema</x:v>
      </x:c>
      <x:c r="E4903" s="30" t="str">
        <x:v>按执行角色权限读取；策略只能使用可访问快照</x:v>
      </x:c>
    </x:row>
    <x:row r="4904" ht="32" customHeight="1">
      <x:c r="A4904" s="30" t="str">
        <x:v>A056</x:v>
      </x:c>
      <x:c r="B4904" s="30" t="str">
        <x:v>F236</x:v>
      </x:c>
      <x:c r="C4904" s="30" t="str">
        <x:v>action.start_s</x:v>
      </x:c>
      <x:c r="D4904" s="30" t="str">
        <x:v>候选输入schema</x:v>
      </x:c>
      <x:c r="E4904" s="30" t="str">
        <x:v>按执行角色权限读取；策略只能使用可访问快照</x:v>
      </x:c>
    </x:row>
    <x:row r="4905" ht="32" customHeight="1">
      <x:c r="A4905" s="30" t="str">
        <x:v>A056</x:v>
      </x:c>
      <x:c r="B4905" s="30" t="str">
        <x:v>F237</x:v>
      </x:c>
      <x:c r="C4905" s="30" t="str">
        <x:v>action.finish_s</x:v>
      </x:c>
      <x:c r="D4905" s="30" t="str">
        <x:v>候选输入schema</x:v>
      </x:c>
      <x:c r="E4905" s="30" t="str">
        <x:v>按执行角色权限读取；策略只能使用可访问快照</x:v>
      </x:c>
    </x:row>
    <x:row r="4906" ht="32" customHeight="1">
      <x:c r="A4906" s="30" t="str">
        <x:v>A056</x:v>
      </x:c>
      <x:c r="B4906" s="30" t="str">
        <x:v>F238</x:v>
      </x:c>
      <x:c r="C4906" s="30" t="str">
        <x:v>action.reserved_resources</x:v>
      </x:c>
      <x:c r="D4906" s="30" t="str">
        <x:v>候选输入schema</x:v>
      </x:c>
      <x:c r="E4906" s="30" t="str">
        <x:v>按执行角色权限读取；策略只能使用可访问快照</x:v>
      </x:c>
    </x:row>
    <x:row r="4907" ht="32" customHeight="1">
      <x:c r="A4907" s="30" t="str">
        <x:v>A056</x:v>
      </x:c>
      <x:c r="B4907" s="30" t="str">
        <x:v>F239</x:v>
      </x:c>
      <x:c r="C4907" s="30" t="str">
        <x:v>action.consumed_resources</x:v>
      </x:c>
      <x:c r="D4907" s="30" t="str">
        <x:v>候选输入schema</x:v>
      </x:c>
      <x:c r="E4907" s="30" t="str">
        <x:v>按执行角色权限读取；策略只能使用可访问快照</x:v>
      </x:c>
    </x:row>
    <x:row r="4908" ht="32" customHeight="1">
      <x:c r="A4908" s="30" t="str">
        <x:v>A056</x:v>
      </x:c>
      <x:c r="B4908" s="30" t="str">
        <x:v>F240</x:v>
      </x:c>
      <x:c r="C4908" s="30" t="str">
        <x:v>action.feedback</x:v>
      </x:c>
      <x:c r="D4908" s="30" t="str">
        <x:v>候选输入schema</x:v>
      </x:c>
      <x:c r="E4908" s="30" t="str">
        <x:v>按执行角色权限读取；策略只能使用可访问快照</x:v>
      </x:c>
    </x:row>
    <x:row r="4909" ht="32" customHeight="1">
      <x:c r="A4909" s="30" t="str">
        <x:v>A056</x:v>
      </x:c>
      <x:c r="B4909" s="30" t="str">
        <x:v>F241</x:v>
      </x:c>
      <x:c r="C4909" s="30" t="str">
        <x:v>action.result</x:v>
      </x:c>
      <x:c r="D4909" s="30" t="str">
        <x:v>候选输入schema</x:v>
      </x:c>
      <x:c r="E4909" s="30" t="str">
        <x:v>按执行角色权限读取；策略只能使用可访问快照</x:v>
      </x:c>
    </x:row>
    <x:row r="4910" ht="32" customHeight="1">
      <x:c r="A4910" s="30" t="str">
        <x:v>A056</x:v>
      </x:c>
      <x:c r="B4910" s="30" t="str">
        <x:v>F242</x:v>
      </x:c>
      <x:c r="C4910" s="30" t="str">
        <x:v>action.rejection_code</x:v>
      </x:c>
      <x:c r="D4910" s="30" t="str">
        <x:v>候选输入schema</x:v>
      </x:c>
      <x:c r="E4910" s="30" t="str">
        <x:v>按执行角色权限读取；策略只能使用可访问快照</x:v>
      </x:c>
    </x:row>
    <x:row r="4911" ht="32" customHeight="1">
      <x:c r="A4911" s="30" t="str">
        <x:v>A056</x:v>
      </x:c>
      <x:c r="B4911" s="30" t="str">
        <x:v>F243</x:v>
      </x:c>
      <x:c r="C4911" s="30" t="str">
        <x:v>action.failure_code</x:v>
      </x:c>
      <x:c r="D4911" s="30" t="str">
        <x:v>候选输入schema</x:v>
      </x:c>
      <x:c r="E4911" s="30" t="str">
        <x:v>按执行角色权限读取；策略只能使用可访问快照</x:v>
      </x:c>
    </x:row>
    <x:row r="4912" ht="32" customHeight="1">
      <x:c r="A4912" s="30" t="str">
        <x:v>A056</x:v>
      </x:c>
      <x:c r="B4912" s="30" t="str">
        <x:v>F244</x:v>
      </x:c>
      <x:c r="C4912" s="30" t="str">
        <x:v>action.cancel_requested</x:v>
      </x:c>
      <x:c r="D4912" s="30" t="str">
        <x:v>候选输入schema</x:v>
      </x:c>
      <x:c r="E4912" s="30" t="str">
        <x:v>按执行角色权限读取；策略只能使用可访问快照</x:v>
      </x:c>
    </x:row>
    <x:row r="4913" ht="32" customHeight="1">
      <x:c r="A4913" s="30" t="str">
        <x:v>A056</x:v>
      </x:c>
      <x:c r="B4913" s="30" t="str">
        <x:v>F245</x:v>
      </x:c>
      <x:c r="C4913" s="30" t="str">
        <x:v>action.backend_mode</x:v>
      </x:c>
      <x:c r="D4913" s="30" t="str">
        <x:v>候选输入schema</x:v>
      </x:c>
      <x:c r="E4913" s="30" t="str">
        <x:v>按执行角色权限读取；策略只能使用可访问快照</x:v>
      </x:c>
    </x:row>
    <x:row r="4914" ht="32" customHeight="1">
      <x:c r="A4914" s="30" t="str">
        <x:v>A056</x:v>
      </x:c>
      <x:c r="B4914" s="30" t="str">
        <x:v>F201</x:v>
      </x:c>
      <x:c r="C4914" s="30" t="str">
        <x:v>task.status</x:v>
      </x:c>
      <x:c r="D4914" s="30" t="str">
        <x:v>直接效果</x:v>
      </x:c>
      <x:c r="E4914" s="30" t="str">
        <x:v>经实际执行/回执提交；不是规划时提前修改</x:v>
      </x:c>
    </x:row>
    <x:row r="4915" ht="32" customHeight="1">
      <x:c r="A4915" s="30" t="str">
        <x:v>A056</x:v>
      </x:c>
      <x:c r="B4915" s="30" t="str">
        <x:v>F213</x:v>
      </x:c>
      <x:c r="C4915" s="30" t="str">
        <x:v>task.original_task_id</x:v>
      </x:c>
      <x:c r="D4915" s="30" t="str">
        <x:v>直接效果</x:v>
      </x:c>
      <x:c r="E4915" s="30" t="str">
        <x:v>经实际执行/回执提交；不是规划时提前修改</x:v>
      </x:c>
    </x:row>
    <x:row r="4916" ht="32" customHeight="1">
      <x:c r="A4916" s="30" t="str">
        <x:v>A056</x:v>
      </x:c>
      <x:c r="B4916" s="30" t="str">
        <x:v>F214</x:v>
      </x:c>
      <x:c r="C4916" s="30" t="str">
        <x:v>task.resume_checkpoint</x:v>
      </x:c>
      <x:c r="D4916" s="30" t="str">
        <x:v>直接效果</x:v>
      </x:c>
      <x:c r="E4916" s="30" t="str">
        <x:v>经实际执行/回执提交；不是规划时提前修改</x:v>
      </x:c>
    </x:row>
    <x:row r="4917" ht="32" customHeight="1">
      <x:c r="A4917" s="30" t="str">
        <x:v>A057</x:v>
      </x:c>
      <x:c r="B4917" s="30" t="str">
        <x:v>F044</x:v>
      </x:c>
      <x:c r="C4917" s="30" t="str">
        <x:v>road.centerline</x:v>
      </x:c>
      <x:c r="D4917" s="30" t="str">
        <x:v>候选输入schema</x:v>
      </x:c>
      <x:c r="E4917" s="30" t="str">
        <x:v>按执行角色权限读取；策略只能使用可访问快照</x:v>
      </x:c>
    </x:row>
    <x:row r="4918" ht="32" customHeight="1">
      <x:c r="A4918" s="30" t="str">
        <x:v>A057</x:v>
      </x:c>
      <x:c r="B4918" s="30" t="str">
        <x:v>F045</x:v>
      </x:c>
      <x:c r="C4918" s="30" t="str">
        <x:v>road.width_m</x:v>
      </x:c>
      <x:c r="D4918" s="30" t="str">
        <x:v>候选输入schema</x:v>
      </x:c>
      <x:c r="E4918" s="30" t="str">
        <x:v>按执行角色权限读取；策略只能使用可访问快照</x:v>
      </x:c>
    </x:row>
    <x:row r="4919" ht="32" customHeight="1">
      <x:c r="A4919" s="30" t="str">
        <x:v>A057</x:v>
      </x:c>
      <x:c r="B4919" s="30" t="str">
        <x:v>F046</x:v>
      </x:c>
      <x:c r="C4919" s="30" t="str">
        <x:v>road.surface</x:v>
      </x:c>
      <x:c r="D4919" s="30" t="str">
        <x:v>候选输入schema</x:v>
      </x:c>
      <x:c r="E4919" s="30" t="str">
        <x:v>按执行角色权限读取；策略只能使用可访问快照</x:v>
      </x:c>
    </x:row>
    <x:row r="4920" ht="32" customHeight="1">
      <x:c r="A4920" s="30" t="str">
        <x:v>A057</x:v>
      </x:c>
      <x:c r="B4920" s="30" t="str">
        <x:v>F047</x:v>
      </x:c>
      <x:c r="C4920" s="30" t="str">
        <x:v>road.from_node</x:v>
      </x:c>
      <x:c r="D4920" s="30" t="str">
        <x:v>候选输入schema</x:v>
      </x:c>
      <x:c r="E4920" s="30" t="str">
        <x:v>按执行角色权限读取；策略只能使用可访问快照</x:v>
      </x:c>
    </x:row>
    <x:row r="4921" ht="32" customHeight="1">
      <x:c r="A4921" s="30" t="str">
        <x:v>A057</x:v>
      </x:c>
      <x:c r="B4921" s="30" t="str">
        <x:v>F048</x:v>
      </x:c>
      <x:c r="C4921" s="30" t="str">
        <x:v>road.to_node</x:v>
      </x:c>
      <x:c r="D4921" s="30" t="str">
        <x:v>候选输入schema</x:v>
      </x:c>
      <x:c r="E4921" s="30" t="str">
        <x:v>按执行角色权限读取；策略只能使用可访问快照</x:v>
      </x:c>
    </x:row>
    <x:row r="4922" ht="32" customHeight="1">
      <x:c r="A4922" s="30" t="str">
        <x:v>A057</x:v>
      </x:c>
      <x:c r="B4922" s="30" t="str">
        <x:v>F049</x:v>
      </x:c>
      <x:c r="C4922" s="30" t="str">
        <x:v>road.obstacle_ids</x:v>
      </x:c>
      <x:c r="D4922" s="30" t="str">
        <x:v>候选输入schema</x:v>
      </x:c>
      <x:c r="E4922" s="30" t="str">
        <x:v>按执行角色权限读取；策略只能使用可访问快照</x:v>
      </x:c>
    </x:row>
    <x:row r="4923" ht="32" customHeight="1">
      <x:c r="A4923" s="30" t="str">
        <x:v>A057</x:v>
      </x:c>
      <x:c r="B4923" s="30" t="str">
        <x:v>F050</x:v>
      </x:c>
      <x:c r="C4923" s="30" t="str">
        <x:v>road.clear_width_m</x:v>
      </x:c>
      <x:c r="D4923" s="30" t="str">
        <x:v>候选输入schema</x:v>
      </x:c>
      <x:c r="E4923" s="30" t="str">
        <x:v>按执行角色权限读取；策略只能使用可访问快照</x:v>
      </x:c>
    </x:row>
    <x:row r="4924" ht="32" customHeight="1">
      <x:c r="A4924" s="30" t="str">
        <x:v>A057</x:v>
      </x:c>
      <x:c r="B4924" s="30" t="str">
        <x:v>F051</x:v>
      </x:c>
      <x:c r="C4924" s="30" t="str">
        <x:v>road.clear_height_m</x:v>
      </x:c>
      <x:c r="D4924" s="30" t="str">
        <x:v>候选输入schema</x:v>
      </x:c>
      <x:c r="E4924" s="30" t="str">
        <x:v>按执行角色权限读取；策略只能使用可访问快照</x:v>
      </x:c>
    </x:row>
    <x:row r="4925" ht="32" customHeight="1">
      <x:c r="A4925" s="30" t="str">
        <x:v>A057</x:v>
      </x:c>
      <x:c r="B4925" s="30" t="str">
        <x:v>F052</x:v>
      </x:c>
      <x:c r="C4925" s="30" t="str">
        <x:v>road.turn_radius_m</x:v>
      </x:c>
      <x:c r="D4925" s="30" t="str">
        <x:v>候选输入schema</x:v>
      </x:c>
      <x:c r="E4925" s="30" t="str">
        <x:v>按执行角色权限读取；策略只能使用可访问快照</x:v>
      </x:c>
    </x:row>
    <x:row r="4926" ht="32" customHeight="1">
      <x:c r="A4926" s="30" t="str">
        <x:v>A057</x:v>
      </x:c>
      <x:c r="B4926" s="30" t="str">
        <x:v>F053</x:v>
      </x:c>
      <x:c r="C4926" s="30" t="str">
        <x:v>road.step_height_m</x:v>
      </x:c>
      <x:c r="D4926" s="30" t="str">
        <x:v>候选输入schema</x:v>
      </x:c>
      <x:c r="E4926" s="30" t="str">
        <x:v>按执行角色权限读取；策略只能使用可访问快照</x:v>
      </x:c>
    </x:row>
    <x:row r="4927" ht="32" customHeight="1">
      <x:c r="A4927" s="30" t="str">
        <x:v>A057</x:v>
      </x:c>
      <x:c r="B4927" s="30" t="str">
        <x:v>F054</x:v>
      </x:c>
      <x:c r="C4927" s="30" t="str">
        <x:v>road.entry_state</x:v>
      </x:c>
      <x:c r="D4927" s="30" t="str">
        <x:v>候选输入schema</x:v>
      </x:c>
      <x:c r="E4927" s="30" t="str">
        <x:v>按执行角色权限读取；策略只能使用可访问快照</x:v>
      </x:c>
    </x:row>
    <x:row r="4928" ht="32" customHeight="1">
      <x:c r="A4928" s="30" t="str">
        <x:v>A057</x:v>
      </x:c>
      <x:c r="B4928" s="30" t="str">
        <x:v>F055</x:v>
      </x:c>
      <x:c r="C4928" s="30" t="str">
        <x:v>road.water_depth_m</x:v>
      </x:c>
      <x:c r="D4928" s="30" t="str">
        <x:v>候选输入schema</x:v>
      </x:c>
      <x:c r="E4928" s="30" t="str">
        <x:v>按执行角色权限读取；策略只能使用可访问快照</x:v>
      </x:c>
    </x:row>
    <x:row r="4929" ht="32" customHeight="1">
      <x:c r="A4929" s="30" t="str">
        <x:v>A057</x:v>
      </x:c>
      <x:c r="B4929" s="30" t="str">
        <x:v>F056</x:v>
      </x:c>
      <x:c r="C4929" s="30" t="str">
        <x:v>road.passability</x:v>
      </x:c>
      <x:c r="D4929" s="30" t="str">
        <x:v>候选输入schema</x:v>
      </x:c>
      <x:c r="E4929" s="30" t="str">
        <x:v>按执行角色权限读取；策略只能使用可访问快照</x:v>
      </x:c>
    </x:row>
    <x:row r="4930" ht="32" customHeight="1">
      <x:c r="A4930" s="30" t="str">
        <x:v>A057</x:v>
      </x:c>
      <x:c r="B4930" s="30" t="str">
        <x:v>F057</x:v>
      </x:c>
      <x:c r="C4930" s="30" t="str">
        <x:v>road.travel_cost</x:v>
      </x:c>
      <x:c r="D4930" s="30" t="str">
        <x:v>候选输入schema</x:v>
      </x:c>
      <x:c r="E4930" s="30" t="str">
        <x:v>按执行角色权限读取；策略只能使用可访问快照</x:v>
      </x:c>
    </x:row>
    <x:row r="4931" ht="32" customHeight="1">
      <x:c r="A4931" s="30" t="str">
        <x:v>A057</x:v>
      </x:c>
      <x:c r="B4931" s="30" t="str">
        <x:v>F058</x:v>
      </x:c>
      <x:c r="C4931" s="30" t="str">
        <x:v>road.topology_revision</x:v>
      </x:c>
      <x:c r="D4931" s="30" t="str">
        <x:v>候选输入schema</x:v>
      </x:c>
      <x:c r="E4931" s="30" t="str">
        <x:v>按执行角色权限读取；策略只能使用可访问快照</x:v>
      </x:c>
    </x:row>
    <x:row r="4932" ht="32" customHeight="1">
      <x:c r="A4932" s="30" t="str">
        <x:v>A057</x:v>
      </x:c>
      <x:c r="B4932" s="30" t="str">
        <x:v>F095</x:v>
      </x:c>
      <x:c r="C4932" s="30" t="str">
        <x:v>platform.kind</x:v>
      </x:c>
      <x:c r="D4932" s="30" t="str">
        <x:v>候选输入schema</x:v>
      </x:c>
      <x:c r="E4932" s="30" t="str">
        <x:v>按执行角色权限读取；策略只能使用可访问快照</x:v>
      </x:c>
    </x:row>
    <x:row r="4933" ht="32" customHeight="1">
      <x:c r="A4933" s="30" t="str">
        <x:v>A057</x:v>
      </x:c>
      <x:c r="B4933" s="30" t="str">
        <x:v>F096</x:v>
      </x:c>
      <x:c r="C4933" s="30" t="str">
        <x:v>platform.capability_ids</x:v>
      </x:c>
      <x:c r="D4933" s="30" t="str">
        <x:v>候选输入schema</x:v>
      </x:c>
      <x:c r="E4933" s="30" t="str">
        <x:v>按执行角色权限读取；策略只能使用可访问快照</x:v>
      </x:c>
    </x:row>
    <x:row r="4934" ht="32" customHeight="1">
      <x:c r="A4934" s="30" t="str">
        <x:v>A057</x:v>
      </x:c>
      <x:c r="B4934" s="30" t="str">
        <x:v>F097</x:v>
      </x:c>
      <x:c r="C4934" s="30" t="str">
        <x:v>platform.equipment_ids</x:v>
      </x:c>
      <x:c r="D4934" s="30" t="str">
        <x:v>候选输入schema</x:v>
      </x:c>
      <x:c r="E4934" s="30" t="str">
        <x:v>按执行角色权限读取；策略只能使用可访问快照</x:v>
      </x:c>
    </x:row>
    <x:row r="4935" ht="32" customHeight="1">
      <x:c r="A4935" s="30" t="str">
        <x:v>A057</x:v>
      </x:c>
      <x:c r="B4935" s="30" t="str">
        <x:v>F098</x:v>
      </x:c>
      <x:c r="C4935" s="30" t="str">
        <x:v>platform.width_m</x:v>
      </x:c>
      <x:c r="D4935" s="30" t="str">
        <x:v>候选输入schema</x:v>
      </x:c>
      <x:c r="E4935" s="30" t="str">
        <x:v>按执行角色权限读取；策略只能使用可访问快照</x:v>
      </x:c>
    </x:row>
    <x:row r="4936" ht="32" customHeight="1">
      <x:c r="A4936" s="30" t="str">
        <x:v>A057</x:v>
      </x:c>
      <x:c r="B4936" s="30" t="str">
        <x:v>F099</x:v>
      </x:c>
      <x:c r="C4936" s="30" t="str">
        <x:v>platform.height_m</x:v>
      </x:c>
      <x:c r="D4936" s="30" t="str">
        <x:v>候选输入schema</x:v>
      </x:c>
      <x:c r="E4936" s="30" t="str">
        <x:v>按执行角色权限读取；策略只能使用可访问快照</x:v>
      </x:c>
    </x:row>
    <x:row r="4937" ht="32" customHeight="1">
      <x:c r="A4937" s="30" t="str">
        <x:v>A057</x:v>
      </x:c>
      <x:c r="B4937" s="30" t="str">
        <x:v>F100</x:v>
      </x:c>
      <x:c r="C4937" s="30" t="str">
        <x:v>platform.swept_radius_m</x:v>
      </x:c>
      <x:c r="D4937" s="30" t="str">
        <x:v>候选输入schema</x:v>
      </x:c>
      <x:c r="E4937" s="30" t="str">
        <x:v>按执行角色权限读取；策略只能使用可访问快照</x:v>
      </x:c>
    </x:row>
    <x:row r="4938" ht="32" customHeight="1">
      <x:c r="A4938" s="30" t="str">
        <x:v>A057</x:v>
      </x:c>
      <x:c r="B4938" s="30" t="str">
        <x:v>F101</x:v>
      </x:c>
      <x:c r="C4938" s="30" t="str">
        <x:v>platform.payload_capacity_kg</x:v>
      </x:c>
      <x:c r="D4938" s="30" t="str">
        <x:v>候选输入schema</x:v>
      </x:c>
      <x:c r="E4938" s="30" t="str">
        <x:v>按执行角色权限读取；策略只能使用可访问快照</x:v>
      </x:c>
    </x:row>
    <x:row r="4939" ht="32" customHeight="1">
      <x:c r="A4939" s="30" t="str">
        <x:v>A057</x:v>
      </x:c>
      <x:c r="B4939" s="30" t="str">
        <x:v>F102</x:v>
      </x:c>
      <x:c r="C4939" s="30" t="str">
        <x:v>platform.payload_used_kg</x:v>
      </x:c>
      <x:c r="D4939" s="30" t="str">
        <x:v>候选输入schema</x:v>
      </x:c>
      <x:c r="E4939" s="30" t="str">
        <x:v>按执行角色权限读取；策略只能使用可访问快照</x:v>
      </x:c>
    </x:row>
    <x:row r="4940" ht="32" customHeight="1">
      <x:c r="A4940" s="30" t="str">
        <x:v>A057</x:v>
      </x:c>
      <x:c r="B4940" s="30" t="str">
        <x:v>F103</x:v>
      </x:c>
      <x:c r="C4940" s="30" t="str">
        <x:v>platform.payload_item_ids</x:v>
      </x:c>
      <x:c r="D4940" s="30" t="str">
        <x:v>候选输入schema</x:v>
      </x:c>
      <x:c r="E4940" s="30" t="str">
        <x:v>按执行角色权限读取；策略只能使用可访问快照</x:v>
      </x:c>
    </x:row>
    <x:row r="4941" ht="32" customHeight="1">
      <x:c r="A4941" s="30" t="str">
        <x:v>A057</x:v>
      </x:c>
      <x:c r="B4941" s="30" t="str">
        <x:v>F104</x:v>
      </x:c>
      <x:c r="C4941" s="30" t="str">
        <x:v>platform.battery_capacity_Wh</x:v>
      </x:c>
      <x:c r="D4941" s="30" t="str">
        <x:v>候选输入schema</x:v>
      </x:c>
      <x:c r="E4941" s="30" t="str">
        <x:v>按执行角色权限读取；策略只能使用可访问快照</x:v>
      </x:c>
    </x:row>
    <x:row r="4942" ht="32" customHeight="1">
      <x:c r="A4942" s="30" t="str">
        <x:v>A057</x:v>
      </x:c>
      <x:c r="B4942" s="30" t="str">
        <x:v>F105</x:v>
      </x:c>
      <x:c r="C4942" s="30" t="str">
        <x:v>platform.battery_remaining_Wh</x:v>
      </x:c>
      <x:c r="D4942" s="30" t="str">
        <x:v>候选输入schema</x:v>
      </x:c>
      <x:c r="E4942" s="30" t="str">
        <x:v>按执行角色权限读取；策略只能使用可访问快照</x:v>
      </x:c>
    </x:row>
    <x:row r="4943" ht="32" customHeight="1">
      <x:c r="A4943" s="30" t="str">
        <x:v>A057</x:v>
      </x:c>
      <x:c r="B4943" s="30" t="str">
        <x:v>F106</x:v>
      </x:c>
      <x:c r="C4943" s="30" t="str">
        <x:v>platform.reserve_Wh</x:v>
      </x:c>
      <x:c r="D4943" s="30" t="str">
        <x:v>候选输入schema</x:v>
      </x:c>
      <x:c r="E4943" s="30" t="str">
        <x:v>按执行角色权限读取；策略只能使用可访问快照</x:v>
      </x:c>
    </x:row>
    <x:row r="4944" ht="32" customHeight="1">
      <x:c r="A4944" s="30" t="str">
        <x:v>A057</x:v>
      </x:c>
      <x:c r="B4944" s="30" t="str">
        <x:v>F107</x:v>
      </x:c>
      <x:c r="C4944" s="30" t="str">
        <x:v>platform.speed_limit_mps</x:v>
      </x:c>
      <x:c r="D4944" s="30" t="str">
        <x:v>候选输入schema</x:v>
      </x:c>
      <x:c r="E4944" s="30" t="str">
        <x:v>按执行角色权限读取；策略只能使用可访问快照</x:v>
      </x:c>
    </x:row>
    <x:row r="4945" ht="32" customHeight="1">
      <x:c r="A4945" s="30" t="str">
        <x:v>A057</x:v>
      </x:c>
      <x:c r="B4945" s="30" t="str">
        <x:v>F108</x:v>
      </x:c>
      <x:c r="C4945" s="30" t="str">
        <x:v>platform.energy_model</x:v>
      </x:c>
      <x:c r="D4945" s="30" t="str">
        <x:v>候选输入schema</x:v>
      </x:c>
      <x:c r="E4945" s="30" t="str">
        <x:v>按执行角色权限读取；策略只能使用可访问快照</x:v>
      </x:c>
    </x:row>
    <x:row r="4946" ht="32" customHeight="1">
      <x:c r="A4946" s="30" t="str">
        <x:v>A057</x:v>
      </x:c>
      <x:c r="B4946" s="30" t="str">
        <x:v>F109</x:v>
      </x:c>
      <x:c r="C4946" s="30" t="str">
        <x:v>platform.motion_state</x:v>
      </x:c>
      <x:c r="D4946" s="30" t="str">
        <x:v>候选输入schema</x:v>
      </x:c>
      <x:c r="E4946" s="30" t="str">
        <x:v>按执行角色权限读取；策略只能使用可访问快照</x:v>
      </x:c>
    </x:row>
    <x:row r="4947" ht="32" customHeight="1">
      <x:c r="A4947" s="30" t="str">
        <x:v>A057</x:v>
      </x:c>
      <x:c r="B4947" s="30" t="str">
        <x:v>F110</x:v>
      </x:c>
      <x:c r="C4947" s="30" t="str">
        <x:v>platform.health_state</x:v>
      </x:c>
      <x:c r="D4947" s="30" t="str">
        <x:v>候选输入schema</x:v>
      </x:c>
      <x:c r="E4947" s="30" t="str">
        <x:v>按执行角色权限读取；策略只能使用可访问快照</x:v>
      </x:c>
    </x:row>
    <x:row r="4948" ht="32" customHeight="1">
      <x:c r="A4948" s="30" t="str">
        <x:v>A057</x:v>
      </x:c>
      <x:c r="B4948" s="30" t="str">
        <x:v>F111</x:v>
      </x:c>
      <x:c r="C4948" s="30" t="str">
        <x:v>platform.current_action_id</x:v>
      </x:c>
      <x:c r="D4948" s="30" t="str">
        <x:v>候选输入schema</x:v>
      </x:c>
      <x:c r="E4948" s="30" t="str">
        <x:v>按执行角色权限读取；策略只能使用可访问快照</x:v>
      </x:c>
    </x:row>
    <x:row r="4949" ht="32" customHeight="1">
      <x:c r="A4949" s="30" t="str">
        <x:v>A057</x:v>
      </x:c>
      <x:c r="B4949" s="30" t="str">
        <x:v>F112</x:v>
      </x:c>
      <x:c r="C4949" s="30" t="str">
        <x:v>platform.busy_until_est_s</x:v>
      </x:c>
      <x:c r="D4949" s="30" t="str">
        <x:v>候选输入schema</x:v>
      </x:c>
      <x:c r="E4949" s="30" t="str">
        <x:v>按执行角色权限读取；策略只能使用可访问快照</x:v>
      </x:c>
    </x:row>
    <x:row r="4950" ht="32" customHeight="1">
      <x:c r="A4950" s="30" t="str">
        <x:v>A057</x:v>
      </x:c>
      <x:c r="B4950" s="30" t="str">
        <x:v>F113</x:v>
      </x:c>
      <x:c r="C4950" s="30" t="str">
        <x:v>platform.return_site_id</x:v>
      </x:c>
      <x:c r="D4950" s="30" t="str">
        <x:v>候选输入schema</x:v>
      </x:c>
      <x:c r="E4950" s="30" t="str">
        <x:v>按执行角色权限读取；策略只能使用可访问快照</x:v>
      </x:c>
    </x:row>
    <x:row r="4951" ht="32" customHeight="1">
      <x:c r="A4951" s="30" t="str">
        <x:v>A057</x:v>
      </x:c>
      <x:c r="B4951" s="30" t="str">
        <x:v>F114</x:v>
      </x:c>
      <x:c r="C4951" s="30" t="str">
        <x:v>platform.water_tolerance_m</x:v>
      </x:c>
      <x:c r="D4951" s="30" t="str">
        <x:v>候选输入schema</x:v>
      </x:c>
      <x:c r="E4951" s="30" t="str">
        <x:v>按执行角色权限读取；策略只能使用可访问快照</x:v>
      </x:c>
    </x:row>
    <x:row r="4952" ht="32" customHeight="1">
      <x:c r="A4952" s="30" t="str">
        <x:v>A057</x:v>
      </x:c>
      <x:c r="B4952" s="30" t="str">
        <x:v>F115</x:v>
      </x:c>
      <x:c r="C4952" s="30" t="str">
        <x:v>platform.concurrency_policy</x:v>
      </x:c>
      <x:c r="D4952" s="30" t="str">
        <x:v>候选输入schema</x:v>
      </x:c>
      <x:c r="E4952" s="30" t="str">
        <x:v>按执行角色权限读取；策略只能使用可访问快照</x:v>
      </x:c>
    </x:row>
    <x:row r="4953" ht="32" customHeight="1">
      <x:c r="A4953" s="30" t="str">
        <x:v>A057</x:v>
      </x:c>
      <x:c r="B4953" s="30" t="str">
        <x:v>F181</x:v>
      </x:c>
      <x:c r="C4953" s="30" t="str">
        <x:v>belief.agent_id</x:v>
      </x:c>
      <x:c r="D4953" s="30" t="str">
        <x:v>候选输入schema</x:v>
      </x:c>
      <x:c r="E4953" s="30" t="str">
        <x:v>按执行角色权限读取；策略只能使用可访问快照</x:v>
      </x:c>
    </x:row>
    <x:row r="4954" ht="32" customHeight="1">
      <x:c r="A4954" s="30" t="str">
        <x:v>A057</x:v>
      </x:c>
      <x:c r="B4954" s="30" t="str">
        <x:v>F182</x:v>
      </x:c>
      <x:c r="C4954" s="30" t="str">
        <x:v>belief.entity_ref</x:v>
      </x:c>
      <x:c r="D4954" s="30" t="str">
        <x:v>候选输入schema</x:v>
      </x:c>
      <x:c r="E4954" s="30" t="str">
        <x:v>按执行角色权限读取；策略只能使用可访问快照</x:v>
      </x:c>
    </x:row>
    <x:row r="4955" ht="32" customHeight="1">
      <x:c r="A4955" s="30" t="str">
        <x:v>A057</x:v>
      </x:c>
      <x:c r="B4955" s="30" t="str">
        <x:v>F183</x:v>
      </x:c>
      <x:c r="C4955" s="30" t="str">
        <x:v>belief.estimated_damage</x:v>
      </x:c>
      <x:c r="D4955" s="30" t="str">
        <x:v>候选输入schema</x:v>
      </x:c>
      <x:c r="E4955" s="30" t="str">
        <x:v>按执行角色权限读取；策略只能使用可访问快照</x:v>
      </x:c>
    </x:row>
    <x:row r="4956" ht="32" customHeight="1">
      <x:c r="A4956" s="30" t="str">
        <x:v>A057</x:v>
      </x:c>
      <x:c r="B4956" s="30" t="str">
        <x:v>F184</x:v>
      </x:c>
      <x:c r="C4956" s="30" t="str">
        <x:v>belief.human_presence</x:v>
      </x:c>
      <x:c r="D4956" s="30" t="str">
        <x:v>候选输入schema</x:v>
      </x:c>
      <x:c r="E4956" s="30" t="str">
        <x:v>按执行角色权限读取；策略只能使用可访问快照</x:v>
      </x:c>
    </x:row>
    <x:row r="4957" ht="32" customHeight="1">
      <x:c r="A4957" s="30" t="str">
        <x:v>A057</x:v>
      </x:c>
      <x:c r="B4957" s="30" t="str">
        <x:v>F185</x:v>
      </x:c>
      <x:c r="C4957" s="30" t="str">
        <x:v>belief.estimated_pose</x:v>
      </x:c>
      <x:c r="D4957" s="30" t="str">
        <x:v>候选输入schema</x:v>
      </x:c>
      <x:c r="E4957" s="30" t="str">
        <x:v>按执行角色权限读取；策略只能使用可访问快照</x:v>
      </x:c>
    </x:row>
    <x:row r="4958" ht="32" customHeight="1">
      <x:c r="A4958" s="30" t="str">
        <x:v>A057</x:v>
      </x:c>
      <x:c r="B4958" s="30" t="str">
        <x:v>F186</x:v>
      </x:c>
      <x:c r="C4958" s="30" t="str">
        <x:v>belief.estimated_access</x:v>
      </x:c>
      <x:c r="D4958" s="30" t="str">
        <x:v>候选输入schema</x:v>
      </x:c>
      <x:c r="E4958" s="30" t="str">
        <x:v>按执行角色权限读取；策略只能使用可访问快照</x:v>
      </x:c>
    </x:row>
    <x:row r="4959" ht="32" customHeight="1">
      <x:c r="A4959" s="30" t="str">
        <x:v>A057</x:v>
      </x:c>
      <x:c r="B4959" s="30" t="str">
        <x:v>F187</x:v>
      </x:c>
      <x:c r="C4959" s="30" t="str">
        <x:v>belief.estimated_needs</x:v>
      </x:c>
      <x:c r="D4959" s="30" t="str">
        <x:v>候选输入schema</x:v>
      </x:c>
      <x:c r="E4959" s="30" t="str">
        <x:v>按执行角色权限读取；策略只能使用可访问快照</x:v>
      </x:c>
    </x:row>
    <x:row r="4960" ht="32" customHeight="1">
      <x:c r="A4960" s="30" t="str">
        <x:v>A057</x:v>
      </x:c>
      <x:c r="B4960" s="30" t="str">
        <x:v>F188</x:v>
      </x:c>
      <x:c r="C4960" s="30" t="str">
        <x:v>belief.evidence_ids</x:v>
      </x:c>
      <x:c r="D4960" s="30" t="str">
        <x:v>候选输入schema</x:v>
      </x:c>
      <x:c r="E4960" s="30" t="str">
        <x:v>按执行角色权限读取；策略只能使用可访问快照</x:v>
      </x:c>
    </x:row>
    <x:row r="4961" ht="32" customHeight="1">
      <x:c r="A4961" s="30" t="str">
        <x:v>A057</x:v>
      </x:c>
      <x:c r="B4961" s="30" t="str">
        <x:v>F189</x:v>
      </x:c>
      <x:c r="C4961" s="30" t="str">
        <x:v>belief.source_agent_ids</x:v>
      </x:c>
      <x:c r="D4961" s="30" t="str">
        <x:v>候选输入schema</x:v>
      </x:c>
      <x:c r="E4961" s="30" t="str">
        <x:v>按执行角色权限读取；策略只能使用可访问快照</x:v>
      </x:c>
    </x:row>
    <x:row r="4962" ht="32" customHeight="1">
      <x:c r="A4962" s="30" t="str">
        <x:v>A057</x:v>
      </x:c>
      <x:c r="B4962" s="30" t="str">
        <x:v>F190</x:v>
      </x:c>
      <x:c r="C4962" s="30" t="str">
        <x:v>belief.updated_at_s</x:v>
      </x:c>
      <x:c r="D4962" s="30" t="str">
        <x:v>候选输入schema</x:v>
      </x:c>
      <x:c r="E4962" s="30" t="str">
        <x:v>按执行角色权限读取；策略只能使用可访问快照</x:v>
      </x:c>
    </x:row>
    <x:row r="4963" ht="32" customHeight="1">
      <x:c r="A4963" s="30" t="str">
        <x:v>A057</x:v>
      </x:c>
      <x:c r="B4963" s="30" t="str">
        <x:v>F191</x:v>
      </x:c>
      <x:c r="C4963" s="30" t="str">
        <x:v>belief.staleness_s</x:v>
      </x:c>
      <x:c r="D4963" s="30" t="str">
        <x:v>候选输入schema</x:v>
      </x:c>
      <x:c r="E4963" s="30" t="str">
        <x:v>按执行角色权限读取；策略只能使用可访问快照</x:v>
      </x:c>
    </x:row>
    <x:row r="4964" ht="32" customHeight="1">
      <x:c r="A4964" s="30" t="str">
        <x:v>A057</x:v>
      </x:c>
      <x:c r="B4964" s="30" t="str">
        <x:v>F192</x:v>
      </x:c>
      <x:c r="C4964" s="30" t="str">
        <x:v>belief.conflict_state</x:v>
      </x:c>
      <x:c r="D4964" s="30" t="str">
        <x:v>候选输入schema</x:v>
      </x:c>
      <x:c r="E4964" s="30" t="str">
        <x:v>按执行角色权限读取；策略只能使用可访问快照</x:v>
      </x:c>
    </x:row>
    <x:row r="4965" ht="32" customHeight="1">
      <x:c r="A4965" s="30" t="str">
        <x:v>A057</x:v>
      </x:c>
      <x:c r="B4965" s="30" t="str">
        <x:v>F193</x:v>
      </x:c>
      <x:c r="C4965" s="30" t="str">
        <x:v>belief.team_estimates</x:v>
      </x:c>
      <x:c r="D4965" s="30" t="str">
        <x:v>候选输入schema</x:v>
      </x:c>
      <x:c r="E4965" s="30" t="str">
        <x:v>按执行角色权限读取；策略只能使用可访问快照</x:v>
      </x:c>
    </x:row>
    <x:row r="4966" ht="32" customHeight="1">
      <x:c r="A4966" s="30" t="str">
        <x:v>A057</x:v>
      </x:c>
      <x:c r="B4966" s="30" t="str">
        <x:v>F194</x:v>
      </x:c>
      <x:c r="C4966" s="30" t="str">
        <x:v>belief.search_status</x:v>
      </x:c>
      <x:c r="D4966" s="30" t="str">
        <x:v>候选输入schema</x:v>
      </x:c>
      <x:c r="E4966" s="30" t="str">
        <x:v>按执行角色权限读取；策略只能使用可访问快照</x:v>
      </x:c>
    </x:row>
    <x:row r="4967" ht="32" customHeight="1">
      <x:c r="A4967" s="30" t="str">
        <x:v>A057</x:v>
      </x:c>
      <x:c r="B4967" s="30" t="str">
        <x:v>F195</x:v>
      </x:c>
      <x:c r="C4967" s="30" t="str">
        <x:v>belief.current_goal_context</x:v>
      </x:c>
      <x:c r="D4967" s="30" t="str">
        <x:v>候选输入schema</x:v>
      </x:c>
      <x:c r="E4967" s="30" t="str">
        <x:v>按执行角色权限读取；策略只能使用可访问快照</x:v>
      </x:c>
    </x:row>
    <x:row r="4968" ht="32" customHeight="1">
      <x:c r="A4968" s="30" t="str">
        <x:v>A057</x:v>
      </x:c>
      <x:c r="B4968" s="30" t="str">
        <x:v>F196</x:v>
      </x:c>
      <x:c r="C4968" s="30" t="str">
        <x:v>task.type</x:v>
      </x:c>
      <x:c r="D4968" s="30" t="str">
        <x:v>候选输入schema</x:v>
      </x:c>
      <x:c r="E4968" s="30" t="str">
        <x:v>按执行角色权限读取；策略只能使用可访问快照</x:v>
      </x:c>
    </x:row>
    <x:row r="4969" ht="32" customHeight="1">
      <x:c r="A4969" s="30" t="str">
        <x:v>A057</x:v>
      </x:c>
      <x:c r="B4969" s="30" t="str">
        <x:v>F197</x:v>
      </x:c>
      <x:c r="C4969" s="30" t="str">
        <x:v>task.creator_id</x:v>
      </x:c>
      <x:c r="D4969" s="30" t="str">
        <x:v>候选输入schema</x:v>
      </x:c>
      <x:c r="E4969" s="30" t="str">
        <x:v>按执行角色权限读取；策略只能使用可访问快照</x:v>
      </x:c>
    </x:row>
    <x:row r="4970" ht="32" customHeight="1">
      <x:c r="A4970" s="30" t="str">
        <x:v>A057</x:v>
      </x:c>
      <x:c r="B4970" s="30" t="str">
        <x:v>F198</x:v>
      </x:c>
      <x:c r="C4970" s="30" t="str">
        <x:v>task.target_ref</x:v>
      </x:c>
      <x:c r="D4970" s="30" t="str">
        <x:v>候选输入schema</x:v>
      </x:c>
      <x:c r="E4970" s="30" t="str">
        <x:v>按执行角色权限读取；策略只能使用可访问快照</x:v>
      </x:c>
    </x:row>
    <x:row r="4971" ht="32" customHeight="1">
      <x:c r="A4971" s="30" t="str">
        <x:v>A057</x:v>
      </x:c>
      <x:c r="B4971" s="30" t="str">
        <x:v>F199</x:v>
      </x:c>
      <x:c r="C4971" s="30" t="str">
        <x:v>task.goal_predicate</x:v>
      </x:c>
      <x:c r="D4971" s="30" t="str">
        <x:v>候选输入schema</x:v>
      </x:c>
      <x:c r="E4971" s="30" t="str">
        <x:v>按执行角色权限读取；策略只能使用可访问快照</x:v>
      </x:c>
    </x:row>
    <x:row r="4972" ht="32" customHeight="1">
      <x:c r="A4972" s="30" t="str">
        <x:v>A057</x:v>
      </x:c>
      <x:c r="B4972" s="30" t="str">
        <x:v>F200</x:v>
      </x:c>
      <x:c r="C4972" s="30" t="str">
        <x:v>task.revision</x:v>
      </x:c>
      <x:c r="D4972" s="30" t="str">
        <x:v>候选输入schema</x:v>
      </x:c>
      <x:c r="E4972" s="30" t="str">
        <x:v>按执行角色权限读取；策略只能使用可访问快照</x:v>
      </x:c>
    </x:row>
    <x:row r="4973" ht="32" customHeight="1">
      <x:c r="A4973" s="30" t="str">
        <x:v>A057</x:v>
      </x:c>
      <x:c r="B4973" s="30" t="str">
        <x:v>F201</x:v>
      </x:c>
      <x:c r="C4973" s="30" t="str">
        <x:v>task.status</x:v>
      </x:c>
      <x:c r="D4973" s="30" t="str">
        <x:v>候选输入schema</x:v>
      </x:c>
      <x:c r="E4973" s="30" t="str">
        <x:v>按执行角色权限读取；策略只能使用可访问快照</x:v>
      </x:c>
    </x:row>
    <x:row r="4974" ht="32" customHeight="1">
      <x:c r="A4974" s="30" t="str">
        <x:v>A057</x:v>
      </x:c>
      <x:c r="B4974" s="30" t="str">
        <x:v>F202</x:v>
      </x:c>
      <x:c r="C4974" s="30" t="str">
        <x:v>task.priority</x:v>
      </x:c>
      <x:c r="D4974" s="30" t="str">
        <x:v>候选输入schema</x:v>
      </x:c>
      <x:c r="E4974" s="30" t="str">
        <x:v>按执行角色权限读取；策略只能使用可访问快照</x:v>
      </x:c>
    </x:row>
    <x:row r="4975" ht="32" customHeight="1">
      <x:c r="A4975" s="30" t="str">
        <x:v>A057</x:v>
      </x:c>
      <x:c r="B4975" s="30" t="str">
        <x:v>F203</x:v>
      </x:c>
      <x:c r="C4975" s="30" t="str">
        <x:v>task.deadline_s</x:v>
      </x:c>
      <x:c r="D4975" s="30" t="str">
        <x:v>候选输入schema</x:v>
      </x:c>
      <x:c r="E4975" s="30" t="str">
        <x:v>按执行角色权限读取；策略只能使用可访问快照</x:v>
      </x:c>
    </x:row>
    <x:row r="4976" ht="32" customHeight="1">
      <x:c r="A4976" s="30" t="str">
        <x:v>A057</x:v>
      </x:c>
      <x:c r="B4976" s="30" t="str">
        <x:v>F204</x:v>
      </x:c>
      <x:c r="C4976" s="30" t="str">
        <x:v>task.dependency_ids</x:v>
      </x:c>
      <x:c r="D4976" s="30" t="str">
        <x:v>候选输入schema</x:v>
      </x:c>
      <x:c r="E4976" s="30" t="str">
        <x:v>按执行角色权限读取；策略只能使用可访问快照</x:v>
      </x:c>
    </x:row>
    <x:row r="4977" ht="32" customHeight="1">
      <x:c r="A4977" s="30" t="str">
        <x:v>A057</x:v>
      </x:c>
      <x:c r="B4977" s="30" t="str">
        <x:v>F205</x:v>
      </x:c>
      <x:c r="C4977" s="30" t="str">
        <x:v>task.required_capability_ids</x:v>
      </x:c>
      <x:c r="D4977" s="30" t="str">
        <x:v>候选输入schema</x:v>
      </x:c>
      <x:c r="E4977" s="30" t="str">
        <x:v>按执行角色权限读取；策略只能使用可访问快照</x:v>
      </x:c>
    </x:row>
    <x:row r="4978" ht="32" customHeight="1">
      <x:c r="A4978" s="30" t="str">
        <x:v>A057</x:v>
      </x:c>
      <x:c r="B4978" s="30" t="str">
        <x:v>F206</x:v>
      </x:c>
      <x:c r="C4978" s="30" t="str">
        <x:v>task.resource_budget</x:v>
      </x:c>
      <x:c r="D4978" s="30" t="str">
        <x:v>候选输入schema</x:v>
      </x:c>
      <x:c r="E4978" s="30" t="str">
        <x:v>按执行角色权限读取；策略只能使用可访问快照</x:v>
      </x:c>
    </x:row>
    <x:row r="4979" ht="32" customHeight="1">
      <x:c r="A4979" s="30" t="str">
        <x:v>A057</x:v>
      </x:c>
      <x:c r="B4979" s="30" t="str">
        <x:v>F207</x:v>
      </x:c>
      <x:c r="C4979" s="30" t="str">
        <x:v>task.assigned_to</x:v>
      </x:c>
      <x:c r="D4979" s="30" t="str">
        <x:v>候选输入schema</x:v>
      </x:c>
      <x:c r="E4979" s="30" t="str">
        <x:v>按执行角色权限读取；策略只能使用可访问快照</x:v>
      </x:c>
    </x:row>
    <x:row r="4980" ht="32" customHeight="1">
      <x:c r="A4980" s="30" t="str">
        <x:v>A057</x:v>
      </x:c>
      <x:c r="B4980" s="30" t="str">
        <x:v>F208</x:v>
      </x:c>
      <x:c r="C4980" s="30" t="str">
        <x:v>task.accepted_by</x:v>
      </x:c>
      <x:c r="D4980" s="30" t="str">
        <x:v>候选输入schema</x:v>
      </x:c>
      <x:c r="E4980" s="30" t="str">
        <x:v>按执行角色权限读取；策略只能使用可访问快照</x:v>
      </x:c>
    </x:row>
    <x:row r="4981" ht="32" customHeight="1">
      <x:c r="A4981" s="30" t="str">
        <x:v>A057</x:v>
      </x:c>
      <x:c r="B4981" s="30" t="str">
        <x:v>F209</x:v>
      </x:c>
      <x:c r="C4981" s="30" t="str">
        <x:v>task.commitment_window</x:v>
      </x:c>
      <x:c r="D4981" s="30" t="str">
        <x:v>候选输入schema</x:v>
      </x:c>
      <x:c r="E4981" s="30" t="str">
        <x:v>按执行角色权限读取；策略只能使用可访问快照</x:v>
      </x:c>
    </x:row>
    <x:row r="4982" ht="32" customHeight="1">
      <x:c r="A4982" s="30" t="str">
        <x:v>A057</x:v>
      </x:c>
      <x:c r="B4982" s="30" t="str">
        <x:v>F210</x:v>
      </x:c>
      <x:c r="C4982" s="30" t="str">
        <x:v>task.progress</x:v>
      </x:c>
      <x:c r="D4982" s="30" t="str">
        <x:v>候选输入schema</x:v>
      </x:c>
      <x:c r="E4982" s="30" t="str">
        <x:v>按执行角色权限读取；策略只能使用可访问快照</x:v>
      </x:c>
    </x:row>
    <x:row r="4983" ht="32" customHeight="1">
      <x:c r="A4983" s="30" t="str">
        <x:v>A057</x:v>
      </x:c>
      <x:c r="B4983" s="30" t="str">
        <x:v>F211</x:v>
      </x:c>
      <x:c r="C4983" s="30" t="str">
        <x:v>task.active_action_ids</x:v>
      </x:c>
      <x:c r="D4983" s="30" t="str">
        <x:v>候选输入schema</x:v>
      </x:c>
      <x:c r="E4983" s="30" t="str">
        <x:v>按执行角色权限读取；策略只能使用可访问快照</x:v>
      </x:c>
    </x:row>
    <x:row r="4984" ht="32" customHeight="1">
      <x:c r="A4984" s="30" t="str">
        <x:v>A057</x:v>
      </x:c>
      <x:c r="B4984" s="30" t="str">
        <x:v>F212</x:v>
      </x:c>
      <x:c r="C4984" s="30" t="str">
        <x:v>task.interruptibility</x:v>
      </x:c>
      <x:c r="D4984" s="30" t="str">
        <x:v>候选输入schema</x:v>
      </x:c>
      <x:c r="E4984" s="30" t="str">
        <x:v>按执行角色权限读取；策略只能使用可访问快照</x:v>
      </x:c>
    </x:row>
    <x:row r="4985" ht="32" customHeight="1">
      <x:c r="A4985" s="30" t="str">
        <x:v>A057</x:v>
      </x:c>
      <x:c r="B4985" s="30" t="str">
        <x:v>F213</x:v>
      </x:c>
      <x:c r="C4985" s="30" t="str">
        <x:v>task.original_task_id</x:v>
      </x:c>
      <x:c r="D4985" s="30" t="str">
        <x:v>候选输入schema</x:v>
      </x:c>
      <x:c r="E4985" s="30" t="str">
        <x:v>按执行角色权限读取；策略只能使用可访问快照</x:v>
      </x:c>
    </x:row>
    <x:row r="4986" ht="32" customHeight="1">
      <x:c r="A4986" s="30" t="str">
        <x:v>A057</x:v>
      </x:c>
      <x:c r="B4986" s="30" t="str">
        <x:v>F214</x:v>
      </x:c>
      <x:c r="C4986" s="30" t="str">
        <x:v>task.resume_checkpoint</x:v>
      </x:c>
      <x:c r="D4986" s="30" t="str">
        <x:v>候选输入schema</x:v>
      </x:c>
      <x:c r="E4986" s="30" t="str">
        <x:v>按执行角色权限读取；策略只能使用可访问快照</x:v>
      </x:c>
    </x:row>
    <x:row r="4987" ht="32" customHeight="1">
      <x:c r="A4987" s="30" t="str">
        <x:v>A057</x:v>
      </x:c>
      <x:c r="B4987" s="30" t="str">
        <x:v>F215</x:v>
      </x:c>
      <x:c r="C4987" s="30" t="str">
        <x:v>task.handoff_target_id</x:v>
      </x:c>
      <x:c r="D4987" s="30" t="str">
        <x:v>候选输入schema</x:v>
      </x:c>
      <x:c r="E4987" s="30" t="str">
        <x:v>按执行角色权限读取；策略只能使用可访问快照</x:v>
      </x:c>
    </x:row>
    <x:row r="4988" ht="32" customHeight="1">
      <x:c r="A4988" s="30" t="str">
        <x:v>A057</x:v>
      </x:c>
      <x:c r="B4988" s="30" t="str">
        <x:v>F216</x:v>
      </x:c>
      <x:c r="C4988" s="30" t="str">
        <x:v>task.result_evidence_ids</x:v>
      </x:c>
      <x:c r="D4988" s="30" t="str">
        <x:v>候选输入schema</x:v>
      </x:c>
      <x:c r="E4988" s="30" t="str">
        <x:v>按执行角色权限读取；策略只能使用可访问快照</x:v>
      </x:c>
    </x:row>
    <x:row r="4989" ht="32" customHeight="1">
      <x:c r="A4989" s="30" t="str">
        <x:v>A057</x:v>
      </x:c>
      <x:c r="B4989" s="30" t="str">
        <x:v>F217</x:v>
      </x:c>
      <x:c r="C4989" s="30" t="str">
        <x:v>task.failure_reason</x:v>
      </x:c>
      <x:c r="D4989" s="30" t="str">
        <x:v>候选输入schema</x:v>
      </x:c>
      <x:c r="E4989" s="30" t="str">
        <x:v>按执行角色权限读取；策略只能使用可访问快照</x:v>
      </x:c>
    </x:row>
    <x:row r="4990" ht="32" customHeight="1">
      <x:c r="A4990" s="30" t="str">
        <x:v>A057</x:v>
      </x:c>
      <x:c r="B4990" s="30" t="str">
        <x:v>F218</x:v>
      </x:c>
      <x:c r="C4990" s="30" t="str">
        <x:v>task.last_event_s</x:v>
      </x:c>
      <x:c r="D4990" s="30" t="str">
        <x:v>候选输入schema</x:v>
      </x:c>
      <x:c r="E4990" s="30" t="str">
        <x:v>按执行角色权限读取；策略只能使用可访问快照</x:v>
      </x:c>
    </x:row>
    <x:row r="4991" ht="32" customHeight="1">
      <x:c r="A4991" s="30" t="str">
        <x:v>A057</x:v>
      </x:c>
      <x:c r="B4991" s="30" t="str">
        <x:v>F219</x:v>
      </x:c>
      <x:c r="C4991" s="30" t="str">
        <x:v>task.opportunity_cost</x:v>
      </x:c>
      <x:c r="D4991" s="30" t="str">
        <x:v>候选输入schema</x:v>
      </x:c>
      <x:c r="E4991" s="30" t="str">
        <x:v>按执行角色权限读取；策略只能使用可访问快照</x:v>
      </x:c>
    </x:row>
    <x:row r="4992" ht="32" customHeight="1">
      <x:c r="A4992" s="30" t="str">
        <x:v>A057</x:v>
      </x:c>
      <x:c r="B4992" s="30" t="str">
        <x:v>F230</x:v>
      </x:c>
      <x:c r="C4992" s="30" t="str">
        <x:v>action.type</x:v>
      </x:c>
      <x:c r="D4992" s="30" t="str">
        <x:v>候选输入schema</x:v>
      </x:c>
      <x:c r="E4992" s="30" t="str">
        <x:v>按执行角色权限读取；策略只能使用可访问快照</x:v>
      </x:c>
    </x:row>
    <x:row r="4993" ht="32" customHeight="1">
      <x:c r="A4993" s="30" t="str">
        <x:v>A057</x:v>
      </x:c>
      <x:c r="B4993" s="30" t="str">
        <x:v>F231</x:v>
      </x:c>
      <x:c r="C4993" s="30" t="str">
        <x:v>action.executor_id</x:v>
      </x:c>
      <x:c r="D4993" s="30" t="str">
        <x:v>候选输入schema</x:v>
      </x:c>
      <x:c r="E4993" s="30" t="str">
        <x:v>按执行角色权限读取；策略只能使用可访问快照</x:v>
      </x:c>
    </x:row>
    <x:row r="4994" ht="32" customHeight="1">
      <x:c r="A4994" s="30" t="str">
        <x:v>A057</x:v>
      </x:c>
      <x:c r="B4994" s="30" t="str">
        <x:v>F232</x:v>
      </x:c>
      <x:c r="C4994" s="30" t="str">
        <x:v>action.task_ref</x:v>
      </x:c>
      <x:c r="D4994" s="30" t="str">
        <x:v>候选输入schema</x:v>
      </x:c>
      <x:c r="E4994" s="30" t="str">
        <x:v>按执行角色权限读取；策略只能使用可访问快照</x:v>
      </x:c>
    </x:row>
    <x:row r="4995" ht="32" customHeight="1">
      <x:c r="A4995" s="30" t="str">
        <x:v>A057</x:v>
      </x:c>
      <x:c r="B4995" s="30" t="str">
        <x:v>F233</x:v>
      </x:c>
      <x:c r="C4995" s="30" t="str">
        <x:v>action.target_ref</x:v>
      </x:c>
      <x:c r="D4995" s="30" t="str">
        <x:v>候选输入schema</x:v>
      </x:c>
      <x:c r="E4995" s="30" t="str">
        <x:v>按执行角色权限读取；策略只能使用可访问快照</x:v>
      </x:c>
    </x:row>
    <x:row r="4996" ht="32" customHeight="1">
      <x:c r="A4996" s="30" t="str">
        <x:v>A057</x:v>
      </x:c>
      <x:c r="B4996" s="30" t="str">
        <x:v>F234</x:v>
      </x:c>
      <x:c r="C4996" s="30" t="str">
        <x:v>action.parameters</x:v>
      </x:c>
      <x:c r="D4996" s="30" t="str">
        <x:v>候选输入schema</x:v>
      </x:c>
      <x:c r="E4996" s="30" t="str">
        <x:v>按执行角色权限读取；策略只能使用可访问快照</x:v>
      </x:c>
    </x:row>
    <x:row r="4997" ht="32" customHeight="1">
      <x:c r="A4997" s="30" t="str">
        <x:v>A057</x:v>
      </x:c>
      <x:c r="B4997" s="30" t="str">
        <x:v>F235</x:v>
      </x:c>
      <x:c r="C4997" s="30" t="str">
        <x:v>action.status</x:v>
      </x:c>
      <x:c r="D4997" s="30" t="str">
        <x:v>候选输入schema</x:v>
      </x:c>
      <x:c r="E4997" s="30" t="str">
        <x:v>按执行角色权限读取；策略只能使用可访问快照</x:v>
      </x:c>
    </x:row>
    <x:row r="4998" ht="32" customHeight="1">
      <x:c r="A4998" s="30" t="str">
        <x:v>A057</x:v>
      </x:c>
      <x:c r="B4998" s="30" t="str">
        <x:v>F236</x:v>
      </x:c>
      <x:c r="C4998" s="30" t="str">
        <x:v>action.start_s</x:v>
      </x:c>
      <x:c r="D4998" s="30" t="str">
        <x:v>候选输入schema</x:v>
      </x:c>
      <x:c r="E4998" s="30" t="str">
        <x:v>按执行角色权限读取；策略只能使用可访问快照</x:v>
      </x:c>
    </x:row>
    <x:row r="4999" ht="32" customHeight="1">
      <x:c r="A4999" s="30" t="str">
        <x:v>A057</x:v>
      </x:c>
      <x:c r="B4999" s="30" t="str">
        <x:v>F237</x:v>
      </x:c>
      <x:c r="C4999" s="30" t="str">
        <x:v>action.finish_s</x:v>
      </x:c>
      <x:c r="D4999" s="30" t="str">
        <x:v>候选输入schema</x:v>
      </x:c>
      <x:c r="E4999" s="30" t="str">
        <x:v>按执行角色权限读取；策略只能使用可访问快照</x:v>
      </x:c>
    </x:row>
    <x:row r="5000" ht="32" customHeight="1">
      <x:c r="A5000" s="30" t="str">
        <x:v>A057</x:v>
      </x:c>
      <x:c r="B5000" s="30" t="str">
        <x:v>F238</x:v>
      </x:c>
      <x:c r="C5000" s="30" t="str">
        <x:v>action.reserved_resources</x:v>
      </x:c>
      <x:c r="D5000" s="30" t="str">
        <x:v>候选输入schema</x:v>
      </x:c>
      <x:c r="E5000" s="30" t="str">
        <x:v>按执行角色权限读取；策略只能使用可访问快照</x:v>
      </x:c>
    </x:row>
    <x:row r="5001" ht="32" customHeight="1">
      <x:c r="A5001" s="30" t="str">
        <x:v>A057</x:v>
      </x:c>
      <x:c r="B5001" s="30" t="str">
        <x:v>F239</x:v>
      </x:c>
      <x:c r="C5001" s="30" t="str">
        <x:v>action.consumed_resources</x:v>
      </x:c>
      <x:c r="D5001" s="30" t="str">
        <x:v>候选输入schema</x:v>
      </x:c>
      <x:c r="E5001" s="30" t="str">
        <x:v>按执行角色权限读取；策略只能使用可访问快照</x:v>
      </x:c>
    </x:row>
    <x:row r="5002" ht="32" customHeight="1">
      <x:c r="A5002" s="30" t="str">
        <x:v>A057</x:v>
      </x:c>
      <x:c r="B5002" s="30" t="str">
        <x:v>F240</x:v>
      </x:c>
      <x:c r="C5002" s="30" t="str">
        <x:v>action.feedback</x:v>
      </x:c>
      <x:c r="D5002" s="30" t="str">
        <x:v>候选输入schema</x:v>
      </x:c>
      <x:c r="E5002" s="30" t="str">
        <x:v>按执行角色权限读取；策略只能使用可访问快照</x:v>
      </x:c>
    </x:row>
    <x:row r="5003" ht="32" customHeight="1">
      <x:c r="A5003" s="30" t="str">
        <x:v>A057</x:v>
      </x:c>
      <x:c r="B5003" s="30" t="str">
        <x:v>F241</x:v>
      </x:c>
      <x:c r="C5003" s="30" t="str">
        <x:v>action.result</x:v>
      </x:c>
      <x:c r="D5003" s="30" t="str">
        <x:v>候选输入schema</x:v>
      </x:c>
      <x:c r="E5003" s="30" t="str">
        <x:v>按执行角色权限读取；策略只能使用可访问快照</x:v>
      </x:c>
    </x:row>
    <x:row r="5004" ht="32" customHeight="1">
      <x:c r="A5004" s="30" t="str">
        <x:v>A057</x:v>
      </x:c>
      <x:c r="B5004" s="30" t="str">
        <x:v>F242</x:v>
      </x:c>
      <x:c r="C5004" s="30" t="str">
        <x:v>action.rejection_code</x:v>
      </x:c>
      <x:c r="D5004" s="30" t="str">
        <x:v>候选输入schema</x:v>
      </x:c>
      <x:c r="E5004" s="30" t="str">
        <x:v>按执行角色权限读取；策略只能使用可访问快照</x:v>
      </x:c>
    </x:row>
    <x:row r="5005" ht="32" customHeight="1">
      <x:c r="A5005" s="30" t="str">
        <x:v>A057</x:v>
      </x:c>
      <x:c r="B5005" s="30" t="str">
        <x:v>F243</x:v>
      </x:c>
      <x:c r="C5005" s="30" t="str">
        <x:v>action.failure_code</x:v>
      </x:c>
      <x:c r="D5005" s="30" t="str">
        <x:v>候选输入schema</x:v>
      </x:c>
      <x:c r="E5005" s="30" t="str">
        <x:v>按执行角色权限读取；策略只能使用可访问快照</x:v>
      </x:c>
    </x:row>
    <x:row r="5006" ht="32" customHeight="1">
      <x:c r="A5006" s="30" t="str">
        <x:v>A057</x:v>
      </x:c>
      <x:c r="B5006" s="30" t="str">
        <x:v>F244</x:v>
      </x:c>
      <x:c r="C5006" s="30" t="str">
        <x:v>action.cancel_requested</x:v>
      </x:c>
      <x:c r="D5006" s="30" t="str">
        <x:v>候选输入schema</x:v>
      </x:c>
      <x:c r="E5006" s="30" t="str">
        <x:v>按执行角色权限读取；策略只能使用可访问快照</x:v>
      </x:c>
    </x:row>
    <x:row r="5007" ht="32" customHeight="1">
      <x:c r="A5007" s="30" t="str">
        <x:v>A057</x:v>
      </x:c>
      <x:c r="B5007" s="30" t="str">
        <x:v>F245</x:v>
      </x:c>
      <x:c r="C5007" s="30" t="str">
        <x:v>action.backend_mode</x:v>
      </x:c>
      <x:c r="D5007" s="30" t="str">
        <x:v>候选输入schema</x:v>
      </x:c>
      <x:c r="E5007" s="30" t="str">
        <x:v>按执行角色权限读取；策略只能使用可访问快照</x:v>
      </x:c>
    </x:row>
    <x:row r="5008" ht="32" customHeight="1">
      <x:c r="A5008" s="30" t="str">
        <x:v>A057</x:v>
      </x:c>
      <x:c r="B5008" s="30" t="str">
        <x:v>F201</x:v>
      </x:c>
      <x:c r="C5008" s="30" t="str">
        <x:v>task.status</x:v>
      </x:c>
      <x:c r="D5008" s="30" t="str">
        <x:v>直接效果</x:v>
      </x:c>
      <x:c r="E5008" s="30" t="str">
        <x:v>经实际执行/回执提交；不是规划时提前修改</x:v>
      </x:c>
    </x:row>
    <x:row r="5009" ht="32" customHeight="1">
      <x:c r="A5009" s="30" t="str">
        <x:v>A057</x:v>
      </x:c>
      <x:c r="B5009" s="30" t="str">
        <x:v>F211</x:v>
      </x:c>
      <x:c r="C5009" s="30" t="str">
        <x:v>task.active_action_ids</x:v>
      </x:c>
      <x:c r="D5009" s="30" t="str">
        <x:v>直接效果</x:v>
      </x:c>
      <x:c r="E5009" s="30" t="str">
        <x:v>经实际执行/回执提交；不是规划时提前修改</x:v>
      </x:c>
    </x:row>
    <x:row r="5010" ht="32" customHeight="1">
      <x:c r="A5010" s="30" t="str">
        <x:v>A058</x:v>
      </x:c>
      <x:c r="B5010" s="30" t="str">
        <x:v>F196</x:v>
      </x:c>
      <x:c r="C5010" s="30" t="str">
        <x:v>task.type</x:v>
      </x:c>
      <x:c r="D5010" s="30" t="str">
        <x:v>候选输入schema</x:v>
      </x:c>
      <x:c r="E5010" s="30" t="str">
        <x:v>按执行角色权限读取；策略只能使用可访问快照</x:v>
      </x:c>
    </x:row>
    <x:row r="5011" ht="32" customHeight="1">
      <x:c r="A5011" s="30" t="str">
        <x:v>A058</x:v>
      </x:c>
      <x:c r="B5011" s="30" t="str">
        <x:v>F197</x:v>
      </x:c>
      <x:c r="C5011" s="30" t="str">
        <x:v>task.creator_id</x:v>
      </x:c>
      <x:c r="D5011" s="30" t="str">
        <x:v>候选输入schema</x:v>
      </x:c>
      <x:c r="E5011" s="30" t="str">
        <x:v>按执行角色权限读取；策略只能使用可访问快照</x:v>
      </x:c>
    </x:row>
    <x:row r="5012" ht="32" customHeight="1">
      <x:c r="A5012" s="30" t="str">
        <x:v>A058</x:v>
      </x:c>
      <x:c r="B5012" s="30" t="str">
        <x:v>F198</x:v>
      </x:c>
      <x:c r="C5012" s="30" t="str">
        <x:v>task.target_ref</x:v>
      </x:c>
      <x:c r="D5012" s="30" t="str">
        <x:v>候选输入schema</x:v>
      </x:c>
      <x:c r="E5012" s="30" t="str">
        <x:v>按执行角色权限读取；策略只能使用可访问快照</x:v>
      </x:c>
    </x:row>
    <x:row r="5013" ht="32" customHeight="1">
      <x:c r="A5013" s="30" t="str">
        <x:v>A058</x:v>
      </x:c>
      <x:c r="B5013" s="30" t="str">
        <x:v>F199</x:v>
      </x:c>
      <x:c r="C5013" s="30" t="str">
        <x:v>task.goal_predicate</x:v>
      </x:c>
      <x:c r="D5013" s="30" t="str">
        <x:v>候选输入schema</x:v>
      </x:c>
      <x:c r="E5013" s="30" t="str">
        <x:v>按执行角色权限读取；策略只能使用可访问快照</x:v>
      </x:c>
    </x:row>
    <x:row r="5014" ht="32" customHeight="1">
      <x:c r="A5014" s="30" t="str">
        <x:v>A058</x:v>
      </x:c>
      <x:c r="B5014" s="30" t="str">
        <x:v>F200</x:v>
      </x:c>
      <x:c r="C5014" s="30" t="str">
        <x:v>task.revision</x:v>
      </x:c>
      <x:c r="D5014" s="30" t="str">
        <x:v>候选输入schema</x:v>
      </x:c>
      <x:c r="E5014" s="30" t="str">
        <x:v>按执行角色权限读取；策略只能使用可访问快照</x:v>
      </x:c>
    </x:row>
    <x:row r="5015" ht="32" customHeight="1">
      <x:c r="A5015" s="30" t="str">
        <x:v>A058</x:v>
      </x:c>
      <x:c r="B5015" s="30" t="str">
        <x:v>F201</x:v>
      </x:c>
      <x:c r="C5015" s="30" t="str">
        <x:v>task.status</x:v>
      </x:c>
      <x:c r="D5015" s="30" t="str">
        <x:v>候选输入schema</x:v>
      </x:c>
      <x:c r="E5015" s="30" t="str">
        <x:v>按执行角色权限读取；策略只能使用可访问快照</x:v>
      </x:c>
    </x:row>
    <x:row r="5016" ht="32" customHeight="1">
      <x:c r="A5016" s="30" t="str">
        <x:v>A058</x:v>
      </x:c>
      <x:c r="B5016" s="30" t="str">
        <x:v>F202</x:v>
      </x:c>
      <x:c r="C5016" s="30" t="str">
        <x:v>task.priority</x:v>
      </x:c>
      <x:c r="D5016" s="30" t="str">
        <x:v>候选输入schema</x:v>
      </x:c>
      <x:c r="E5016" s="30" t="str">
        <x:v>按执行角色权限读取；策略只能使用可访问快照</x:v>
      </x:c>
    </x:row>
    <x:row r="5017" ht="32" customHeight="1">
      <x:c r="A5017" s="30" t="str">
        <x:v>A058</x:v>
      </x:c>
      <x:c r="B5017" s="30" t="str">
        <x:v>F203</x:v>
      </x:c>
      <x:c r="C5017" s="30" t="str">
        <x:v>task.deadline_s</x:v>
      </x:c>
      <x:c r="D5017" s="30" t="str">
        <x:v>候选输入schema</x:v>
      </x:c>
      <x:c r="E5017" s="30" t="str">
        <x:v>按执行角色权限读取；策略只能使用可访问快照</x:v>
      </x:c>
    </x:row>
    <x:row r="5018" ht="32" customHeight="1">
      <x:c r="A5018" s="30" t="str">
        <x:v>A058</x:v>
      </x:c>
      <x:c r="B5018" s="30" t="str">
        <x:v>F204</x:v>
      </x:c>
      <x:c r="C5018" s="30" t="str">
        <x:v>task.dependency_ids</x:v>
      </x:c>
      <x:c r="D5018" s="30" t="str">
        <x:v>候选输入schema</x:v>
      </x:c>
      <x:c r="E5018" s="30" t="str">
        <x:v>按执行角色权限读取；策略只能使用可访问快照</x:v>
      </x:c>
    </x:row>
    <x:row r="5019" ht="32" customHeight="1">
      <x:c r="A5019" s="30" t="str">
        <x:v>A058</x:v>
      </x:c>
      <x:c r="B5019" s="30" t="str">
        <x:v>F205</x:v>
      </x:c>
      <x:c r="C5019" s="30" t="str">
        <x:v>task.required_capability_ids</x:v>
      </x:c>
      <x:c r="D5019" s="30" t="str">
        <x:v>候选输入schema</x:v>
      </x:c>
      <x:c r="E5019" s="30" t="str">
        <x:v>按执行角色权限读取；策略只能使用可访问快照</x:v>
      </x:c>
    </x:row>
    <x:row r="5020" ht="32" customHeight="1">
      <x:c r="A5020" s="30" t="str">
        <x:v>A058</x:v>
      </x:c>
      <x:c r="B5020" s="30" t="str">
        <x:v>F206</x:v>
      </x:c>
      <x:c r="C5020" s="30" t="str">
        <x:v>task.resource_budget</x:v>
      </x:c>
      <x:c r="D5020" s="30" t="str">
        <x:v>候选输入schema</x:v>
      </x:c>
      <x:c r="E5020" s="30" t="str">
        <x:v>按执行角色权限读取；策略只能使用可访问快照</x:v>
      </x:c>
    </x:row>
    <x:row r="5021" ht="32" customHeight="1">
      <x:c r="A5021" s="30" t="str">
        <x:v>A058</x:v>
      </x:c>
      <x:c r="B5021" s="30" t="str">
        <x:v>F207</x:v>
      </x:c>
      <x:c r="C5021" s="30" t="str">
        <x:v>task.assigned_to</x:v>
      </x:c>
      <x:c r="D5021" s="30" t="str">
        <x:v>候选输入schema</x:v>
      </x:c>
      <x:c r="E5021" s="30" t="str">
        <x:v>按执行角色权限读取；策略只能使用可访问快照</x:v>
      </x:c>
    </x:row>
    <x:row r="5022" ht="32" customHeight="1">
      <x:c r="A5022" s="30" t="str">
        <x:v>A058</x:v>
      </x:c>
      <x:c r="B5022" s="30" t="str">
        <x:v>F208</x:v>
      </x:c>
      <x:c r="C5022" s="30" t="str">
        <x:v>task.accepted_by</x:v>
      </x:c>
      <x:c r="D5022" s="30" t="str">
        <x:v>候选输入schema</x:v>
      </x:c>
      <x:c r="E5022" s="30" t="str">
        <x:v>按执行角色权限读取；策略只能使用可访问快照</x:v>
      </x:c>
    </x:row>
    <x:row r="5023" ht="32" customHeight="1">
      <x:c r="A5023" s="30" t="str">
        <x:v>A058</x:v>
      </x:c>
      <x:c r="B5023" s="30" t="str">
        <x:v>F209</x:v>
      </x:c>
      <x:c r="C5023" s="30" t="str">
        <x:v>task.commitment_window</x:v>
      </x:c>
      <x:c r="D5023" s="30" t="str">
        <x:v>候选输入schema</x:v>
      </x:c>
      <x:c r="E5023" s="30" t="str">
        <x:v>按执行角色权限读取；策略只能使用可访问快照</x:v>
      </x:c>
    </x:row>
    <x:row r="5024" ht="32" customHeight="1">
      <x:c r="A5024" s="30" t="str">
        <x:v>A058</x:v>
      </x:c>
      <x:c r="B5024" s="30" t="str">
        <x:v>F210</x:v>
      </x:c>
      <x:c r="C5024" s="30" t="str">
        <x:v>task.progress</x:v>
      </x:c>
      <x:c r="D5024" s="30" t="str">
        <x:v>候选输入schema</x:v>
      </x:c>
      <x:c r="E5024" s="30" t="str">
        <x:v>按执行角色权限读取；策略只能使用可访问快照</x:v>
      </x:c>
    </x:row>
    <x:row r="5025" ht="32" customHeight="1">
      <x:c r="A5025" s="30" t="str">
        <x:v>A058</x:v>
      </x:c>
      <x:c r="B5025" s="30" t="str">
        <x:v>F211</x:v>
      </x:c>
      <x:c r="C5025" s="30" t="str">
        <x:v>task.active_action_ids</x:v>
      </x:c>
      <x:c r="D5025" s="30" t="str">
        <x:v>候选输入schema</x:v>
      </x:c>
      <x:c r="E5025" s="30" t="str">
        <x:v>按执行角色权限读取；策略只能使用可访问快照</x:v>
      </x:c>
    </x:row>
    <x:row r="5026" ht="32" customHeight="1">
      <x:c r="A5026" s="30" t="str">
        <x:v>A058</x:v>
      </x:c>
      <x:c r="B5026" s="30" t="str">
        <x:v>F212</x:v>
      </x:c>
      <x:c r="C5026" s="30" t="str">
        <x:v>task.interruptibility</x:v>
      </x:c>
      <x:c r="D5026" s="30" t="str">
        <x:v>候选输入schema</x:v>
      </x:c>
      <x:c r="E5026" s="30" t="str">
        <x:v>按执行角色权限读取；策略只能使用可访问快照</x:v>
      </x:c>
    </x:row>
    <x:row r="5027" ht="32" customHeight="1">
      <x:c r="A5027" s="30" t="str">
        <x:v>A058</x:v>
      </x:c>
      <x:c r="B5027" s="30" t="str">
        <x:v>F213</x:v>
      </x:c>
      <x:c r="C5027" s="30" t="str">
        <x:v>task.original_task_id</x:v>
      </x:c>
      <x:c r="D5027" s="30" t="str">
        <x:v>候选输入schema</x:v>
      </x:c>
      <x:c r="E5027" s="30" t="str">
        <x:v>按执行角色权限读取；策略只能使用可访问快照</x:v>
      </x:c>
    </x:row>
    <x:row r="5028" ht="32" customHeight="1">
      <x:c r="A5028" s="30" t="str">
        <x:v>A058</x:v>
      </x:c>
      <x:c r="B5028" s="30" t="str">
        <x:v>F214</x:v>
      </x:c>
      <x:c r="C5028" s="30" t="str">
        <x:v>task.resume_checkpoint</x:v>
      </x:c>
      <x:c r="D5028" s="30" t="str">
        <x:v>候选输入schema</x:v>
      </x:c>
      <x:c r="E5028" s="30" t="str">
        <x:v>按执行角色权限读取；策略只能使用可访问快照</x:v>
      </x:c>
    </x:row>
    <x:row r="5029" ht="32" customHeight="1">
      <x:c r="A5029" s="30" t="str">
        <x:v>A058</x:v>
      </x:c>
      <x:c r="B5029" s="30" t="str">
        <x:v>F215</x:v>
      </x:c>
      <x:c r="C5029" s="30" t="str">
        <x:v>task.handoff_target_id</x:v>
      </x:c>
      <x:c r="D5029" s="30" t="str">
        <x:v>候选输入schema</x:v>
      </x:c>
      <x:c r="E5029" s="30" t="str">
        <x:v>按执行角色权限读取；策略只能使用可访问快照</x:v>
      </x:c>
    </x:row>
    <x:row r="5030" ht="32" customHeight="1">
      <x:c r="A5030" s="30" t="str">
        <x:v>A058</x:v>
      </x:c>
      <x:c r="B5030" s="30" t="str">
        <x:v>F216</x:v>
      </x:c>
      <x:c r="C5030" s="30" t="str">
        <x:v>task.result_evidence_ids</x:v>
      </x:c>
      <x:c r="D5030" s="30" t="str">
        <x:v>候选输入schema</x:v>
      </x:c>
      <x:c r="E5030" s="30" t="str">
        <x:v>按执行角色权限读取；策略只能使用可访问快照</x:v>
      </x:c>
    </x:row>
    <x:row r="5031" ht="32" customHeight="1">
      <x:c r="A5031" s="30" t="str">
        <x:v>A058</x:v>
      </x:c>
      <x:c r="B5031" s="30" t="str">
        <x:v>F217</x:v>
      </x:c>
      <x:c r="C5031" s="30" t="str">
        <x:v>task.failure_reason</x:v>
      </x:c>
      <x:c r="D5031" s="30" t="str">
        <x:v>候选输入schema</x:v>
      </x:c>
      <x:c r="E5031" s="30" t="str">
        <x:v>按执行角色权限读取；策略只能使用可访问快照</x:v>
      </x:c>
    </x:row>
    <x:row r="5032" ht="32" customHeight="1">
      <x:c r="A5032" s="30" t="str">
        <x:v>A058</x:v>
      </x:c>
      <x:c r="B5032" s="30" t="str">
        <x:v>F218</x:v>
      </x:c>
      <x:c r="C5032" s="30" t="str">
        <x:v>task.last_event_s</x:v>
      </x:c>
      <x:c r="D5032" s="30" t="str">
        <x:v>候选输入schema</x:v>
      </x:c>
      <x:c r="E5032" s="30" t="str">
        <x:v>按执行角色权限读取；策略只能使用可访问快照</x:v>
      </x:c>
    </x:row>
    <x:row r="5033" ht="32" customHeight="1">
      <x:c r="A5033" s="30" t="str">
        <x:v>A058</x:v>
      </x:c>
      <x:c r="B5033" s="30" t="str">
        <x:v>F219</x:v>
      </x:c>
      <x:c r="C5033" s="30" t="str">
        <x:v>task.opportunity_cost</x:v>
      </x:c>
      <x:c r="D5033" s="30" t="str">
        <x:v>候选输入schema</x:v>
      </x:c>
      <x:c r="E5033" s="30" t="str">
        <x:v>按执行角色权限读取；策略只能使用可访问快照</x:v>
      </x:c>
    </x:row>
    <x:row r="5034" ht="32" customHeight="1">
      <x:c r="A5034" s="30" t="str">
        <x:v>A058</x:v>
      </x:c>
      <x:c r="B5034" s="30" t="str">
        <x:v>F220</x:v>
      </x:c>
      <x:c r="C5034" s="30" t="str">
        <x:v>assignment.task_ref</x:v>
      </x:c>
      <x:c r="D5034" s="30" t="str">
        <x:v>候选输入schema</x:v>
      </x:c>
      <x:c r="E5034" s="30" t="str">
        <x:v>按执行角色权限读取；策略只能使用可访问快照</x:v>
      </x:c>
    </x:row>
    <x:row r="5035" ht="32" customHeight="1">
      <x:c r="A5035" s="30" t="str">
        <x:v>A058</x:v>
      </x:c>
      <x:c r="B5035" s="30" t="str">
        <x:v>F221</x:v>
      </x:c>
      <x:c r="C5035" s="30" t="str">
        <x:v>assignment.sender_id</x:v>
      </x:c>
      <x:c r="D5035" s="30" t="str">
        <x:v>候选输入schema</x:v>
      </x:c>
      <x:c r="E5035" s="30" t="str">
        <x:v>按执行角色权限读取；策略只能使用可访问快照</x:v>
      </x:c>
    </x:row>
    <x:row r="5036" ht="32" customHeight="1">
      <x:c r="A5036" s="30" t="str">
        <x:v>A058</x:v>
      </x:c>
      <x:c r="B5036" s="30" t="str">
        <x:v>F222</x:v>
      </x:c>
      <x:c r="C5036" s="30" t="str">
        <x:v>assignment.receiver_id</x:v>
      </x:c>
      <x:c r="D5036" s="30" t="str">
        <x:v>候选输入schema</x:v>
      </x:c>
      <x:c r="E5036" s="30" t="str">
        <x:v>按执行角色权限读取；策略只能使用可访问快照</x:v>
      </x:c>
    </x:row>
    <x:row r="5037" ht="32" customHeight="1">
      <x:c r="A5037" s="30" t="str">
        <x:v>A058</x:v>
      </x:c>
      <x:c r="B5037" s="30" t="str">
        <x:v>F223</x:v>
      </x:c>
      <x:c r="C5037" s="30" t="str">
        <x:v>assignment.bid</x:v>
      </x:c>
      <x:c r="D5037" s="30" t="str">
        <x:v>候选输入schema</x:v>
      </x:c>
      <x:c r="E5037" s="30" t="str">
        <x:v>按执行角色权限读取；策略只能使用可访问快照</x:v>
      </x:c>
    </x:row>
    <x:row r="5038" ht="32" customHeight="1">
      <x:c r="A5038" s="30" t="str">
        <x:v>A058</x:v>
      </x:c>
      <x:c r="B5038" s="30" t="str">
        <x:v>F224</x:v>
      </x:c>
      <x:c r="C5038" s="30" t="str">
        <x:v>assignment.message_id</x:v>
      </x:c>
      <x:c r="D5038" s="30" t="str">
        <x:v>候选输入schema</x:v>
      </x:c>
      <x:c r="E5038" s="30" t="str">
        <x:v>按执行角色权限读取；策略只能使用可访问快照</x:v>
      </x:c>
    </x:row>
    <x:row r="5039" ht="32" customHeight="1">
      <x:c r="A5039" s="30" t="str">
        <x:v>A058</x:v>
      </x:c>
      <x:c r="B5039" s="30" t="str">
        <x:v>F225</x:v>
      </x:c>
      <x:c r="C5039" s="30" t="str">
        <x:v>assignment.delivery_state</x:v>
      </x:c>
      <x:c r="D5039" s="30" t="str">
        <x:v>候选输入schema</x:v>
      </x:c>
      <x:c r="E5039" s="30" t="str">
        <x:v>按执行角色权限读取；策略只能使用可访问快照</x:v>
      </x:c>
    </x:row>
    <x:row r="5040" ht="32" customHeight="1">
      <x:c r="A5040" s="30" t="str">
        <x:v>A058</x:v>
      </x:c>
      <x:c r="B5040" s="30" t="str">
        <x:v>F226</x:v>
      </x:c>
      <x:c r="C5040" s="30" t="str">
        <x:v>assignment.decision</x:v>
      </x:c>
      <x:c r="D5040" s="30" t="str">
        <x:v>候选输入schema</x:v>
      </x:c>
      <x:c r="E5040" s="30" t="str">
        <x:v>按执行角色权限读取；策略只能使用可访问快照</x:v>
      </x:c>
    </x:row>
    <x:row r="5041" ht="32" customHeight="1">
      <x:c r="A5041" s="30" t="str">
        <x:v>A058</x:v>
      </x:c>
      <x:c r="B5041" s="30" t="str">
        <x:v>F227</x:v>
      </x:c>
      <x:c r="C5041" s="30" t="str">
        <x:v>assignment.decision_reason</x:v>
      </x:c>
      <x:c r="D5041" s="30" t="str">
        <x:v>候选输入schema</x:v>
      </x:c>
      <x:c r="E5041" s="30" t="str">
        <x:v>按执行角色权限读取；策略只能使用可访问快照</x:v>
      </x:c>
    </x:row>
    <x:row r="5042" ht="32" customHeight="1">
      <x:c r="A5042" s="30" t="str">
        <x:v>A058</x:v>
      </x:c>
      <x:c r="B5042" s="30" t="str">
        <x:v>F228</x:v>
      </x:c>
      <x:c r="C5042" s="30" t="str">
        <x:v>assignment.lease_end_s</x:v>
      </x:c>
      <x:c r="D5042" s="30" t="str">
        <x:v>候选输入schema</x:v>
      </x:c>
      <x:c r="E5042" s="30" t="str">
        <x:v>按执行角色权限读取；策略只能使用可访问快照</x:v>
      </x:c>
    </x:row>
    <x:row r="5043" ht="32" customHeight="1">
      <x:c r="A5043" s="30" t="str">
        <x:v>A058</x:v>
      </x:c>
      <x:c r="B5043" s="30" t="str">
        <x:v>F229</x:v>
      </x:c>
      <x:c r="C5043" s="30" t="str">
        <x:v>assignment.acknowledged_revision</x:v>
      </x:c>
      <x:c r="D5043" s="30" t="str">
        <x:v>候选输入schema</x:v>
      </x:c>
      <x:c r="E5043" s="30" t="str">
        <x:v>按执行角色权限读取；策略只能使用可访问快照</x:v>
      </x:c>
    </x:row>
    <x:row r="5044" ht="32" customHeight="1">
      <x:c r="A5044" s="30" t="str">
        <x:v>A058</x:v>
      </x:c>
      <x:c r="B5044" s="30" t="str">
        <x:v>F275</x:v>
      </x:c>
      <x:c r="C5044" s="30" t="str">
        <x:v>message.kind</x:v>
      </x:c>
      <x:c r="D5044" s="30" t="str">
        <x:v>候选输入schema</x:v>
      </x:c>
      <x:c r="E5044" s="30" t="str">
        <x:v>按执行角色权限读取；策略只能使用可访问快照</x:v>
      </x:c>
    </x:row>
    <x:row r="5045" ht="32" customHeight="1">
      <x:c r="A5045" s="30" t="str">
        <x:v>A058</x:v>
      </x:c>
      <x:c r="B5045" s="30" t="str">
        <x:v>F276</x:v>
      </x:c>
      <x:c r="C5045" s="30" t="str">
        <x:v>message.sender_id</x:v>
      </x:c>
      <x:c r="D5045" s="30" t="str">
        <x:v>候选输入schema</x:v>
      </x:c>
      <x:c r="E5045" s="30" t="str">
        <x:v>按执行角色权限读取；策略只能使用可访问快照</x:v>
      </x:c>
    </x:row>
    <x:row r="5046" ht="32" customHeight="1">
      <x:c r="A5046" s="30" t="str">
        <x:v>A058</x:v>
      </x:c>
      <x:c r="B5046" s="30" t="str">
        <x:v>F277</x:v>
      </x:c>
      <x:c r="C5046" s="30" t="str">
        <x:v>message.receiver_ids</x:v>
      </x:c>
      <x:c r="D5046" s="30" t="str">
        <x:v>候选输入schema</x:v>
      </x:c>
      <x:c r="E5046" s="30" t="str">
        <x:v>按执行角色权限读取；策略只能使用可访问快照</x:v>
      </x:c>
    </x:row>
    <x:row r="5047" ht="32" customHeight="1">
      <x:c r="A5047" s="30" t="str">
        <x:v>A058</x:v>
      </x:c>
      <x:c r="B5047" s="30" t="str">
        <x:v>F278</x:v>
      </x:c>
      <x:c r="C5047" s="30" t="str">
        <x:v>message.payload_ref</x:v>
      </x:c>
      <x:c r="D5047" s="30" t="str">
        <x:v>候选输入schema</x:v>
      </x:c>
      <x:c r="E5047" s="30" t="str">
        <x:v>按执行角色权限读取；策略只能使用可访问快照</x:v>
      </x:c>
    </x:row>
    <x:row r="5048" ht="32" customHeight="1">
      <x:c r="A5048" s="30" t="str">
        <x:v>A058</x:v>
      </x:c>
      <x:c r="B5048" s="30" t="str">
        <x:v>F279</x:v>
      </x:c>
      <x:c r="C5048" s="30" t="str">
        <x:v>message.size_bytes</x:v>
      </x:c>
      <x:c r="D5048" s="30" t="str">
        <x:v>候选输入schema</x:v>
      </x:c>
      <x:c r="E5048" s="30" t="str">
        <x:v>按执行角色权限读取；策略只能使用可访问快照</x:v>
      </x:c>
    </x:row>
    <x:row r="5049" ht="32" customHeight="1">
      <x:c r="A5049" s="30" t="str">
        <x:v>A058</x:v>
      </x:c>
      <x:c r="B5049" s="30" t="str">
        <x:v>F280</x:v>
      </x:c>
      <x:c r="C5049" s="30" t="str">
        <x:v>message.fragment_count</x:v>
      </x:c>
      <x:c r="D5049" s="30" t="str">
        <x:v>候选输入schema</x:v>
      </x:c>
      <x:c r="E5049" s="30" t="str">
        <x:v>按执行角色权限读取；策略只能使用可访问快照</x:v>
      </x:c>
    </x:row>
    <x:row r="5050" ht="32" customHeight="1">
      <x:c r="A5050" s="30" t="str">
        <x:v>A058</x:v>
      </x:c>
      <x:c r="B5050" s="30" t="str">
        <x:v>F281</x:v>
      </x:c>
      <x:c r="C5050" s="30" t="str">
        <x:v>message.received_fragments</x:v>
      </x:c>
      <x:c r="D5050" s="30" t="str">
        <x:v>候选输入schema</x:v>
      </x:c>
      <x:c r="E5050" s="30" t="str">
        <x:v>按执行角色权限读取；策略只能使用可访问快照</x:v>
      </x:c>
    </x:row>
    <x:row r="5051" ht="32" customHeight="1">
      <x:c r="A5051" s="30" t="str">
        <x:v>A058</x:v>
      </x:c>
      <x:c r="B5051" s="30" t="str">
        <x:v>F282</x:v>
      </x:c>
      <x:c r="C5051" s="30" t="str">
        <x:v>message.content_hash</x:v>
      </x:c>
      <x:c r="D5051" s="30" t="str">
        <x:v>候选输入schema</x:v>
      </x:c>
      <x:c r="E5051" s="30" t="str">
        <x:v>按执行角色权限读取；策略只能使用可访问快照</x:v>
      </x:c>
    </x:row>
    <x:row r="5052" ht="32" customHeight="1">
      <x:c r="A5052" s="30" t="str">
        <x:v>A058</x:v>
      </x:c>
      <x:c r="B5052" s="30" t="str">
        <x:v>F283</x:v>
      </x:c>
      <x:c r="C5052" s="30" t="str">
        <x:v>message.priority</x:v>
      </x:c>
      <x:c r="D5052" s="30" t="str">
        <x:v>候选输入schema</x:v>
      </x:c>
      <x:c r="E5052" s="30" t="str">
        <x:v>按执行角色权限读取；策略只能使用可访问快照</x:v>
      </x:c>
    </x:row>
    <x:row r="5053" ht="32" customHeight="1">
      <x:c r="A5053" s="30" t="str">
        <x:v>A058</x:v>
      </x:c>
      <x:c r="B5053" s="30" t="str">
        <x:v>F284</x:v>
      </x:c>
      <x:c r="C5053" s="30" t="str">
        <x:v>message.ttl_s</x:v>
      </x:c>
      <x:c r="D5053" s="30" t="str">
        <x:v>候选输入schema</x:v>
      </x:c>
      <x:c r="E5053" s="30" t="str">
        <x:v>按执行角色权限读取；策略只能使用可访问快照</x:v>
      </x:c>
    </x:row>
    <x:row r="5054" ht="32" customHeight="1">
      <x:c r="A5054" s="30" t="str">
        <x:v>A058</x:v>
      </x:c>
      <x:c r="B5054" s="30" t="str">
        <x:v>F285</x:v>
      </x:c>
      <x:c r="C5054" s="30" t="str">
        <x:v>message.status</x:v>
      </x:c>
      <x:c r="D5054" s="30" t="str">
        <x:v>候选输入schema</x:v>
      </x:c>
      <x:c r="E5054" s="30" t="str">
        <x:v>按执行角色权限读取；策略只能使用可访问快照</x:v>
      </x:c>
    </x:row>
    <x:row r="5055" ht="32" customHeight="1">
      <x:c r="A5055" s="30" t="str">
        <x:v>A058</x:v>
      </x:c>
      <x:c r="B5055" s="30" t="str">
        <x:v>F286</x:v>
      </x:c>
      <x:c r="C5055" s="30" t="str">
        <x:v>message.sent_s</x:v>
      </x:c>
      <x:c r="D5055" s="30" t="str">
        <x:v>候选输入schema</x:v>
      </x:c>
      <x:c r="E5055" s="30" t="str">
        <x:v>按执行角色权限读取；策略只能使用可访问快照</x:v>
      </x:c>
    </x:row>
    <x:row r="5056" ht="32" customHeight="1">
      <x:c r="A5056" s="30" t="str">
        <x:v>A058</x:v>
      </x:c>
      <x:c r="B5056" s="30" t="str">
        <x:v>F287</x:v>
      </x:c>
      <x:c r="C5056" s="30" t="str">
        <x:v>message.delivered_s</x:v>
      </x:c>
      <x:c r="D5056" s="30" t="str">
        <x:v>候选输入schema</x:v>
      </x:c>
      <x:c r="E5056" s="30" t="str">
        <x:v>按执行角色权限读取；策略只能使用可访问快照</x:v>
      </x:c>
    </x:row>
    <x:row r="5057" ht="32" customHeight="1">
      <x:c r="A5057" s="30" t="str">
        <x:v>A058</x:v>
      </x:c>
      <x:c r="B5057" s="30" t="str">
        <x:v>F288</x:v>
      </x:c>
      <x:c r="C5057" s="30" t="str">
        <x:v>message.ack_state</x:v>
      </x:c>
      <x:c r="D5057" s="30" t="str">
        <x:v>候选输入schema</x:v>
      </x:c>
      <x:c r="E5057" s="30" t="str">
        <x:v>按执行角色权限读取；策略只能使用可访问快照</x:v>
      </x:c>
    </x:row>
    <x:row r="5058" ht="32" customHeight="1">
      <x:c r="A5058" s="30" t="str">
        <x:v>A058</x:v>
      </x:c>
      <x:c r="B5058" s="30" t="str">
        <x:v>F289</x:v>
      </x:c>
      <x:c r="C5058" s="30" t="str">
        <x:v>message.retry_count</x:v>
      </x:c>
      <x:c r="D5058" s="30" t="str">
        <x:v>候选输入schema</x:v>
      </x:c>
      <x:c r="E5058" s="30" t="str">
        <x:v>按执行角色权限读取；策略只能使用可访问快照</x:v>
      </x:c>
    </x:row>
    <x:row r="5059" ht="32" customHeight="1">
      <x:c r="A5059" s="30" t="str">
        <x:v>A058</x:v>
      </x:c>
      <x:c r="B5059" s="30" t="str">
        <x:v>F290</x:v>
      </x:c>
      <x:c r="C5059" s="30" t="str">
        <x:v>message.hop_trace</x:v>
      </x:c>
      <x:c r="D5059" s="30" t="str">
        <x:v>候选输入schema</x:v>
      </x:c>
      <x:c r="E5059" s="30" t="str">
        <x:v>按执行角色权限读取；策略只能使用可访问快照</x:v>
      </x:c>
    </x:row>
    <x:row r="5060" ht="32" customHeight="1">
      <x:c r="A5060" s="30" t="str">
        <x:v>A058</x:v>
      </x:c>
      <x:c r="B5060" s="30" t="str">
        <x:v>F291</x:v>
      </x:c>
      <x:c r="C5060" s="30" t="str">
        <x:v>message.correlation_id</x:v>
      </x:c>
      <x:c r="D5060" s="30" t="str">
        <x:v>候选输入schema</x:v>
      </x:c>
      <x:c r="E5060" s="30" t="str">
        <x:v>按执行角色权限读取；策略只能使用可访问快照</x:v>
      </x:c>
    </x:row>
    <x:row r="5061" ht="32" customHeight="1">
      <x:c r="A5061" s="30" t="str">
        <x:v>A058</x:v>
      </x:c>
      <x:c r="B5061" s="30" t="str">
        <x:v>F292</x:v>
      </x:c>
      <x:c r="C5061" s="30" t="str">
        <x:v>message.local_availability</x:v>
      </x:c>
      <x:c r="D5061" s="30" t="str">
        <x:v>候选输入schema</x:v>
      </x:c>
      <x:c r="E5061" s="30" t="str">
        <x:v>按执行角色权限读取；策略只能使用可访问快照</x:v>
      </x:c>
    </x:row>
    <x:row r="5062" ht="32" customHeight="1">
      <x:c r="A5062" s="30" t="str">
        <x:v>A058</x:v>
      </x:c>
      <x:c r="B5062" s="30" t="str">
        <x:v>F349</x:v>
      </x:c>
      <x:c r="C5062" s="30" t="str">
        <x:v>cache.owner_id</x:v>
      </x:c>
      <x:c r="D5062" s="30" t="str">
        <x:v>候选输入schema</x:v>
      </x:c>
      <x:c r="E5062" s="30" t="str">
        <x:v>按执行角色权限读取；策略只能使用可访问快照</x:v>
      </x:c>
    </x:row>
    <x:row r="5063" ht="32" customHeight="1">
      <x:c r="A5063" s="30" t="str">
        <x:v>A058</x:v>
      </x:c>
      <x:c r="B5063" s="30" t="str">
        <x:v>F350</x:v>
      </x:c>
      <x:c r="C5063" s="30" t="str">
        <x:v>cache.kind</x:v>
      </x:c>
      <x:c r="D5063" s="30" t="str">
        <x:v>候选输入schema</x:v>
      </x:c>
      <x:c r="E5063" s="30" t="str">
        <x:v>按执行角色权限读取；策略只能使用可访问快照</x:v>
      </x:c>
    </x:row>
    <x:row r="5064" ht="32" customHeight="1">
      <x:c r="A5064" s="30" t="str">
        <x:v>A058</x:v>
      </x:c>
      <x:c r="B5064" s="30" t="str">
        <x:v>F351</x:v>
      </x:c>
      <x:c r="C5064" s="30" t="str">
        <x:v>cache.model_version</x:v>
      </x:c>
      <x:c r="D5064" s="30" t="str">
        <x:v>候选输入schema</x:v>
      </x:c>
      <x:c r="E5064" s="30" t="str">
        <x:v>按执行角色权限读取；策略只能使用可访问快照</x:v>
      </x:c>
    </x:row>
    <x:row r="5065" ht="32" customHeight="1">
      <x:c r="A5065" s="30" t="str">
        <x:v>A058</x:v>
      </x:c>
      <x:c r="B5065" s="30" t="str">
        <x:v>F352</x:v>
      </x:c>
      <x:c r="C5065" s="30" t="str">
        <x:v>cache.content_ids</x:v>
      </x:c>
      <x:c r="D5065" s="30" t="str">
        <x:v>候选输入schema</x:v>
      </x:c>
      <x:c r="E5065" s="30" t="str">
        <x:v>按执行角色权限读取；策略只能使用可访问快照</x:v>
      </x:c>
    </x:row>
    <x:row r="5066" ht="32" customHeight="1">
      <x:c r="A5066" s="30" t="str">
        <x:v>A058</x:v>
      </x:c>
      <x:c r="B5066" s="30" t="str">
        <x:v>F353</x:v>
      </x:c>
      <x:c r="C5066" s="30" t="str">
        <x:v>cache.size_bytes</x:v>
      </x:c>
      <x:c r="D5066" s="30" t="str">
        <x:v>候选输入schema</x:v>
      </x:c>
      <x:c r="E5066" s="30" t="str">
        <x:v>按执行角色权限读取；策略只能使用可访问快照</x:v>
      </x:c>
    </x:row>
    <x:row r="5067" ht="32" customHeight="1">
      <x:c r="A5067" s="30" t="str">
        <x:v>A058</x:v>
      </x:c>
      <x:c r="B5067" s="30" t="str">
        <x:v>F354</x:v>
      </x:c>
      <x:c r="C5067" s="30" t="str">
        <x:v>cache.location</x:v>
      </x:c>
      <x:c r="D5067" s="30" t="str">
        <x:v>候选输入schema</x:v>
      </x:c>
      <x:c r="E5067" s="30" t="str">
        <x:v>按执行角色权限读取；策略只能使用可访问快照</x:v>
      </x:c>
    </x:row>
    <x:row r="5068" ht="32" customHeight="1">
      <x:c r="A5068" s="30" t="str">
        <x:v>A058</x:v>
      </x:c>
      <x:c r="B5068" s="30" t="str">
        <x:v>F355</x:v>
      </x:c>
      <x:c r="C5068" s="30" t="str">
        <x:v>cache.valid_until_s</x:v>
      </x:c>
      <x:c r="D5068" s="30" t="str">
        <x:v>候选输入schema</x:v>
      </x:c>
      <x:c r="E5068" s="30" t="str">
        <x:v>按执行角色权限读取；策略只能使用可访问快照</x:v>
      </x:c>
    </x:row>
    <x:row r="5069" ht="32" customHeight="1">
      <x:c r="A5069" s="30" t="str">
        <x:v>A058</x:v>
      </x:c>
      <x:c r="B5069" s="30" t="str">
        <x:v>F356</x:v>
      </x:c>
      <x:c r="C5069" s="30" t="str">
        <x:v>cache.reuse_compatible</x:v>
      </x:c>
      <x:c r="D5069" s="30" t="str">
        <x:v>候选输入schema</x:v>
      </x:c>
      <x:c r="E5069" s="30" t="str">
        <x:v>按执行角色权限读取；策略只能使用可访问快照</x:v>
      </x:c>
    </x:row>
    <x:row r="5070" ht="32" customHeight="1">
      <x:c r="A5070" s="30" t="str">
        <x:v>A058</x:v>
      </x:c>
      <x:c r="B5070" s="30" t="str">
        <x:v>F357</x:v>
      </x:c>
      <x:c r="C5070" s="30" t="str">
        <x:v>cache.hit_count</x:v>
      </x:c>
      <x:c r="D5070" s="30" t="str">
        <x:v>候选输入schema</x:v>
      </x:c>
      <x:c r="E5070" s="30" t="str">
        <x:v>按执行角色权限读取；策略只能使用可访问快照</x:v>
      </x:c>
    </x:row>
    <x:row r="5071" ht="32" customHeight="1">
      <x:c r="A5071" s="30" t="str">
        <x:v>A058</x:v>
      </x:c>
      <x:c r="B5071" s="30" t="str">
        <x:v>F358</x:v>
      </x:c>
      <x:c r="C5071" s="30" t="str">
        <x:v>cache.eviction_state</x:v>
      </x:c>
      <x:c r="D5071" s="30" t="str">
        <x:v>候选输入schema</x:v>
      </x:c>
      <x:c r="E5071" s="30" t="str">
        <x:v>按执行角色权限读取；策略只能使用可访问快照</x:v>
      </x:c>
    </x:row>
    <x:row r="5072" ht="32" customHeight="1">
      <x:c r="A5072" s="30" t="str">
        <x:v>A058</x:v>
      </x:c>
      <x:c r="B5072" s="30" t="str">
        <x:v>F215</x:v>
      </x:c>
      <x:c r="C5072" s="30" t="str">
        <x:v>task.handoff_target_id</x:v>
      </x:c>
      <x:c r="D5072" s="30" t="str">
        <x:v>直接效果</x:v>
      </x:c>
      <x:c r="E5072" s="30" t="str">
        <x:v>经实际执行/回执提交；不是规划时提前修改</x:v>
      </x:c>
    </x:row>
    <x:row r="5073" ht="32" customHeight="1">
      <x:c r="A5073" s="30" t="str">
        <x:v>A058</x:v>
      </x:c>
      <x:c r="B5073" s="30" t="str">
        <x:v>F208</x:v>
      </x:c>
      <x:c r="C5073" s="30" t="str">
        <x:v>task.accepted_by</x:v>
      </x:c>
      <x:c r="D5073" s="30" t="str">
        <x:v>直接效果</x:v>
      </x:c>
      <x:c r="E5073" s="30" t="str">
        <x:v>经实际执行/回执提交；不是规划时提前修改</x:v>
      </x:c>
    </x:row>
    <x:row r="5074" ht="32" customHeight="1">
      <x:c r="A5074" s="30" t="str">
        <x:v>A058</x:v>
      </x:c>
      <x:c r="B5074" s="30" t="str">
        <x:v>F200</x:v>
      </x:c>
      <x:c r="C5074" s="30" t="str">
        <x:v>task.revision</x:v>
      </x:c>
      <x:c r="D5074" s="30" t="str">
        <x:v>直接效果</x:v>
      </x:c>
      <x:c r="E5074" s="30" t="str">
        <x:v>经实际执行/回执提交；不是规划时提前修改</x:v>
      </x:c>
    </x:row>
    <x:row r="5075" ht="32" customHeight="1">
      <x:c r="A5075" s="30" t="str">
        <x:v>A059</x:v>
      </x:c>
      <x:c r="B5075" s="30" t="str">
        <x:v>F095</x:v>
      </x:c>
      <x:c r="C5075" s="30" t="str">
        <x:v>platform.kind</x:v>
      </x:c>
      <x:c r="D5075" s="30" t="str">
        <x:v>候选输入schema</x:v>
      </x:c>
      <x:c r="E5075" s="30" t="str">
        <x:v>按执行角色权限读取；策略只能使用可访问快照</x:v>
      </x:c>
    </x:row>
    <x:row r="5076" ht="32" customHeight="1">
      <x:c r="A5076" s="30" t="str">
        <x:v>A059</x:v>
      </x:c>
      <x:c r="B5076" s="30" t="str">
        <x:v>F096</x:v>
      </x:c>
      <x:c r="C5076" s="30" t="str">
        <x:v>platform.capability_ids</x:v>
      </x:c>
      <x:c r="D5076" s="30" t="str">
        <x:v>候选输入schema</x:v>
      </x:c>
      <x:c r="E5076" s="30" t="str">
        <x:v>按执行角色权限读取；策略只能使用可访问快照</x:v>
      </x:c>
    </x:row>
    <x:row r="5077" ht="32" customHeight="1">
      <x:c r="A5077" s="30" t="str">
        <x:v>A059</x:v>
      </x:c>
      <x:c r="B5077" s="30" t="str">
        <x:v>F097</x:v>
      </x:c>
      <x:c r="C5077" s="30" t="str">
        <x:v>platform.equipment_ids</x:v>
      </x:c>
      <x:c r="D5077" s="30" t="str">
        <x:v>候选输入schema</x:v>
      </x:c>
      <x:c r="E5077" s="30" t="str">
        <x:v>按执行角色权限读取；策略只能使用可访问快照</x:v>
      </x:c>
    </x:row>
    <x:row r="5078" ht="32" customHeight="1">
      <x:c r="A5078" s="30" t="str">
        <x:v>A059</x:v>
      </x:c>
      <x:c r="B5078" s="30" t="str">
        <x:v>F098</x:v>
      </x:c>
      <x:c r="C5078" s="30" t="str">
        <x:v>platform.width_m</x:v>
      </x:c>
      <x:c r="D5078" s="30" t="str">
        <x:v>候选输入schema</x:v>
      </x:c>
      <x:c r="E5078" s="30" t="str">
        <x:v>按执行角色权限读取；策略只能使用可访问快照</x:v>
      </x:c>
    </x:row>
    <x:row r="5079" ht="32" customHeight="1">
      <x:c r="A5079" s="30" t="str">
        <x:v>A059</x:v>
      </x:c>
      <x:c r="B5079" s="30" t="str">
        <x:v>F099</x:v>
      </x:c>
      <x:c r="C5079" s="30" t="str">
        <x:v>platform.height_m</x:v>
      </x:c>
      <x:c r="D5079" s="30" t="str">
        <x:v>候选输入schema</x:v>
      </x:c>
      <x:c r="E5079" s="30" t="str">
        <x:v>按执行角色权限读取；策略只能使用可访问快照</x:v>
      </x:c>
    </x:row>
    <x:row r="5080" ht="32" customHeight="1">
      <x:c r="A5080" s="30" t="str">
        <x:v>A059</x:v>
      </x:c>
      <x:c r="B5080" s="30" t="str">
        <x:v>F100</x:v>
      </x:c>
      <x:c r="C5080" s="30" t="str">
        <x:v>platform.swept_radius_m</x:v>
      </x:c>
      <x:c r="D5080" s="30" t="str">
        <x:v>候选输入schema</x:v>
      </x:c>
      <x:c r="E5080" s="30" t="str">
        <x:v>按执行角色权限读取；策略只能使用可访问快照</x:v>
      </x:c>
    </x:row>
    <x:row r="5081" ht="32" customHeight="1">
      <x:c r="A5081" s="30" t="str">
        <x:v>A059</x:v>
      </x:c>
      <x:c r="B5081" s="30" t="str">
        <x:v>F101</x:v>
      </x:c>
      <x:c r="C5081" s="30" t="str">
        <x:v>platform.payload_capacity_kg</x:v>
      </x:c>
      <x:c r="D5081" s="30" t="str">
        <x:v>候选输入schema</x:v>
      </x:c>
      <x:c r="E5081" s="30" t="str">
        <x:v>按执行角色权限读取；策略只能使用可访问快照</x:v>
      </x:c>
    </x:row>
    <x:row r="5082" ht="32" customHeight="1">
      <x:c r="A5082" s="30" t="str">
        <x:v>A059</x:v>
      </x:c>
      <x:c r="B5082" s="30" t="str">
        <x:v>F102</x:v>
      </x:c>
      <x:c r="C5082" s="30" t="str">
        <x:v>platform.payload_used_kg</x:v>
      </x:c>
      <x:c r="D5082" s="30" t="str">
        <x:v>候选输入schema</x:v>
      </x:c>
      <x:c r="E5082" s="30" t="str">
        <x:v>按执行角色权限读取；策略只能使用可访问快照</x:v>
      </x:c>
    </x:row>
    <x:row r="5083" ht="32" customHeight="1">
      <x:c r="A5083" s="30" t="str">
        <x:v>A059</x:v>
      </x:c>
      <x:c r="B5083" s="30" t="str">
        <x:v>F103</x:v>
      </x:c>
      <x:c r="C5083" s="30" t="str">
        <x:v>platform.payload_item_ids</x:v>
      </x:c>
      <x:c r="D5083" s="30" t="str">
        <x:v>候选输入schema</x:v>
      </x:c>
      <x:c r="E5083" s="30" t="str">
        <x:v>按执行角色权限读取；策略只能使用可访问快照</x:v>
      </x:c>
    </x:row>
    <x:row r="5084" ht="32" customHeight="1">
      <x:c r="A5084" s="30" t="str">
        <x:v>A059</x:v>
      </x:c>
      <x:c r="B5084" s="30" t="str">
        <x:v>F104</x:v>
      </x:c>
      <x:c r="C5084" s="30" t="str">
        <x:v>platform.battery_capacity_Wh</x:v>
      </x:c>
      <x:c r="D5084" s="30" t="str">
        <x:v>候选输入schema</x:v>
      </x:c>
      <x:c r="E5084" s="30" t="str">
        <x:v>按执行角色权限读取；策略只能使用可访问快照</x:v>
      </x:c>
    </x:row>
    <x:row r="5085" ht="32" customHeight="1">
      <x:c r="A5085" s="30" t="str">
        <x:v>A059</x:v>
      </x:c>
      <x:c r="B5085" s="30" t="str">
        <x:v>F105</x:v>
      </x:c>
      <x:c r="C5085" s="30" t="str">
        <x:v>platform.battery_remaining_Wh</x:v>
      </x:c>
      <x:c r="D5085" s="30" t="str">
        <x:v>候选输入schema</x:v>
      </x:c>
      <x:c r="E5085" s="30" t="str">
        <x:v>按执行角色权限读取；策略只能使用可访问快照</x:v>
      </x:c>
    </x:row>
    <x:row r="5086" ht="32" customHeight="1">
      <x:c r="A5086" s="30" t="str">
        <x:v>A059</x:v>
      </x:c>
      <x:c r="B5086" s="30" t="str">
        <x:v>F106</x:v>
      </x:c>
      <x:c r="C5086" s="30" t="str">
        <x:v>platform.reserve_Wh</x:v>
      </x:c>
      <x:c r="D5086" s="30" t="str">
        <x:v>候选输入schema</x:v>
      </x:c>
      <x:c r="E5086" s="30" t="str">
        <x:v>按执行角色权限读取；策略只能使用可访问快照</x:v>
      </x:c>
    </x:row>
    <x:row r="5087" ht="32" customHeight="1">
      <x:c r="A5087" s="30" t="str">
        <x:v>A059</x:v>
      </x:c>
      <x:c r="B5087" s="30" t="str">
        <x:v>F107</x:v>
      </x:c>
      <x:c r="C5087" s="30" t="str">
        <x:v>platform.speed_limit_mps</x:v>
      </x:c>
      <x:c r="D5087" s="30" t="str">
        <x:v>候选输入schema</x:v>
      </x:c>
      <x:c r="E5087" s="30" t="str">
        <x:v>按执行角色权限读取；策略只能使用可访问快照</x:v>
      </x:c>
    </x:row>
    <x:row r="5088" ht="32" customHeight="1">
      <x:c r="A5088" s="30" t="str">
        <x:v>A059</x:v>
      </x:c>
      <x:c r="B5088" s="30" t="str">
        <x:v>F108</x:v>
      </x:c>
      <x:c r="C5088" s="30" t="str">
        <x:v>platform.energy_model</x:v>
      </x:c>
      <x:c r="D5088" s="30" t="str">
        <x:v>候选输入schema</x:v>
      </x:c>
      <x:c r="E5088" s="30" t="str">
        <x:v>按执行角色权限读取；策略只能使用可访问快照</x:v>
      </x:c>
    </x:row>
    <x:row r="5089" ht="32" customHeight="1">
      <x:c r="A5089" s="30" t="str">
        <x:v>A059</x:v>
      </x:c>
      <x:c r="B5089" s="30" t="str">
        <x:v>F109</x:v>
      </x:c>
      <x:c r="C5089" s="30" t="str">
        <x:v>platform.motion_state</x:v>
      </x:c>
      <x:c r="D5089" s="30" t="str">
        <x:v>候选输入schema</x:v>
      </x:c>
      <x:c r="E5089" s="30" t="str">
        <x:v>按执行角色权限读取；策略只能使用可访问快照</x:v>
      </x:c>
    </x:row>
    <x:row r="5090" ht="32" customHeight="1">
      <x:c r="A5090" s="30" t="str">
        <x:v>A059</x:v>
      </x:c>
      <x:c r="B5090" s="30" t="str">
        <x:v>F110</x:v>
      </x:c>
      <x:c r="C5090" s="30" t="str">
        <x:v>platform.health_state</x:v>
      </x:c>
      <x:c r="D5090" s="30" t="str">
        <x:v>候选输入schema</x:v>
      </x:c>
      <x:c r="E5090" s="30" t="str">
        <x:v>按执行角色权限读取；策略只能使用可访问快照</x:v>
      </x:c>
    </x:row>
    <x:row r="5091" ht="32" customHeight="1">
      <x:c r="A5091" s="30" t="str">
        <x:v>A059</x:v>
      </x:c>
      <x:c r="B5091" s="30" t="str">
        <x:v>F111</x:v>
      </x:c>
      <x:c r="C5091" s="30" t="str">
        <x:v>platform.current_action_id</x:v>
      </x:c>
      <x:c r="D5091" s="30" t="str">
        <x:v>候选输入schema</x:v>
      </x:c>
      <x:c r="E5091" s="30" t="str">
        <x:v>按执行角色权限读取；策略只能使用可访问快照</x:v>
      </x:c>
    </x:row>
    <x:row r="5092" ht="32" customHeight="1">
      <x:c r="A5092" s="30" t="str">
        <x:v>A059</x:v>
      </x:c>
      <x:c r="B5092" s="30" t="str">
        <x:v>F112</x:v>
      </x:c>
      <x:c r="C5092" s="30" t="str">
        <x:v>platform.busy_until_est_s</x:v>
      </x:c>
      <x:c r="D5092" s="30" t="str">
        <x:v>候选输入schema</x:v>
      </x:c>
      <x:c r="E5092" s="30" t="str">
        <x:v>按执行角色权限读取；策略只能使用可访问快照</x:v>
      </x:c>
    </x:row>
    <x:row r="5093" ht="32" customHeight="1">
      <x:c r="A5093" s="30" t="str">
        <x:v>A059</x:v>
      </x:c>
      <x:c r="B5093" s="30" t="str">
        <x:v>F113</x:v>
      </x:c>
      <x:c r="C5093" s="30" t="str">
        <x:v>platform.return_site_id</x:v>
      </x:c>
      <x:c r="D5093" s="30" t="str">
        <x:v>候选输入schema</x:v>
      </x:c>
      <x:c r="E5093" s="30" t="str">
        <x:v>按执行角色权限读取；策略只能使用可访问快照</x:v>
      </x:c>
    </x:row>
    <x:row r="5094" ht="32" customHeight="1">
      <x:c r="A5094" s="30" t="str">
        <x:v>A059</x:v>
      </x:c>
      <x:c r="B5094" s="30" t="str">
        <x:v>F114</x:v>
      </x:c>
      <x:c r="C5094" s="30" t="str">
        <x:v>platform.water_tolerance_m</x:v>
      </x:c>
      <x:c r="D5094" s="30" t="str">
        <x:v>候选输入schema</x:v>
      </x:c>
      <x:c r="E5094" s="30" t="str">
        <x:v>按执行角色权限读取；策略只能使用可访问快照</x:v>
      </x:c>
    </x:row>
    <x:row r="5095" ht="32" customHeight="1">
      <x:c r="A5095" s="30" t="str">
        <x:v>A059</x:v>
      </x:c>
      <x:c r="B5095" s="30" t="str">
        <x:v>F115</x:v>
      </x:c>
      <x:c r="C5095" s="30" t="str">
        <x:v>platform.concurrency_policy</x:v>
      </x:c>
      <x:c r="D5095" s="30" t="str">
        <x:v>候选输入schema</x:v>
      </x:c>
      <x:c r="E5095" s="30" t="str">
        <x:v>按执行角色权限读取；策略只能使用可访问快照</x:v>
      </x:c>
    </x:row>
    <x:row r="5096" ht="32" customHeight="1">
      <x:c r="A5096" s="30" t="str">
        <x:v>A059</x:v>
      </x:c>
      <x:c r="B5096" s="30" t="str">
        <x:v>F116</x:v>
      </x:c>
      <x:c r="C5096" s="30" t="str">
        <x:v>equipment.kind</x:v>
      </x:c>
      <x:c r="D5096" s="30" t="str">
        <x:v>候选输入schema</x:v>
      </x:c>
      <x:c r="E5096" s="30" t="str">
        <x:v>按执行角色权限读取；策略只能使用可访问快照</x:v>
      </x:c>
    </x:row>
    <x:row r="5097" ht="32" customHeight="1">
      <x:c r="A5097" s="30" t="str">
        <x:v>A059</x:v>
      </x:c>
      <x:c r="B5097" s="30" t="str">
        <x:v>F117</x:v>
      </x:c>
      <x:c r="C5097" s="30" t="str">
        <x:v>equipment.enabled</x:v>
      </x:c>
      <x:c r="D5097" s="30" t="str">
        <x:v>候选输入schema</x:v>
      </x:c>
      <x:c r="E5097" s="30" t="str">
        <x:v>按执行角色权限读取；策略只能使用可访问快照</x:v>
      </x:c>
    </x:row>
    <x:row r="5098" ht="32" customHeight="1">
      <x:c r="A5098" s="30" t="str">
        <x:v>A059</x:v>
      </x:c>
      <x:c r="B5098" s="30" t="str">
        <x:v>F118</x:v>
      </x:c>
      <x:c r="C5098" s="30" t="str">
        <x:v>equipment.health</x:v>
      </x:c>
      <x:c r="D5098" s="30" t="str">
        <x:v>候选输入schema</x:v>
      </x:c>
      <x:c r="E5098" s="30" t="str">
        <x:v>按执行角色权限读取；策略只能使用可访问快照</x:v>
      </x:c>
    </x:row>
    <x:row r="5099" ht="32" customHeight="1">
      <x:c r="A5099" s="30" t="str">
        <x:v>A059</x:v>
      </x:c>
      <x:c r="B5099" s="30" t="str">
        <x:v>F119</x:v>
      </x:c>
      <x:c r="C5099" s="30" t="str">
        <x:v>equipment.rated_load_kg</x:v>
      </x:c>
      <x:c r="D5099" s="30" t="str">
        <x:v>候选输入schema</x:v>
      </x:c>
      <x:c r="E5099" s="30" t="str">
        <x:v>按执行角色权限读取；策略只能使用可访问快照</x:v>
      </x:c>
    </x:row>
    <x:row r="5100" ht="32" customHeight="1">
      <x:c r="A5100" s="30" t="str">
        <x:v>A059</x:v>
      </x:c>
      <x:c r="B5100" s="30" t="str">
        <x:v>F120</x:v>
      </x:c>
      <x:c r="C5100" s="30" t="str">
        <x:v>equipment.reach_m</x:v>
      </x:c>
      <x:c r="D5100" s="30" t="str">
        <x:v>候选输入schema</x:v>
      </x:c>
      <x:c r="E5100" s="30" t="str">
        <x:v>按执行角色权限读取；策略只能使用可访问快照</x:v>
      </x:c>
    </x:row>
    <x:row r="5101" ht="32" customHeight="1">
      <x:c r="A5101" s="30" t="str">
        <x:v>A059</x:v>
      </x:c>
      <x:c r="B5101" s="30" t="str">
        <x:v>F121</x:v>
      </x:c>
      <x:c r="C5101" s="30" t="str">
        <x:v>equipment.compatible_materials</x:v>
      </x:c>
      <x:c r="D5101" s="30" t="str">
        <x:v>候选输入schema</x:v>
      </x:c>
      <x:c r="E5101" s="30" t="str">
        <x:v>按执行角色权限读取；策略只能使用可访问快照</x:v>
      </x:c>
    </x:row>
    <x:row r="5102" ht="32" customHeight="1">
      <x:c r="A5102" s="30" t="str">
        <x:v>A059</x:v>
      </x:c>
      <x:c r="B5102" s="30" t="str">
        <x:v>F122</x:v>
      </x:c>
      <x:c r="C5102" s="30" t="str">
        <x:v>equipment.tool_size</x:v>
      </x:c>
      <x:c r="D5102" s="30" t="str">
        <x:v>候选输入schema</x:v>
      </x:c>
      <x:c r="E5102" s="30" t="str">
        <x:v>按执行角色权限读取；策略只能使用可访问快照</x:v>
      </x:c>
    </x:row>
    <x:row r="5103" ht="32" customHeight="1">
      <x:c r="A5103" s="30" t="str">
        <x:v>A059</x:v>
      </x:c>
      <x:c r="B5103" s="30" t="str">
        <x:v>F123</x:v>
      </x:c>
      <x:c r="C5103" s="30" t="str">
        <x:v>equipment.consumable_type</x:v>
      </x:c>
      <x:c r="D5103" s="30" t="str">
        <x:v>候选输入schema</x:v>
      </x:c>
      <x:c r="E5103" s="30" t="str">
        <x:v>按执行角色权限读取；策略只能使用可访问快照</x:v>
      </x:c>
    </x:row>
    <x:row r="5104" ht="32" customHeight="1">
      <x:c r="A5104" s="30" t="str">
        <x:v>A059</x:v>
      </x:c>
      <x:c r="B5104" s="30" t="str">
        <x:v>F124</x:v>
      </x:c>
      <x:c r="C5104" s="30" t="str">
        <x:v>equipment.consumable_remaining</x:v>
      </x:c>
      <x:c r="D5104" s="30" t="str">
        <x:v>候选输入schema</x:v>
      </x:c>
      <x:c r="E5104" s="30" t="str">
        <x:v>按执行角色权限读取；策略只能使用可访问快照</x:v>
      </x:c>
    </x:row>
    <x:row r="5105" ht="32" customHeight="1">
      <x:c r="A5105" s="30" t="str">
        <x:v>A059</x:v>
      </x:c>
      <x:c r="B5105" s="30" t="str">
        <x:v>F125</x:v>
      </x:c>
      <x:c r="C5105" s="30" t="str">
        <x:v>equipment.operator_authority</x:v>
      </x:c>
      <x:c r="D5105" s="30" t="str">
        <x:v>候选输入schema</x:v>
      </x:c>
      <x:c r="E5105" s="30" t="str">
        <x:v>按执行角色权限读取；策略只能使用可访问快照</x:v>
      </x:c>
    </x:row>
    <x:row r="5106" ht="32" customHeight="1">
      <x:c r="A5106" s="30" t="str">
        <x:v>A059</x:v>
      </x:c>
      <x:c r="B5106" s="30" t="str">
        <x:v>F126</x:v>
      </x:c>
      <x:c r="C5106" s="30" t="str">
        <x:v>equipment.setup_state</x:v>
      </x:c>
      <x:c r="D5106" s="30" t="str">
        <x:v>候选输入schema</x:v>
      </x:c>
      <x:c r="E5106" s="30" t="str">
        <x:v>按执行角色权限读取；策略只能使用可访问快照</x:v>
      </x:c>
    </x:row>
    <x:row r="5107" ht="32" customHeight="1">
      <x:c r="A5107" s="30" t="str">
        <x:v>A059</x:v>
      </x:c>
      <x:c r="B5107" s="30" t="str">
        <x:v>F127</x:v>
      </x:c>
      <x:c r="C5107" s="30" t="str">
        <x:v>equipment.busy_action_id</x:v>
      </x:c>
      <x:c r="D5107" s="30" t="str">
        <x:v>候选输入schema</x:v>
      </x:c>
      <x:c r="E5107" s="30" t="str">
        <x:v>按执行角色权限读取；策略只能使用可访问快照</x:v>
      </x:c>
    </x:row>
    <x:row r="5108" ht="32" customHeight="1">
      <x:c r="A5108" s="30" t="str">
        <x:v>A059</x:v>
      </x:c>
      <x:c r="B5108" s="30" t="str">
        <x:v>F196</x:v>
      </x:c>
      <x:c r="C5108" s="30" t="str">
        <x:v>task.type</x:v>
      </x:c>
      <x:c r="D5108" s="30" t="str">
        <x:v>候选输入schema</x:v>
      </x:c>
      <x:c r="E5108" s="30" t="str">
        <x:v>按执行角色权限读取；策略只能使用可访问快照</x:v>
      </x:c>
    </x:row>
    <x:row r="5109" ht="32" customHeight="1">
      <x:c r="A5109" s="30" t="str">
        <x:v>A059</x:v>
      </x:c>
      <x:c r="B5109" s="30" t="str">
        <x:v>F197</x:v>
      </x:c>
      <x:c r="C5109" s="30" t="str">
        <x:v>task.creator_id</x:v>
      </x:c>
      <x:c r="D5109" s="30" t="str">
        <x:v>候选输入schema</x:v>
      </x:c>
      <x:c r="E5109" s="30" t="str">
        <x:v>按执行角色权限读取；策略只能使用可访问快照</x:v>
      </x:c>
    </x:row>
    <x:row r="5110" ht="32" customHeight="1">
      <x:c r="A5110" s="30" t="str">
        <x:v>A059</x:v>
      </x:c>
      <x:c r="B5110" s="30" t="str">
        <x:v>F198</x:v>
      </x:c>
      <x:c r="C5110" s="30" t="str">
        <x:v>task.target_ref</x:v>
      </x:c>
      <x:c r="D5110" s="30" t="str">
        <x:v>候选输入schema</x:v>
      </x:c>
      <x:c r="E5110" s="30" t="str">
        <x:v>按执行角色权限读取；策略只能使用可访问快照</x:v>
      </x:c>
    </x:row>
    <x:row r="5111" ht="32" customHeight="1">
      <x:c r="A5111" s="30" t="str">
        <x:v>A059</x:v>
      </x:c>
      <x:c r="B5111" s="30" t="str">
        <x:v>F199</x:v>
      </x:c>
      <x:c r="C5111" s="30" t="str">
        <x:v>task.goal_predicate</x:v>
      </x:c>
      <x:c r="D5111" s="30" t="str">
        <x:v>候选输入schema</x:v>
      </x:c>
      <x:c r="E5111" s="30" t="str">
        <x:v>按执行角色权限读取；策略只能使用可访问快照</x:v>
      </x:c>
    </x:row>
    <x:row r="5112" ht="32" customHeight="1">
      <x:c r="A5112" s="30" t="str">
        <x:v>A059</x:v>
      </x:c>
      <x:c r="B5112" s="30" t="str">
        <x:v>F200</x:v>
      </x:c>
      <x:c r="C5112" s="30" t="str">
        <x:v>task.revision</x:v>
      </x:c>
      <x:c r="D5112" s="30" t="str">
        <x:v>候选输入schema</x:v>
      </x:c>
      <x:c r="E5112" s="30" t="str">
        <x:v>按执行角色权限读取；策略只能使用可访问快照</x:v>
      </x:c>
    </x:row>
    <x:row r="5113" ht="32" customHeight="1">
      <x:c r="A5113" s="30" t="str">
        <x:v>A059</x:v>
      </x:c>
      <x:c r="B5113" s="30" t="str">
        <x:v>F201</x:v>
      </x:c>
      <x:c r="C5113" s="30" t="str">
        <x:v>task.status</x:v>
      </x:c>
      <x:c r="D5113" s="30" t="str">
        <x:v>候选输入schema</x:v>
      </x:c>
      <x:c r="E5113" s="30" t="str">
        <x:v>按执行角色权限读取；策略只能使用可访问快照</x:v>
      </x:c>
    </x:row>
    <x:row r="5114" ht="32" customHeight="1">
      <x:c r="A5114" s="30" t="str">
        <x:v>A059</x:v>
      </x:c>
      <x:c r="B5114" s="30" t="str">
        <x:v>F202</x:v>
      </x:c>
      <x:c r="C5114" s="30" t="str">
        <x:v>task.priority</x:v>
      </x:c>
      <x:c r="D5114" s="30" t="str">
        <x:v>候选输入schema</x:v>
      </x:c>
      <x:c r="E5114" s="30" t="str">
        <x:v>按执行角色权限读取；策略只能使用可访问快照</x:v>
      </x:c>
    </x:row>
    <x:row r="5115" ht="32" customHeight="1">
      <x:c r="A5115" s="30" t="str">
        <x:v>A059</x:v>
      </x:c>
      <x:c r="B5115" s="30" t="str">
        <x:v>F203</x:v>
      </x:c>
      <x:c r="C5115" s="30" t="str">
        <x:v>task.deadline_s</x:v>
      </x:c>
      <x:c r="D5115" s="30" t="str">
        <x:v>候选输入schema</x:v>
      </x:c>
      <x:c r="E5115" s="30" t="str">
        <x:v>按执行角色权限读取；策略只能使用可访问快照</x:v>
      </x:c>
    </x:row>
    <x:row r="5116" ht="32" customHeight="1">
      <x:c r="A5116" s="30" t="str">
        <x:v>A059</x:v>
      </x:c>
      <x:c r="B5116" s="30" t="str">
        <x:v>F204</x:v>
      </x:c>
      <x:c r="C5116" s="30" t="str">
        <x:v>task.dependency_ids</x:v>
      </x:c>
      <x:c r="D5116" s="30" t="str">
        <x:v>候选输入schema</x:v>
      </x:c>
      <x:c r="E5116" s="30" t="str">
        <x:v>按执行角色权限读取；策略只能使用可访问快照</x:v>
      </x:c>
    </x:row>
    <x:row r="5117" ht="32" customHeight="1">
      <x:c r="A5117" s="30" t="str">
        <x:v>A059</x:v>
      </x:c>
      <x:c r="B5117" s="30" t="str">
        <x:v>F205</x:v>
      </x:c>
      <x:c r="C5117" s="30" t="str">
        <x:v>task.required_capability_ids</x:v>
      </x:c>
      <x:c r="D5117" s="30" t="str">
        <x:v>候选输入schema</x:v>
      </x:c>
      <x:c r="E5117" s="30" t="str">
        <x:v>按执行角色权限读取；策略只能使用可访问快照</x:v>
      </x:c>
    </x:row>
    <x:row r="5118" ht="32" customHeight="1">
      <x:c r="A5118" s="30" t="str">
        <x:v>A059</x:v>
      </x:c>
      <x:c r="B5118" s="30" t="str">
        <x:v>F206</x:v>
      </x:c>
      <x:c r="C5118" s="30" t="str">
        <x:v>task.resource_budget</x:v>
      </x:c>
      <x:c r="D5118" s="30" t="str">
        <x:v>候选输入schema</x:v>
      </x:c>
      <x:c r="E5118" s="30" t="str">
        <x:v>按执行角色权限读取；策略只能使用可访问快照</x:v>
      </x:c>
    </x:row>
    <x:row r="5119" ht="32" customHeight="1">
      <x:c r="A5119" s="30" t="str">
        <x:v>A059</x:v>
      </x:c>
      <x:c r="B5119" s="30" t="str">
        <x:v>F207</x:v>
      </x:c>
      <x:c r="C5119" s="30" t="str">
        <x:v>task.assigned_to</x:v>
      </x:c>
      <x:c r="D5119" s="30" t="str">
        <x:v>候选输入schema</x:v>
      </x:c>
      <x:c r="E5119" s="30" t="str">
        <x:v>按执行角色权限读取；策略只能使用可访问快照</x:v>
      </x:c>
    </x:row>
    <x:row r="5120" ht="32" customHeight="1">
      <x:c r="A5120" s="30" t="str">
        <x:v>A059</x:v>
      </x:c>
      <x:c r="B5120" s="30" t="str">
        <x:v>F208</x:v>
      </x:c>
      <x:c r="C5120" s="30" t="str">
        <x:v>task.accepted_by</x:v>
      </x:c>
      <x:c r="D5120" s="30" t="str">
        <x:v>候选输入schema</x:v>
      </x:c>
      <x:c r="E5120" s="30" t="str">
        <x:v>按执行角色权限读取；策略只能使用可访问快照</x:v>
      </x:c>
    </x:row>
    <x:row r="5121" ht="32" customHeight="1">
      <x:c r="A5121" s="30" t="str">
        <x:v>A059</x:v>
      </x:c>
      <x:c r="B5121" s="30" t="str">
        <x:v>F209</x:v>
      </x:c>
      <x:c r="C5121" s="30" t="str">
        <x:v>task.commitment_window</x:v>
      </x:c>
      <x:c r="D5121" s="30" t="str">
        <x:v>候选输入schema</x:v>
      </x:c>
      <x:c r="E5121" s="30" t="str">
        <x:v>按执行角色权限读取；策略只能使用可访问快照</x:v>
      </x:c>
    </x:row>
    <x:row r="5122" ht="32" customHeight="1">
      <x:c r="A5122" s="30" t="str">
        <x:v>A059</x:v>
      </x:c>
      <x:c r="B5122" s="30" t="str">
        <x:v>F210</x:v>
      </x:c>
      <x:c r="C5122" s="30" t="str">
        <x:v>task.progress</x:v>
      </x:c>
      <x:c r="D5122" s="30" t="str">
        <x:v>候选输入schema</x:v>
      </x:c>
      <x:c r="E5122" s="30" t="str">
        <x:v>按执行角色权限读取；策略只能使用可访问快照</x:v>
      </x:c>
    </x:row>
    <x:row r="5123" ht="32" customHeight="1">
      <x:c r="A5123" s="30" t="str">
        <x:v>A059</x:v>
      </x:c>
      <x:c r="B5123" s="30" t="str">
        <x:v>F211</x:v>
      </x:c>
      <x:c r="C5123" s="30" t="str">
        <x:v>task.active_action_ids</x:v>
      </x:c>
      <x:c r="D5123" s="30" t="str">
        <x:v>候选输入schema</x:v>
      </x:c>
      <x:c r="E5123" s="30" t="str">
        <x:v>按执行角色权限读取；策略只能使用可访问快照</x:v>
      </x:c>
    </x:row>
    <x:row r="5124" ht="32" customHeight="1">
      <x:c r="A5124" s="30" t="str">
        <x:v>A059</x:v>
      </x:c>
      <x:c r="B5124" s="30" t="str">
        <x:v>F212</x:v>
      </x:c>
      <x:c r="C5124" s="30" t="str">
        <x:v>task.interruptibility</x:v>
      </x:c>
      <x:c r="D5124" s="30" t="str">
        <x:v>候选输入schema</x:v>
      </x:c>
      <x:c r="E5124" s="30" t="str">
        <x:v>按执行角色权限读取；策略只能使用可访问快照</x:v>
      </x:c>
    </x:row>
    <x:row r="5125" ht="32" customHeight="1">
      <x:c r="A5125" s="30" t="str">
        <x:v>A059</x:v>
      </x:c>
      <x:c r="B5125" s="30" t="str">
        <x:v>F213</x:v>
      </x:c>
      <x:c r="C5125" s="30" t="str">
        <x:v>task.original_task_id</x:v>
      </x:c>
      <x:c r="D5125" s="30" t="str">
        <x:v>候选输入schema</x:v>
      </x:c>
      <x:c r="E5125" s="30" t="str">
        <x:v>按执行角色权限读取；策略只能使用可访问快照</x:v>
      </x:c>
    </x:row>
    <x:row r="5126" ht="32" customHeight="1">
      <x:c r="A5126" s="30" t="str">
        <x:v>A059</x:v>
      </x:c>
      <x:c r="B5126" s="30" t="str">
        <x:v>F214</x:v>
      </x:c>
      <x:c r="C5126" s="30" t="str">
        <x:v>task.resume_checkpoint</x:v>
      </x:c>
      <x:c r="D5126" s="30" t="str">
        <x:v>候选输入schema</x:v>
      </x:c>
      <x:c r="E5126" s="30" t="str">
        <x:v>按执行角色权限读取；策略只能使用可访问快照</x:v>
      </x:c>
    </x:row>
    <x:row r="5127" ht="32" customHeight="1">
      <x:c r="A5127" s="30" t="str">
        <x:v>A059</x:v>
      </x:c>
      <x:c r="B5127" s="30" t="str">
        <x:v>F215</x:v>
      </x:c>
      <x:c r="C5127" s="30" t="str">
        <x:v>task.handoff_target_id</x:v>
      </x:c>
      <x:c r="D5127" s="30" t="str">
        <x:v>候选输入schema</x:v>
      </x:c>
      <x:c r="E5127" s="30" t="str">
        <x:v>按执行角色权限读取；策略只能使用可访问快照</x:v>
      </x:c>
    </x:row>
    <x:row r="5128" ht="32" customHeight="1">
      <x:c r="A5128" s="30" t="str">
        <x:v>A059</x:v>
      </x:c>
      <x:c r="B5128" s="30" t="str">
        <x:v>F216</x:v>
      </x:c>
      <x:c r="C5128" s="30" t="str">
        <x:v>task.result_evidence_ids</x:v>
      </x:c>
      <x:c r="D5128" s="30" t="str">
        <x:v>候选输入schema</x:v>
      </x:c>
      <x:c r="E5128" s="30" t="str">
        <x:v>按执行角色权限读取；策略只能使用可访问快照</x:v>
      </x:c>
    </x:row>
    <x:row r="5129" ht="32" customHeight="1">
      <x:c r="A5129" s="30" t="str">
        <x:v>A059</x:v>
      </x:c>
      <x:c r="B5129" s="30" t="str">
        <x:v>F217</x:v>
      </x:c>
      <x:c r="C5129" s="30" t="str">
        <x:v>task.failure_reason</x:v>
      </x:c>
      <x:c r="D5129" s="30" t="str">
        <x:v>候选输入schema</x:v>
      </x:c>
      <x:c r="E5129" s="30" t="str">
        <x:v>按执行角色权限读取；策略只能使用可访问快照</x:v>
      </x:c>
    </x:row>
    <x:row r="5130" ht="32" customHeight="1">
      <x:c r="A5130" s="30" t="str">
        <x:v>A059</x:v>
      </x:c>
      <x:c r="B5130" s="30" t="str">
        <x:v>F218</x:v>
      </x:c>
      <x:c r="C5130" s="30" t="str">
        <x:v>task.last_event_s</x:v>
      </x:c>
      <x:c r="D5130" s="30" t="str">
        <x:v>候选输入schema</x:v>
      </x:c>
      <x:c r="E5130" s="30" t="str">
        <x:v>按执行角色权限读取；策略只能使用可访问快照</x:v>
      </x:c>
    </x:row>
    <x:row r="5131" ht="32" customHeight="1">
      <x:c r="A5131" s="30" t="str">
        <x:v>A059</x:v>
      </x:c>
      <x:c r="B5131" s="30" t="str">
        <x:v>F219</x:v>
      </x:c>
      <x:c r="C5131" s="30" t="str">
        <x:v>task.opportunity_cost</x:v>
      </x:c>
      <x:c r="D5131" s="30" t="str">
        <x:v>候选输入schema</x:v>
      </x:c>
      <x:c r="E5131" s="30" t="str">
        <x:v>按执行角色权限读取；策略只能使用可访问快照</x:v>
      </x:c>
    </x:row>
    <x:row r="5132" ht="32" customHeight="1">
      <x:c r="A5132" s="30" t="str">
        <x:v>A059</x:v>
      </x:c>
      <x:c r="B5132" s="30" t="str">
        <x:v>F220</x:v>
      </x:c>
      <x:c r="C5132" s="30" t="str">
        <x:v>assignment.task_ref</x:v>
      </x:c>
      <x:c r="D5132" s="30" t="str">
        <x:v>候选输入schema</x:v>
      </x:c>
      <x:c r="E5132" s="30" t="str">
        <x:v>按执行角色权限读取；策略只能使用可访问快照</x:v>
      </x:c>
    </x:row>
    <x:row r="5133" ht="32" customHeight="1">
      <x:c r="A5133" s="30" t="str">
        <x:v>A059</x:v>
      </x:c>
      <x:c r="B5133" s="30" t="str">
        <x:v>F221</x:v>
      </x:c>
      <x:c r="C5133" s="30" t="str">
        <x:v>assignment.sender_id</x:v>
      </x:c>
      <x:c r="D5133" s="30" t="str">
        <x:v>候选输入schema</x:v>
      </x:c>
      <x:c r="E5133" s="30" t="str">
        <x:v>按执行角色权限读取；策略只能使用可访问快照</x:v>
      </x:c>
    </x:row>
    <x:row r="5134" ht="32" customHeight="1">
      <x:c r="A5134" s="30" t="str">
        <x:v>A059</x:v>
      </x:c>
      <x:c r="B5134" s="30" t="str">
        <x:v>F222</x:v>
      </x:c>
      <x:c r="C5134" s="30" t="str">
        <x:v>assignment.receiver_id</x:v>
      </x:c>
      <x:c r="D5134" s="30" t="str">
        <x:v>候选输入schema</x:v>
      </x:c>
      <x:c r="E5134" s="30" t="str">
        <x:v>按执行角色权限读取；策略只能使用可访问快照</x:v>
      </x:c>
    </x:row>
    <x:row r="5135" ht="32" customHeight="1">
      <x:c r="A5135" s="30" t="str">
        <x:v>A059</x:v>
      </x:c>
      <x:c r="B5135" s="30" t="str">
        <x:v>F223</x:v>
      </x:c>
      <x:c r="C5135" s="30" t="str">
        <x:v>assignment.bid</x:v>
      </x:c>
      <x:c r="D5135" s="30" t="str">
        <x:v>候选输入schema</x:v>
      </x:c>
      <x:c r="E5135" s="30" t="str">
        <x:v>按执行角色权限读取；策略只能使用可访问快照</x:v>
      </x:c>
    </x:row>
    <x:row r="5136" ht="32" customHeight="1">
      <x:c r="A5136" s="30" t="str">
        <x:v>A059</x:v>
      </x:c>
      <x:c r="B5136" s="30" t="str">
        <x:v>F224</x:v>
      </x:c>
      <x:c r="C5136" s="30" t="str">
        <x:v>assignment.message_id</x:v>
      </x:c>
      <x:c r="D5136" s="30" t="str">
        <x:v>候选输入schema</x:v>
      </x:c>
      <x:c r="E5136" s="30" t="str">
        <x:v>按执行角色权限读取；策略只能使用可访问快照</x:v>
      </x:c>
    </x:row>
    <x:row r="5137" ht="32" customHeight="1">
      <x:c r="A5137" s="30" t="str">
        <x:v>A059</x:v>
      </x:c>
      <x:c r="B5137" s="30" t="str">
        <x:v>F225</x:v>
      </x:c>
      <x:c r="C5137" s="30" t="str">
        <x:v>assignment.delivery_state</x:v>
      </x:c>
      <x:c r="D5137" s="30" t="str">
        <x:v>候选输入schema</x:v>
      </x:c>
      <x:c r="E5137" s="30" t="str">
        <x:v>按执行角色权限读取；策略只能使用可访问快照</x:v>
      </x:c>
    </x:row>
    <x:row r="5138" ht="32" customHeight="1">
      <x:c r="A5138" s="30" t="str">
        <x:v>A059</x:v>
      </x:c>
      <x:c r="B5138" s="30" t="str">
        <x:v>F226</x:v>
      </x:c>
      <x:c r="C5138" s="30" t="str">
        <x:v>assignment.decision</x:v>
      </x:c>
      <x:c r="D5138" s="30" t="str">
        <x:v>候选输入schema</x:v>
      </x:c>
      <x:c r="E5138" s="30" t="str">
        <x:v>按执行角色权限读取；策略只能使用可访问快照</x:v>
      </x:c>
    </x:row>
    <x:row r="5139" ht="32" customHeight="1">
      <x:c r="A5139" s="30" t="str">
        <x:v>A059</x:v>
      </x:c>
      <x:c r="B5139" s="30" t="str">
        <x:v>F227</x:v>
      </x:c>
      <x:c r="C5139" s="30" t="str">
        <x:v>assignment.decision_reason</x:v>
      </x:c>
      <x:c r="D5139" s="30" t="str">
        <x:v>候选输入schema</x:v>
      </x:c>
      <x:c r="E5139" s="30" t="str">
        <x:v>按执行角色权限读取；策略只能使用可访问快照</x:v>
      </x:c>
    </x:row>
    <x:row r="5140" ht="32" customHeight="1">
      <x:c r="A5140" s="30" t="str">
        <x:v>A059</x:v>
      </x:c>
      <x:c r="B5140" s="30" t="str">
        <x:v>F228</x:v>
      </x:c>
      <x:c r="C5140" s="30" t="str">
        <x:v>assignment.lease_end_s</x:v>
      </x:c>
      <x:c r="D5140" s="30" t="str">
        <x:v>候选输入schema</x:v>
      </x:c>
      <x:c r="E5140" s="30" t="str">
        <x:v>按执行角色权限读取；策略只能使用可访问快照</x:v>
      </x:c>
    </x:row>
    <x:row r="5141" ht="32" customHeight="1">
      <x:c r="A5141" s="30" t="str">
        <x:v>A059</x:v>
      </x:c>
      <x:c r="B5141" s="30" t="str">
        <x:v>F229</x:v>
      </x:c>
      <x:c r="C5141" s="30" t="str">
        <x:v>assignment.acknowledged_revision</x:v>
      </x:c>
      <x:c r="D5141" s="30" t="str">
        <x:v>候选输入schema</x:v>
      </x:c>
      <x:c r="E5141" s="30" t="str">
        <x:v>按执行角色权限读取；策略只能使用可访问快照</x:v>
      </x:c>
    </x:row>
    <x:row r="5142" ht="32" customHeight="1">
      <x:c r="A5142" s="30" t="str">
        <x:v>A059</x:v>
      </x:c>
      <x:c r="B5142" s="30" t="str">
        <x:v>F275</x:v>
      </x:c>
      <x:c r="C5142" s="30" t="str">
        <x:v>message.kind</x:v>
      </x:c>
      <x:c r="D5142" s="30" t="str">
        <x:v>候选输入schema</x:v>
      </x:c>
      <x:c r="E5142" s="30" t="str">
        <x:v>按执行角色权限读取；策略只能使用可访问快照</x:v>
      </x:c>
    </x:row>
    <x:row r="5143" ht="32" customHeight="1">
      <x:c r="A5143" s="30" t="str">
        <x:v>A059</x:v>
      </x:c>
      <x:c r="B5143" s="30" t="str">
        <x:v>F276</x:v>
      </x:c>
      <x:c r="C5143" s="30" t="str">
        <x:v>message.sender_id</x:v>
      </x:c>
      <x:c r="D5143" s="30" t="str">
        <x:v>候选输入schema</x:v>
      </x:c>
      <x:c r="E5143" s="30" t="str">
        <x:v>按执行角色权限读取；策略只能使用可访问快照</x:v>
      </x:c>
    </x:row>
    <x:row r="5144" ht="32" customHeight="1">
      <x:c r="A5144" s="30" t="str">
        <x:v>A059</x:v>
      </x:c>
      <x:c r="B5144" s="30" t="str">
        <x:v>F277</x:v>
      </x:c>
      <x:c r="C5144" s="30" t="str">
        <x:v>message.receiver_ids</x:v>
      </x:c>
      <x:c r="D5144" s="30" t="str">
        <x:v>候选输入schema</x:v>
      </x:c>
      <x:c r="E5144" s="30" t="str">
        <x:v>按执行角色权限读取；策略只能使用可访问快照</x:v>
      </x:c>
    </x:row>
    <x:row r="5145" ht="32" customHeight="1">
      <x:c r="A5145" s="30" t="str">
        <x:v>A059</x:v>
      </x:c>
      <x:c r="B5145" s="30" t="str">
        <x:v>F278</x:v>
      </x:c>
      <x:c r="C5145" s="30" t="str">
        <x:v>message.payload_ref</x:v>
      </x:c>
      <x:c r="D5145" s="30" t="str">
        <x:v>候选输入schema</x:v>
      </x:c>
      <x:c r="E5145" s="30" t="str">
        <x:v>按执行角色权限读取；策略只能使用可访问快照</x:v>
      </x:c>
    </x:row>
    <x:row r="5146" ht="32" customHeight="1">
      <x:c r="A5146" s="30" t="str">
        <x:v>A059</x:v>
      </x:c>
      <x:c r="B5146" s="30" t="str">
        <x:v>F279</x:v>
      </x:c>
      <x:c r="C5146" s="30" t="str">
        <x:v>message.size_bytes</x:v>
      </x:c>
      <x:c r="D5146" s="30" t="str">
        <x:v>候选输入schema</x:v>
      </x:c>
      <x:c r="E5146" s="30" t="str">
        <x:v>按执行角色权限读取；策略只能使用可访问快照</x:v>
      </x:c>
    </x:row>
    <x:row r="5147" ht="32" customHeight="1">
      <x:c r="A5147" s="30" t="str">
        <x:v>A059</x:v>
      </x:c>
      <x:c r="B5147" s="30" t="str">
        <x:v>F280</x:v>
      </x:c>
      <x:c r="C5147" s="30" t="str">
        <x:v>message.fragment_count</x:v>
      </x:c>
      <x:c r="D5147" s="30" t="str">
        <x:v>候选输入schema</x:v>
      </x:c>
      <x:c r="E5147" s="30" t="str">
        <x:v>按执行角色权限读取；策略只能使用可访问快照</x:v>
      </x:c>
    </x:row>
    <x:row r="5148" ht="32" customHeight="1">
      <x:c r="A5148" s="30" t="str">
        <x:v>A059</x:v>
      </x:c>
      <x:c r="B5148" s="30" t="str">
        <x:v>F281</x:v>
      </x:c>
      <x:c r="C5148" s="30" t="str">
        <x:v>message.received_fragments</x:v>
      </x:c>
      <x:c r="D5148" s="30" t="str">
        <x:v>候选输入schema</x:v>
      </x:c>
      <x:c r="E5148" s="30" t="str">
        <x:v>按执行角色权限读取；策略只能使用可访问快照</x:v>
      </x:c>
    </x:row>
    <x:row r="5149" ht="32" customHeight="1">
      <x:c r="A5149" s="30" t="str">
        <x:v>A059</x:v>
      </x:c>
      <x:c r="B5149" s="30" t="str">
        <x:v>F282</x:v>
      </x:c>
      <x:c r="C5149" s="30" t="str">
        <x:v>message.content_hash</x:v>
      </x:c>
      <x:c r="D5149" s="30" t="str">
        <x:v>候选输入schema</x:v>
      </x:c>
      <x:c r="E5149" s="30" t="str">
        <x:v>按执行角色权限读取；策略只能使用可访问快照</x:v>
      </x:c>
    </x:row>
    <x:row r="5150" ht="32" customHeight="1">
      <x:c r="A5150" s="30" t="str">
        <x:v>A059</x:v>
      </x:c>
      <x:c r="B5150" s="30" t="str">
        <x:v>F283</x:v>
      </x:c>
      <x:c r="C5150" s="30" t="str">
        <x:v>message.priority</x:v>
      </x:c>
      <x:c r="D5150" s="30" t="str">
        <x:v>候选输入schema</x:v>
      </x:c>
      <x:c r="E5150" s="30" t="str">
        <x:v>按执行角色权限读取；策略只能使用可访问快照</x:v>
      </x:c>
    </x:row>
    <x:row r="5151" ht="32" customHeight="1">
      <x:c r="A5151" s="30" t="str">
        <x:v>A059</x:v>
      </x:c>
      <x:c r="B5151" s="30" t="str">
        <x:v>F284</x:v>
      </x:c>
      <x:c r="C5151" s="30" t="str">
        <x:v>message.ttl_s</x:v>
      </x:c>
      <x:c r="D5151" s="30" t="str">
        <x:v>候选输入schema</x:v>
      </x:c>
      <x:c r="E5151" s="30" t="str">
        <x:v>按执行角色权限读取；策略只能使用可访问快照</x:v>
      </x:c>
    </x:row>
    <x:row r="5152" ht="32" customHeight="1">
      <x:c r="A5152" s="30" t="str">
        <x:v>A059</x:v>
      </x:c>
      <x:c r="B5152" s="30" t="str">
        <x:v>F285</x:v>
      </x:c>
      <x:c r="C5152" s="30" t="str">
        <x:v>message.status</x:v>
      </x:c>
      <x:c r="D5152" s="30" t="str">
        <x:v>候选输入schema</x:v>
      </x:c>
      <x:c r="E5152" s="30" t="str">
        <x:v>按执行角色权限读取；策略只能使用可访问快照</x:v>
      </x:c>
    </x:row>
    <x:row r="5153" ht="32" customHeight="1">
      <x:c r="A5153" s="30" t="str">
        <x:v>A059</x:v>
      </x:c>
      <x:c r="B5153" s="30" t="str">
        <x:v>F286</x:v>
      </x:c>
      <x:c r="C5153" s="30" t="str">
        <x:v>message.sent_s</x:v>
      </x:c>
      <x:c r="D5153" s="30" t="str">
        <x:v>候选输入schema</x:v>
      </x:c>
      <x:c r="E5153" s="30" t="str">
        <x:v>按执行角色权限读取；策略只能使用可访问快照</x:v>
      </x:c>
    </x:row>
    <x:row r="5154" ht="32" customHeight="1">
      <x:c r="A5154" s="30" t="str">
        <x:v>A059</x:v>
      </x:c>
      <x:c r="B5154" s="30" t="str">
        <x:v>F287</x:v>
      </x:c>
      <x:c r="C5154" s="30" t="str">
        <x:v>message.delivered_s</x:v>
      </x:c>
      <x:c r="D5154" s="30" t="str">
        <x:v>候选输入schema</x:v>
      </x:c>
      <x:c r="E5154" s="30" t="str">
        <x:v>按执行角色权限读取；策略只能使用可访问快照</x:v>
      </x:c>
    </x:row>
    <x:row r="5155" ht="32" customHeight="1">
      <x:c r="A5155" s="30" t="str">
        <x:v>A059</x:v>
      </x:c>
      <x:c r="B5155" s="30" t="str">
        <x:v>F288</x:v>
      </x:c>
      <x:c r="C5155" s="30" t="str">
        <x:v>message.ack_state</x:v>
      </x:c>
      <x:c r="D5155" s="30" t="str">
        <x:v>候选输入schema</x:v>
      </x:c>
      <x:c r="E5155" s="30" t="str">
        <x:v>按执行角色权限读取；策略只能使用可访问快照</x:v>
      </x:c>
    </x:row>
    <x:row r="5156" ht="32" customHeight="1">
      <x:c r="A5156" s="30" t="str">
        <x:v>A059</x:v>
      </x:c>
      <x:c r="B5156" s="30" t="str">
        <x:v>F289</x:v>
      </x:c>
      <x:c r="C5156" s="30" t="str">
        <x:v>message.retry_count</x:v>
      </x:c>
      <x:c r="D5156" s="30" t="str">
        <x:v>候选输入schema</x:v>
      </x:c>
      <x:c r="E5156" s="30" t="str">
        <x:v>按执行角色权限读取；策略只能使用可访问快照</x:v>
      </x:c>
    </x:row>
    <x:row r="5157" ht="32" customHeight="1">
      <x:c r="A5157" s="30" t="str">
        <x:v>A059</x:v>
      </x:c>
      <x:c r="B5157" s="30" t="str">
        <x:v>F290</x:v>
      </x:c>
      <x:c r="C5157" s="30" t="str">
        <x:v>message.hop_trace</x:v>
      </x:c>
      <x:c r="D5157" s="30" t="str">
        <x:v>候选输入schema</x:v>
      </x:c>
      <x:c r="E5157" s="30" t="str">
        <x:v>按执行角色权限读取；策略只能使用可访问快照</x:v>
      </x:c>
    </x:row>
    <x:row r="5158" ht="32" customHeight="1">
      <x:c r="A5158" s="30" t="str">
        <x:v>A059</x:v>
      </x:c>
      <x:c r="B5158" s="30" t="str">
        <x:v>F291</x:v>
      </x:c>
      <x:c r="C5158" s="30" t="str">
        <x:v>message.correlation_id</x:v>
      </x:c>
      <x:c r="D5158" s="30" t="str">
        <x:v>候选输入schema</x:v>
      </x:c>
      <x:c r="E5158" s="30" t="str">
        <x:v>按执行角色权限读取；策略只能使用可访问快照</x:v>
      </x:c>
    </x:row>
    <x:row r="5159" ht="32" customHeight="1">
      <x:c r="A5159" s="30" t="str">
        <x:v>A059</x:v>
      </x:c>
      <x:c r="B5159" s="30" t="str">
        <x:v>F292</x:v>
      </x:c>
      <x:c r="C5159" s="30" t="str">
        <x:v>message.local_availability</x:v>
      </x:c>
      <x:c r="D5159" s="30" t="str">
        <x:v>候选输入schema</x:v>
      </x:c>
      <x:c r="E5159" s="30" t="str">
        <x:v>按执行角色权限读取；策略只能使用可访问快照</x:v>
      </x:c>
    </x:row>
    <x:row r="5160" ht="32" customHeight="1">
      <x:c r="A5160" s="30" t="str">
        <x:v>A059</x:v>
      </x:c>
      <x:c r="B5160" s="30" t="str">
        <x:v>F226</x:v>
      </x:c>
      <x:c r="C5160" s="30" t="str">
        <x:v>assignment.decision</x:v>
      </x:c>
      <x:c r="D5160" s="30" t="str">
        <x:v>直接效果</x:v>
      </x:c>
      <x:c r="E5160" s="30" t="str">
        <x:v>经实际执行/回执提交；不是规划时提前修改</x:v>
      </x:c>
    </x:row>
    <x:row r="5161" ht="32" customHeight="1">
      <x:c r="A5161" s="30" t="str">
        <x:v>A059</x:v>
      </x:c>
      <x:c r="B5161" s="30" t="str">
        <x:v>F201</x:v>
      </x:c>
      <x:c r="C5161" s="30" t="str">
        <x:v>task.status</x:v>
      </x:c>
      <x:c r="D5161" s="30" t="str">
        <x:v>直接效果</x:v>
      </x:c>
      <x:c r="E5161" s="30" t="str">
        <x:v>经实际执行/回执提交；不是规划时提前修改</x:v>
      </x:c>
    </x:row>
    <x:row r="5162" ht="32" customHeight="1">
      <x:c r="A5162" s="30" t="str">
        <x:v>A059</x:v>
      </x:c>
      <x:c r="B5162" s="30" t="str">
        <x:v>F216</x:v>
      </x:c>
      <x:c r="C5162" s="30" t="str">
        <x:v>task.result_evidence_ids</x:v>
      </x:c>
      <x:c r="D5162" s="30" t="str">
        <x:v>直接效果</x:v>
      </x:c>
      <x:c r="E5162" s="30" t="str">
        <x:v>经实际执行/回执提交；不是规划时提前修改</x:v>
      </x:c>
    </x:row>
    <x:row r="5163" ht="32" customHeight="1">
      <x:c r="A5163" s="30" t="str">
        <x:v>A060</x:v>
      </x:c>
      <x:c r="B5163" s="30" t="str">
        <x:v>F166</x:v>
      </x:c>
      <x:c r="C5163" s="30" t="str">
        <x:v>observation.observer_id</x:v>
      </x:c>
      <x:c r="D5163" s="30" t="str">
        <x:v>候选输入schema</x:v>
      </x:c>
      <x:c r="E5163" s="30" t="str">
        <x:v>按执行角色权限读取；策略只能使用可访问快照</x:v>
      </x:c>
    </x:row>
    <x:row r="5164" ht="32" customHeight="1">
      <x:c r="A5164" s="30" t="str">
        <x:v>A060</x:v>
      </x:c>
      <x:c r="B5164" s="30" t="str">
        <x:v>F167</x:v>
      </x:c>
      <x:c r="C5164" s="30" t="str">
        <x:v>observation.sensor_id</x:v>
      </x:c>
      <x:c r="D5164" s="30" t="str">
        <x:v>候选输入schema</x:v>
      </x:c>
      <x:c r="E5164" s="30" t="str">
        <x:v>按执行角色权限读取；策略只能使用可访问快照</x:v>
      </x:c>
    </x:row>
    <x:row r="5165" ht="32" customHeight="1">
      <x:c r="A5165" s="30" t="str">
        <x:v>A060</x:v>
      </x:c>
      <x:c r="B5165" s="30" t="str">
        <x:v>F168</x:v>
      </x:c>
      <x:c r="C5165" s="30" t="str">
        <x:v>observation.captured_at_s</x:v>
      </x:c>
      <x:c r="D5165" s="30" t="str">
        <x:v>候选输入schema</x:v>
      </x:c>
      <x:c r="E5165" s="30" t="str">
        <x:v>按执行角色权限读取；策略只能使用可访问快照</x:v>
      </x:c>
    </x:row>
    <x:row r="5166" ht="32" customHeight="1">
      <x:c r="A5166" s="30" t="str">
        <x:v>A060</x:v>
      </x:c>
      <x:c r="B5166" s="30" t="str">
        <x:v>F169</x:v>
      </x:c>
      <x:c r="C5166" s="30" t="str">
        <x:v>observation.pose_estimate</x:v>
      </x:c>
      <x:c r="D5166" s="30" t="str">
        <x:v>候选输入schema</x:v>
      </x:c>
      <x:c r="E5166" s="30" t="str">
        <x:v>按执行角色权限读取；策略只能使用可访问快照</x:v>
      </x:c>
    </x:row>
    <x:row r="5167" ht="32" customHeight="1">
      <x:c r="A5167" s="30" t="str">
        <x:v>A060</x:v>
      </x:c>
      <x:c r="B5167" s="30" t="str">
        <x:v>F170</x:v>
      </x:c>
      <x:c r="C5167" s="30" t="str">
        <x:v>observation.payload_ref</x:v>
      </x:c>
      <x:c r="D5167" s="30" t="str">
        <x:v>候选输入schema</x:v>
      </x:c>
      <x:c r="E5167" s="30" t="str">
        <x:v>按执行角色权限读取；策略只能使用可访问快照</x:v>
      </x:c>
    </x:row>
    <x:row r="5168" ht="32" customHeight="1">
      <x:c r="A5168" s="30" t="str">
        <x:v>A060</x:v>
      </x:c>
      <x:c r="B5168" s="30" t="str">
        <x:v>F171</x:v>
      </x:c>
      <x:c r="C5168" s="30" t="str">
        <x:v>observation.payload_bytes</x:v>
      </x:c>
      <x:c r="D5168" s="30" t="str">
        <x:v>候选输入schema</x:v>
      </x:c>
      <x:c r="E5168" s="30" t="str">
        <x:v>按执行角色权限读取；策略只能使用可访问快照</x:v>
      </x:c>
    </x:row>
    <x:row r="5169" ht="32" customHeight="1">
      <x:c r="A5169" s="30" t="str">
        <x:v>A060</x:v>
      </x:c>
      <x:c r="B5169" s="30" t="str">
        <x:v>F172</x:v>
      </x:c>
      <x:c r="C5169" s="30" t="str">
        <x:v>observation.content_hash</x:v>
      </x:c>
      <x:c r="D5169" s="30" t="str">
        <x:v>候选输入schema</x:v>
      </x:c>
      <x:c r="E5169" s="30" t="str">
        <x:v>按执行角色权限读取；策略只能使用可访问快照</x:v>
      </x:c>
    </x:row>
    <x:row r="5170" ht="32" customHeight="1">
      <x:c r="A5170" s="30" t="str">
        <x:v>A060</x:v>
      </x:c>
      <x:c r="B5170" s="30" t="str">
        <x:v>F173</x:v>
      </x:c>
      <x:c r="C5170" s="30" t="str">
        <x:v>observation.modality</x:v>
      </x:c>
      <x:c r="D5170" s="30" t="str">
        <x:v>候选输入schema</x:v>
      </x:c>
      <x:c r="E5170" s="30" t="str">
        <x:v>按执行角色权限读取；策略只能使用可访问快照</x:v>
      </x:c>
    </x:row>
    <x:row r="5171" ht="32" customHeight="1">
      <x:c r="A5171" s="30" t="str">
        <x:v>A060</x:v>
      </x:c>
      <x:c r="B5171" s="30" t="str">
        <x:v>F174</x:v>
      </x:c>
      <x:c r="C5171" s="30" t="str">
        <x:v>observation.detections</x:v>
      </x:c>
      <x:c r="D5171" s="30" t="str">
        <x:v>候选输入schema</x:v>
      </x:c>
      <x:c r="E5171" s="30" t="str">
        <x:v>按执行角色权限读取；策略只能使用可访问快照</x:v>
      </x:c>
    </x:row>
    <x:row r="5172" ht="32" customHeight="1">
      <x:c r="A5172" s="30" t="str">
        <x:v>A060</x:v>
      </x:c>
      <x:c r="B5172" s="30" t="str">
        <x:v>F175</x:v>
      </x:c>
      <x:c r="C5172" s="30" t="str">
        <x:v>observation.confidence</x:v>
      </x:c>
      <x:c r="D5172" s="30" t="str">
        <x:v>候选输入schema</x:v>
      </x:c>
      <x:c r="E5172" s="30" t="str">
        <x:v>按执行角色权限读取；策略只能使用可访问快照</x:v>
      </x:c>
    </x:row>
    <x:row r="5173" ht="32" customHeight="1">
      <x:c r="A5173" s="30" t="str">
        <x:v>A060</x:v>
      </x:c>
      <x:c r="B5173" s="30" t="str">
        <x:v>F176</x:v>
      </x:c>
      <x:c r="C5173" s="30" t="str">
        <x:v>observation.coverage_estimate</x:v>
      </x:c>
      <x:c r="D5173" s="30" t="str">
        <x:v>候选输入schema</x:v>
      </x:c>
      <x:c r="E5173" s="30" t="str">
        <x:v>按执行角色权限读取；策略只能使用可访问快照</x:v>
      </x:c>
    </x:row>
    <x:row r="5174" ht="32" customHeight="1">
      <x:c r="A5174" s="30" t="str">
        <x:v>A060</x:v>
      </x:c>
      <x:c r="B5174" s="30" t="str">
        <x:v>F177</x:v>
      </x:c>
      <x:c r="C5174" s="30" t="str">
        <x:v>observation.processing_job_id</x:v>
      </x:c>
      <x:c r="D5174" s="30" t="str">
        <x:v>候选输入schema</x:v>
      </x:c>
      <x:c r="E5174" s="30" t="str">
        <x:v>按执行角色权限读取；策略只能使用可访问快照</x:v>
      </x:c>
    </x:row>
    <x:row r="5175" ht="32" customHeight="1">
      <x:c r="A5175" s="30" t="str">
        <x:v>A060</x:v>
      </x:c>
      <x:c r="B5175" s="30" t="str">
        <x:v>F178</x:v>
      </x:c>
      <x:c r="C5175" s="30" t="str">
        <x:v>observation.parent_evidence_ids</x:v>
      </x:c>
      <x:c r="D5175" s="30" t="str">
        <x:v>候选输入schema</x:v>
      </x:c>
      <x:c r="E5175" s="30" t="str">
        <x:v>按执行角色权限读取；策略只能使用可访问快照</x:v>
      </x:c>
    </x:row>
    <x:row r="5176" ht="32" customHeight="1">
      <x:c r="A5176" s="30" t="str">
        <x:v>A060</x:v>
      </x:c>
      <x:c r="B5176" s="30" t="str">
        <x:v>F179</x:v>
      </x:c>
      <x:c r="C5176" s="30" t="str">
        <x:v>observation.valid_until_s</x:v>
      </x:c>
      <x:c r="D5176" s="30" t="str">
        <x:v>候选输入schema</x:v>
      </x:c>
      <x:c r="E5176" s="30" t="str">
        <x:v>按执行角色权限读取；策略只能使用可访问快照</x:v>
      </x:c>
    </x:row>
    <x:row r="5177" ht="32" customHeight="1">
      <x:c r="A5177" s="30" t="str">
        <x:v>A060</x:v>
      </x:c>
      <x:c r="B5177" s="30" t="str">
        <x:v>F180</x:v>
      </x:c>
      <x:c r="C5177" s="30" t="str">
        <x:v>observation.mode</x:v>
      </x:c>
      <x:c r="D5177" s="30" t="str">
        <x:v>候选输入schema</x:v>
      </x:c>
      <x:c r="E5177" s="30" t="str">
        <x:v>按执行角色权限读取；策略只能使用可访问快照</x:v>
      </x:c>
    </x:row>
    <x:row r="5178" ht="32" customHeight="1">
      <x:c r="A5178" s="30" t="str">
        <x:v>A060</x:v>
      </x:c>
      <x:c r="B5178" s="30" t="str">
        <x:v>F196</x:v>
      </x:c>
      <x:c r="C5178" s="30" t="str">
        <x:v>task.type</x:v>
      </x:c>
      <x:c r="D5178" s="30" t="str">
        <x:v>候选输入schema</x:v>
      </x:c>
      <x:c r="E5178" s="30" t="str">
        <x:v>按执行角色权限读取；策略只能使用可访问快照</x:v>
      </x:c>
    </x:row>
    <x:row r="5179" ht="32" customHeight="1">
      <x:c r="A5179" s="30" t="str">
        <x:v>A060</x:v>
      </x:c>
      <x:c r="B5179" s="30" t="str">
        <x:v>F197</x:v>
      </x:c>
      <x:c r="C5179" s="30" t="str">
        <x:v>task.creator_id</x:v>
      </x:c>
      <x:c r="D5179" s="30" t="str">
        <x:v>候选输入schema</x:v>
      </x:c>
      <x:c r="E5179" s="30" t="str">
        <x:v>按执行角色权限读取；策略只能使用可访问快照</x:v>
      </x:c>
    </x:row>
    <x:row r="5180" ht="32" customHeight="1">
      <x:c r="A5180" s="30" t="str">
        <x:v>A060</x:v>
      </x:c>
      <x:c r="B5180" s="30" t="str">
        <x:v>F198</x:v>
      </x:c>
      <x:c r="C5180" s="30" t="str">
        <x:v>task.target_ref</x:v>
      </x:c>
      <x:c r="D5180" s="30" t="str">
        <x:v>候选输入schema</x:v>
      </x:c>
      <x:c r="E5180" s="30" t="str">
        <x:v>按执行角色权限读取；策略只能使用可访问快照</x:v>
      </x:c>
    </x:row>
    <x:row r="5181" ht="32" customHeight="1">
      <x:c r="A5181" s="30" t="str">
        <x:v>A060</x:v>
      </x:c>
      <x:c r="B5181" s="30" t="str">
        <x:v>F199</x:v>
      </x:c>
      <x:c r="C5181" s="30" t="str">
        <x:v>task.goal_predicate</x:v>
      </x:c>
      <x:c r="D5181" s="30" t="str">
        <x:v>候选输入schema</x:v>
      </x:c>
      <x:c r="E5181" s="30" t="str">
        <x:v>按执行角色权限读取；策略只能使用可访问快照</x:v>
      </x:c>
    </x:row>
    <x:row r="5182" ht="32" customHeight="1">
      <x:c r="A5182" s="30" t="str">
        <x:v>A060</x:v>
      </x:c>
      <x:c r="B5182" s="30" t="str">
        <x:v>F200</x:v>
      </x:c>
      <x:c r="C5182" s="30" t="str">
        <x:v>task.revision</x:v>
      </x:c>
      <x:c r="D5182" s="30" t="str">
        <x:v>候选输入schema</x:v>
      </x:c>
      <x:c r="E5182" s="30" t="str">
        <x:v>按执行角色权限读取；策略只能使用可访问快照</x:v>
      </x:c>
    </x:row>
    <x:row r="5183" ht="32" customHeight="1">
      <x:c r="A5183" s="30" t="str">
        <x:v>A060</x:v>
      </x:c>
      <x:c r="B5183" s="30" t="str">
        <x:v>F201</x:v>
      </x:c>
      <x:c r="C5183" s="30" t="str">
        <x:v>task.status</x:v>
      </x:c>
      <x:c r="D5183" s="30" t="str">
        <x:v>候选输入schema</x:v>
      </x:c>
      <x:c r="E5183" s="30" t="str">
        <x:v>按执行角色权限读取；策略只能使用可访问快照</x:v>
      </x:c>
    </x:row>
    <x:row r="5184" ht="32" customHeight="1">
      <x:c r="A5184" s="30" t="str">
        <x:v>A060</x:v>
      </x:c>
      <x:c r="B5184" s="30" t="str">
        <x:v>F202</x:v>
      </x:c>
      <x:c r="C5184" s="30" t="str">
        <x:v>task.priority</x:v>
      </x:c>
      <x:c r="D5184" s="30" t="str">
        <x:v>候选输入schema</x:v>
      </x:c>
      <x:c r="E5184" s="30" t="str">
        <x:v>按执行角色权限读取；策略只能使用可访问快照</x:v>
      </x:c>
    </x:row>
    <x:row r="5185" ht="32" customHeight="1">
      <x:c r="A5185" s="30" t="str">
        <x:v>A060</x:v>
      </x:c>
      <x:c r="B5185" s="30" t="str">
        <x:v>F203</x:v>
      </x:c>
      <x:c r="C5185" s="30" t="str">
        <x:v>task.deadline_s</x:v>
      </x:c>
      <x:c r="D5185" s="30" t="str">
        <x:v>候选输入schema</x:v>
      </x:c>
      <x:c r="E5185" s="30" t="str">
        <x:v>按执行角色权限读取；策略只能使用可访问快照</x:v>
      </x:c>
    </x:row>
    <x:row r="5186" ht="32" customHeight="1">
      <x:c r="A5186" s="30" t="str">
        <x:v>A060</x:v>
      </x:c>
      <x:c r="B5186" s="30" t="str">
        <x:v>F204</x:v>
      </x:c>
      <x:c r="C5186" s="30" t="str">
        <x:v>task.dependency_ids</x:v>
      </x:c>
      <x:c r="D5186" s="30" t="str">
        <x:v>候选输入schema</x:v>
      </x:c>
      <x:c r="E5186" s="30" t="str">
        <x:v>按执行角色权限读取；策略只能使用可访问快照</x:v>
      </x:c>
    </x:row>
    <x:row r="5187" ht="32" customHeight="1">
      <x:c r="A5187" s="30" t="str">
        <x:v>A060</x:v>
      </x:c>
      <x:c r="B5187" s="30" t="str">
        <x:v>F205</x:v>
      </x:c>
      <x:c r="C5187" s="30" t="str">
        <x:v>task.required_capability_ids</x:v>
      </x:c>
      <x:c r="D5187" s="30" t="str">
        <x:v>候选输入schema</x:v>
      </x:c>
      <x:c r="E5187" s="30" t="str">
        <x:v>按执行角色权限读取；策略只能使用可访问快照</x:v>
      </x:c>
    </x:row>
    <x:row r="5188" ht="32" customHeight="1">
      <x:c r="A5188" s="30" t="str">
        <x:v>A060</x:v>
      </x:c>
      <x:c r="B5188" s="30" t="str">
        <x:v>F206</x:v>
      </x:c>
      <x:c r="C5188" s="30" t="str">
        <x:v>task.resource_budget</x:v>
      </x:c>
      <x:c r="D5188" s="30" t="str">
        <x:v>候选输入schema</x:v>
      </x:c>
      <x:c r="E5188" s="30" t="str">
        <x:v>按执行角色权限读取；策略只能使用可访问快照</x:v>
      </x:c>
    </x:row>
    <x:row r="5189" ht="32" customHeight="1">
      <x:c r="A5189" s="30" t="str">
        <x:v>A060</x:v>
      </x:c>
      <x:c r="B5189" s="30" t="str">
        <x:v>F207</x:v>
      </x:c>
      <x:c r="C5189" s="30" t="str">
        <x:v>task.assigned_to</x:v>
      </x:c>
      <x:c r="D5189" s="30" t="str">
        <x:v>候选输入schema</x:v>
      </x:c>
      <x:c r="E5189" s="30" t="str">
        <x:v>按执行角色权限读取；策略只能使用可访问快照</x:v>
      </x:c>
    </x:row>
    <x:row r="5190" ht="32" customHeight="1">
      <x:c r="A5190" s="30" t="str">
        <x:v>A060</x:v>
      </x:c>
      <x:c r="B5190" s="30" t="str">
        <x:v>F208</x:v>
      </x:c>
      <x:c r="C5190" s="30" t="str">
        <x:v>task.accepted_by</x:v>
      </x:c>
      <x:c r="D5190" s="30" t="str">
        <x:v>候选输入schema</x:v>
      </x:c>
      <x:c r="E5190" s="30" t="str">
        <x:v>按执行角色权限读取；策略只能使用可访问快照</x:v>
      </x:c>
    </x:row>
    <x:row r="5191" ht="32" customHeight="1">
      <x:c r="A5191" s="30" t="str">
        <x:v>A060</x:v>
      </x:c>
      <x:c r="B5191" s="30" t="str">
        <x:v>F209</x:v>
      </x:c>
      <x:c r="C5191" s="30" t="str">
        <x:v>task.commitment_window</x:v>
      </x:c>
      <x:c r="D5191" s="30" t="str">
        <x:v>候选输入schema</x:v>
      </x:c>
      <x:c r="E5191" s="30" t="str">
        <x:v>按执行角色权限读取；策略只能使用可访问快照</x:v>
      </x:c>
    </x:row>
    <x:row r="5192" ht="32" customHeight="1">
      <x:c r="A5192" s="30" t="str">
        <x:v>A060</x:v>
      </x:c>
      <x:c r="B5192" s="30" t="str">
        <x:v>F210</x:v>
      </x:c>
      <x:c r="C5192" s="30" t="str">
        <x:v>task.progress</x:v>
      </x:c>
      <x:c r="D5192" s="30" t="str">
        <x:v>候选输入schema</x:v>
      </x:c>
      <x:c r="E5192" s="30" t="str">
        <x:v>按执行角色权限读取；策略只能使用可访问快照</x:v>
      </x:c>
    </x:row>
    <x:row r="5193" ht="32" customHeight="1">
      <x:c r="A5193" s="30" t="str">
        <x:v>A060</x:v>
      </x:c>
      <x:c r="B5193" s="30" t="str">
        <x:v>F211</x:v>
      </x:c>
      <x:c r="C5193" s="30" t="str">
        <x:v>task.active_action_ids</x:v>
      </x:c>
      <x:c r="D5193" s="30" t="str">
        <x:v>候选输入schema</x:v>
      </x:c>
      <x:c r="E5193" s="30" t="str">
        <x:v>按执行角色权限读取；策略只能使用可访问快照</x:v>
      </x:c>
    </x:row>
    <x:row r="5194" ht="32" customHeight="1">
      <x:c r="A5194" s="30" t="str">
        <x:v>A060</x:v>
      </x:c>
      <x:c r="B5194" s="30" t="str">
        <x:v>F212</x:v>
      </x:c>
      <x:c r="C5194" s="30" t="str">
        <x:v>task.interruptibility</x:v>
      </x:c>
      <x:c r="D5194" s="30" t="str">
        <x:v>候选输入schema</x:v>
      </x:c>
      <x:c r="E5194" s="30" t="str">
        <x:v>按执行角色权限读取；策略只能使用可访问快照</x:v>
      </x:c>
    </x:row>
    <x:row r="5195" ht="32" customHeight="1">
      <x:c r="A5195" s="30" t="str">
        <x:v>A060</x:v>
      </x:c>
      <x:c r="B5195" s="30" t="str">
        <x:v>F213</x:v>
      </x:c>
      <x:c r="C5195" s="30" t="str">
        <x:v>task.original_task_id</x:v>
      </x:c>
      <x:c r="D5195" s="30" t="str">
        <x:v>候选输入schema</x:v>
      </x:c>
      <x:c r="E5195" s="30" t="str">
        <x:v>按执行角色权限读取；策略只能使用可访问快照</x:v>
      </x:c>
    </x:row>
    <x:row r="5196" ht="32" customHeight="1">
      <x:c r="A5196" s="30" t="str">
        <x:v>A060</x:v>
      </x:c>
      <x:c r="B5196" s="30" t="str">
        <x:v>F214</x:v>
      </x:c>
      <x:c r="C5196" s="30" t="str">
        <x:v>task.resume_checkpoint</x:v>
      </x:c>
      <x:c r="D5196" s="30" t="str">
        <x:v>候选输入schema</x:v>
      </x:c>
      <x:c r="E5196" s="30" t="str">
        <x:v>按执行角色权限读取；策略只能使用可访问快照</x:v>
      </x:c>
    </x:row>
    <x:row r="5197" ht="32" customHeight="1">
      <x:c r="A5197" s="30" t="str">
        <x:v>A060</x:v>
      </x:c>
      <x:c r="B5197" s="30" t="str">
        <x:v>F215</x:v>
      </x:c>
      <x:c r="C5197" s="30" t="str">
        <x:v>task.handoff_target_id</x:v>
      </x:c>
      <x:c r="D5197" s="30" t="str">
        <x:v>候选输入schema</x:v>
      </x:c>
      <x:c r="E5197" s="30" t="str">
        <x:v>按执行角色权限读取；策略只能使用可访问快照</x:v>
      </x:c>
    </x:row>
    <x:row r="5198" ht="32" customHeight="1">
      <x:c r="A5198" s="30" t="str">
        <x:v>A060</x:v>
      </x:c>
      <x:c r="B5198" s="30" t="str">
        <x:v>F216</x:v>
      </x:c>
      <x:c r="C5198" s="30" t="str">
        <x:v>task.result_evidence_ids</x:v>
      </x:c>
      <x:c r="D5198" s="30" t="str">
        <x:v>候选输入schema</x:v>
      </x:c>
      <x:c r="E5198" s="30" t="str">
        <x:v>按执行角色权限读取；策略只能使用可访问快照</x:v>
      </x:c>
    </x:row>
    <x:row r="5199" ht="32" customHeight="1">
      <x:c r="A5199" s="30" t="str">
        <x:v>A060</x:v>
      </x:c>
      <x:c r="B5199" s="30" t="str">
        <x:v>F217</x:v>
      </x:c>
      <x:c r="C5199" s="30" t="str">
        <x:v>task.failure_reason</x:v>
      </x:c>
      <x:c r="D5199" s="30" t="str">
        <x:v>候选输入schema</x:v>
      </x:c>
      <x:c r="E5199" s="30" t="str">
        <x:v>按执行角色权限读取；策略只能使用可访问快照</x:v>
      </x:c>
    </x:row>
    <x:row r="5200" ht="32" customHeight="1">
      <x:c r="A5200" s="30" t="str">
        <x:v>A060</x:v>
      </x:c>
      <x:c r="B5200" s="30" t="str">
        <x:v>F218</x:v>
      </x:c>
      <x:c r="C5200" s="30" t="str">
        <x:v>task.last_event_s</x:v>
      </x:c>
      <x:c r="D5200" s="30" t="str">
        <x:v>候选输入schema</x:v>
      </x:c>
      <x:c r="E5200" s="30" t="str">
        <x:v>按执行角色权限读取；策略只能使用可访问快照</x:v>
      </x:c>
    </x:row>
    <x:row r="5201" ht="32" customHeight="1">
      <x:c r="A5201" s="30" t="str">
        <x:v>A060</x:v>
      </x:c>
      <x:c r="B5201" s="30" t="str">
        <x:v>F219</x:v>
      </x:c>
      <x:c r="C5201" s="30" t="str">
        <x:v>task.opportunity_cost</x:v>
      </x:c>
      <x:c r="D5201" s="30" t="str">
        <x:v>候选输入schema</x:v>
      </x:c>
      <x:c r="E5201" s="30" t="str">
        <x:v>按执行角色权限读取；策略只能使用可访问快照</x:v>
      </x:c>
    </x:row>
    <x:row r="5202" ht="32" customHeight="1">
      <x:c r="A5202" s="30" t="str">
        <x:v>A060</x:v>
      </x:c>
      <x:c r="B5202" s="30" t="str">
        <x:v>F230</x:v>
      </x:c>
      <x:c r="C5202" s="30" t="str">
        <x:v>action.type</x:v>
      </x:c>
      <x:c r="D5202" s="30" t="str">
        <x:v>候选输入schema</x:v>
      </x:c>
      <x:c r="E5202" s="30" t="str">
        <x:v>按执行角色权限读取；策略只能使用可访问快照</x:v>
      </x:c>
    </x:row>
    <x:row r="5203" ht="32" customHeight="1">
      <x:c r="A5203" s="30" t="str">
        <x:v>A060</x:v>
      </x:c>
      <x:c r="B5203" s="30" t="str">
        <x:v>F231</x:v>
      </x:c>
      <x:c r="C5203" s="30" t="str">
        <x:v>action.executor_id</x:v>
      </x:c>
      <x:c r="D5203" s="30" t="str">
        <x:v>候选输入schema</x:v>
      </x:c>
      <x:c r="E5203" s="30" t="str">
        <x:v>按执行角色权限读取；策略只能使用可访问快照</x:v>
      </x:c>
    </x:row>
    <x:row r="5204" ht="32" customHeight="1">
      <x:c r="A5204" s="30" t="str">
        <x:v>A060</x:v>
      </x:c>
      <x:c r="B5204" s="30" t="str">
        <x:v>F232</x:v>
      </x:c>
      <x:c r="C5204" s="30" t="str">
        <x:v>action.task_ref</x:v>
      </x:c>
      <x:c r="D5204" s="30" t="str">
        <x:v>候选输入schema</x:v>
      </x:c>
      <x:c r="E5204" s="30" t="str">
        <x:v>按执行角色权限读取；策略只能使用可访问快照</x:v>
      </x:c>
    </x:row>
    <x:row r="5205" ht="32" customHeight="1">
      <x:c r="A5205" s="30" t="str">
        <x:v>A060</x:v>
      </x:c>
      <x:c r="B5205" s="30" t="str">
        <x:v>F233</x:v>
      </x:c>
      <x:c r="C5205" s="30" t="str">
        <x:v>action.target_ref</x:v>
      </x:c>
      <x:c r="D5205" s="30" t="str">
        <x:v>候选输入schema</x:v>
      </x:c>
      <x:c r="E5205" s="30" t="str">
        <x:v>按执行角色权限读取；策略只能使用可访问快照</x:v>
      </x:c>
    </x:row>
    <x:row r="5206" ht="32" customHeight="1">
      <x:c r="A5206" s="30" t="str">
        <x:v>A060</x:v>
      </x:c>
      <x:c r="B5206" s="30" t="str">
        <x:v>F234</x:v>
      </x:c>
      <x:c r="C5206" s="30" t="str">
        <x:v>action.parameters</x:v>
      </x:c>
      <x:c r="D5206" s="30" t="str">
        <x:v>候选输入schema</x:v>
      </x:c>
      <x:c r="E5206" s="30" t="str">
        <x:v>按执行角色权限读取；策略只能使用可访问快照</x:v>
      </x:c>
    </x:row>
    <x:row r="5207" ht="32" customHeight="1">
      <x:c r="A5207" s="30" t="str">
        <x:v>A060</x:v>
      </x:c>
      <x:c r="B5207" s="30" t="str">
        <x:v>F235</x:v>
      </x:c>
      <x:c r="C5207" s="30" t="str">
        <x:v>action.status</x:v>
      </x:c>
      <x:c r="D5207" s="30" t="str">
        <x:v>候选输入schema</x:v>
      </x:c>
      <x:c r="E5207" s="30" t="str">
        <x:v>按执行角色权限读取；策略只能使用可访问快照</x:v>
      </x:c>
    </x:row>
    <x:row r="5208" ht="32" customHeight="1">
      <x:c r="A5208" s="30" t="str">
        <x:v>A060</x:v>
      </x:c>
      <x:c r="B5208" s="30" t="str">
        <x:v>F236</x:v>
      </x:c>
      <x:c r="C5208" s="30" t="str">
        <x:v>action.start_s</x:v>
      </x:c>
      <x:c r="D5208" s="30" t="str">
        <x:v>候选输入schema</x:v>
      </x:c>
      <x:c r="E5208" s="30" t="str">
        <x:v>按执行角色权限读取；策略只能使用可访问快照</x:v>
      </x:c>
    </x:row>
    <x:row r="5209" ht="32" customHeight="1">
      <x:c r="A5209" s="30" t="str">
        <x:v>A060</x:v>
      </x:c>
      <x:c r="B5209" s="30" t="str">
        <x:v>F237</x:v>
      </x:c>
      <x:c r="C5209" s="30" t="str">
        <x:v>action.finish_s</x:v>
      </x:c>
      <x:c r="D5209" s="30" t="str">
        <x:v>候选输入schema</x:v>
      </x:c>
      <x:c r="E5209" s="30" t="str">
        <x:v>按执行角色权限读取；策略只能使用可访问快照</x:v>
      </x:c>
    </x:row>
    <x:row r="5210" ht="32" customHeight="1">
      <x:c r="A5210" s="30" t="str">
        <x:v>A060</x:v>
      </x:c>
      <x:c r="B5210" s="30" t="str">
        <x:v>F238</x:v>
      </x:c>
      <x:c r="C5210" s="30" t="str">
        <x:v>action.reserved_resources</x:v>
      </x:c>
      <x:c r="D5210" s="30" t="str">
        <x:v>候选输入schema</x:v>
      </x:c>
      <x:c r="E5210" s="30" t="str">
        <x:v>按执行角色权限读取；策略只能使用可访问快照</x:v>
      </x:c>
    </x:row>
    <x:row r="5211" ht="32" customHeight="1">
      <x:c r="A5211" s="30" t="str">
        <x:v>A060</x:v>
      </x:c>
      <x:c r="B5211" s="30" t="str">
        <x:v>F239</x:v>
      </x:c>
      <x:c r="C5211" s="30" t="str">
        <x:v>action.consumed_resources</x:v>
      </x:c>
      <x:c r="D5211" s="30" t="str">
        <x:v>候选输入schema</x:v>
      </x:c>
      <x:c r="E5211" s="30" t="str">
        <x:v>按执行角色权限读取；策略只能使用可访问快照</x:v>
      </x:c>
    </x:row>
    <x:row r="5212" ht="32" customHeight="1">
      <x:c r="A5212" s="30" t="str">
        <x:v>A060</x:v>
      </x:c>
      <x:c r="B5212" s="30" t="str">
        <x:v>F240</x:v>
      </x:c>
      <x:c r="C5212" s="30" t="str">
        <x:v>action.feedback</x:v>
      </x:c>
      <x:c r="D5212" s="30" t="str">
        <x:v>候选输入schema</x:v>
      </x:c>
      <x:c r="E5212" s="30" t="str">
        <x:v>按执行角色权限读取；策略只能使用可访问快照</x:v>
      </x:c>
    </x:row>
    <x:row r="5213" ht="32" customHeight="1">
      <x:c r="A5213" s="30" t="str">
        <x:v>A060</x:v>
      </x:c>
      <x:c r="B5213" s="30" t="str">
        <x:v>F241</x:v>
      </x:c>
      <x:c r="C5213" s="30" t="str">
        <x:v>action.result</x:v>
      </x:c>
      <x:c r="D5213" s="30" t="str">
        <x:v>候选输入schema</x:v>
      </x:c>
      <x:c r="E5213" s="30" t="str">
        <x:v>按执行角色权限读取；策略只能使用可访问快照</x:v>
      </x:c>
    </x:row>
    <x:row r="5214" ht="32" customHeight="1">
      <x:c r="A5214" s="30" t="str">
        <x:v>A060</x:v>
      </x:c>
      <x:c r="B5214" s="30" t="str">
        <x:v>F242</x:v>
      </x:c>
      <x:c r="C5214" s="30" t="str">
        <x:v>action.rejection_code</x:v>
      </x:c>
      <x:c r="D5214" s="30" t="str">
        <x:v>候选输入schema</x:v>
      </x:c>
      <x:c r="E5214" s="30" t="str">
        <x:v>按执行角色权限读取；策略只能使用可访问快照</x:v>
      </x:c>
    </x:row>
    <x:row r="5215" ht="32" customHeight="1">
      <x:c r="A5215" s="30" t="str">
        <x:v>A060</x:v>
      </x:c>
      <x:c r="B5215" s="30" t="str">
        <x:v>F243</x:v>
      </x:c>
      <x:c r="C5215" s="30" t="str">
        <x:v>action.failure_code</x:v>
      </x:c>
      <x:c r="D5215" s="30" t="str">
        <x:v>候选输入schema</x:v>
      </x:c>
      <x:c r="E5215" s="30" t="str">
        <x:v>按执行角色权限读取；策略只能使用可访问快照</x:v>
      </x:c>
    </x:row>
    <x:row r="5216" ht="32" customHeight="1">
      <x:c r="A5216" s="30" t="str">
        <x:v>A060</x:v>
      </x:c>
      <x:c r="B5216" s="30" t="str">
        <x:v>F244</x:v>
      </x:c>
      <x:c r="C5216" s="30" t="str">
        <x:v>action.cancel_requested</x:v>
      </x:c>
      <x:c r="D5216" s="30" t="str">
        <x:v>候选输入schema</x:v>
      </x:c>
      <x:c r="E5216" s="30" t="str">
        <x:v>按执行角色权限读取；策略只能使用可访问快照</x:v>
      </x:c>
    </x:row>
    <x:row r="5217" ht="32" customHeight="1">
      <x:c r="A5217" s="30" t="str">
        <x:v>A060</x:v>
      </x:c>
      <x:c r="B5217" s="30" t="str">
        <x:v>F245</x:v>
      </x:c>
      <x:c r="C5217" s="30" t="str">
        <x:v>action.backend_mode</x:v>
      </x:c>
      <x:c r="D5217" s="30" t="str">
        <x:v>候选输入schema</x:v>
      </x:c>
      <x:c r="E5217" s="30" t="str">
        <x:v>按执行角色权限读取；策略只能使用可访问快照</x:v>
      </x:c>
    </x:row>
    <x:row r="5218" ht="32" customHeight="1">
      <x:c r="A5218" s="30" t="str">
        <x:v>A060</x:v>
      </x:c>
      <x:c r="B5218" s="30" t="str">
        <x:v>F275</x:v>
      </x:c>
      <x:c r="C5218" s="30" t="str">
        <x:v>message.kind</x:v>
      </x:c>
      <x:c r="D5218" s="30" t="str">
        <x:v>候选输入schema</x:v>
      </x:c>
      <x:c r="E5218" s="30" t="str">
        <x:v>按执行角色权限读取；策略只能使用可访问快照</x:v>
      </x:c>
    </x:row>
    <x:row r="5219" ht="32" customHeight="1">
      <x:c r="A5219" s="30" t="str">
        <x:v>A060</x:v>
      </x:c>
      <x:c r="B5219" s="30" t="str">
        <x:v>F276</x:v>
      </x:c>
      <x:c r="C5219" s="30" t="str">
        <x:v>message.sender_id</x:v>
      </x:c>
      <x:c r="D5219" s="30" t="str">
        <x:v>候选输入schema</x:v>
      </x:c>
      <x:c r="E5219" s="30" t="str">
        <x:v>按执行角色权限读取；策略只能使用可访问快照</x:v>
      </x:c>
    </x:row>
    <x:row r="5220" ht="32" customHeight="1">
      <x:c r="A5220" s="30" t="str">
        <x:v>A060</x:v>
      </x:c>
      <x:c r="B5220" s="30" t="str">
        <x:v>F277</x:v>
      </x:c>
      <x:c r="C5220" s="30" t="str">
        <x:v>message.receiver_ids</x:v>
      </x:c>
      <x:c r="D5220" s="30" t="str">
        <x:v>候选输入schema</x:v>
      </x:c>
      <x:c r="E5220" s="30" t="str">
        <x:v>按执行角色权限读取；策略只能使用可访问快照</x:v>
      </x:c>
    </x:row>
    <x:row r="5221" ht="32" customHeight="1">
      <x:c r="A5221" s="30" t="str">
        <x:v>A060</x:v>
      </x:c>
      <x:c r="B5221" s="30" t="str">
        <x:v>F278</x:v>
      </x:c>
      <x:c r="C5221" s="30" t="str">
        <x:v>message.payload_ref</x:v>
      </x:c>
      <x:c r="D5221" s="30" t="str">
        <x:v>候选输入schema</x:v>
      </x:c>
      <x:c r="E5221" s="30" t="str">
        <x:v>按执行角色权限读取；策略只能使用可访问快照</x:v>
      </x:c>
    </x:row>
    <x:row r="5222" ht="32" customHeight="1">
      <x:c r="A5222" s="30" t="str">
        <x:v>A060</x:v>
      </x:c>
      <x:c r="B5222" s="30" t="str">
        <x:v>F279</x:v>
      </x:c>
      <x:c r="C5222" s="30" t="str">
        <x:v>message.size_bytes</x:v>
      </x:c>
      <x:c r="D5222" s="30" t="str">
        <x:v>候选输入schema</x:v>
      </x:c>
      <x:c r="E5222" s="30" t="str">
        <x:v>按执行角色权限读取；策略只能使用可访问快照</x:v>
      </x:c>
    </x:row>
    <x:row r="5223" ht="32" customHeight="1">
      <x:c r="A5223" s="30" t="str">
        <x:v>A060</x:v>
      </x:c>
      <x:c r="B5223" s="30" t="str">
        <x:v>F280</x:v>
      </x:c>
      <x:c r="C5223" s="30" t="str">
        <x:v>message.fragment_count</x:v>
      </x:c>
      <x:c r="D5223" s="30" t="str">
        <x:v>候选输入schema</x:v>
      </x:c>
      <x:c r="E5223" s="30" t="str">
        <x:v>按执行角色权限读取；策略只能使用可访问快照</x:v>
      </x:c>
    </x:row>
    <x:row r="5224" ht="32" customHeight="1">
      <x:c r="A5224" s="30" t="str">
        <x:v>A060</x:v>
      </x:c>
      <x:c r="B5224" s="30" t="str">
        <x:v>F281</x:v>
      </x:c>
      <x:c r="C5224" s="30" t="str">
        <x:v>message.received_fragments</x:v>
      </x:c>
      <x:c r="D5224" s="30" t="str">
        <x:v>候选输入schema</x:v>
      </x:c>
      <x:c r="E5224" s="30" t="str">
        <x:v>按执行角色权限读取；策略只能使用可访问快照</x:v>
      </x:c>
    </x:row>
    <x:row r="5225" ht="32" customHeight="1">
      <x:c r="A5225" s="30" t="str">
        <x:v>A060</x:v>
      </x:c>
      <x:c r="B5225" s="30" t="str">
        <x:v>F282</x:v>
      </x:c>
      <x:c r="C5225" s="30" t="str">
        <x:v>message.content_hash</x:v>
      </x:c>
      <x:c r="D5225" s="30" t="str">
        <x:v>候选输入schema</x:v>
      </x:c>
      <x:c r="E5225" s="30" t="str">
        <x:v>按执行角色权限读取；策略只能使用可访问快照</x:v>
      </x:c>
    </x:row>
    <x:row r="5226" ht="32" customHeight="1">
      <x:c r="A5226" s="30" t="str">
        <x:v>A060</x:v>
      </x:c>
      <x:c r="B5226" s="30" t="str">
        <x:v>F283</x:v>
      </x:c>
      <x:c r="C5226" s="30" t="str">
        <x:v>message.priority</x:v>
      </x:c>
      <x:c r="D5226" s="30" t="str">
        <x:v>候选输入schema</x:v>
      </x:c>
      <x:c r="E5226" s="30" t="str">
        <x:v>按执行角色权限读取；策略只能使用可访问快照</x:v>
      </x:c>
    </x:row>
    <x:row r="5227" ht="32" customHeight="1">
      <x:c r="A5227" s="30" t="str">
        <x:v>A060</x:v>
      </x:c>
      <x:c r="B5227" s="30" t="str">
        <x:v>F284</x:v>
      </x:c>
      <x:c r="C5227" s="30" t="str">
        <x:v>message.ttl_s</x:v>
      </x:c>
      <x:c r="D5227" s="30" t="str">
        <x:v>候选输入schema</x:v>
      </x:c>
      <x:c r="E5227" s="30" t="str">
        <x:v>按执行角色权限读取；策略只能使用可访问快照</x:v>
      </x:c>
    </x:row>
    <x:row r="5228" ht="32" customHeight="1">
      <x:c r="A5228" s="30" t="str">
        <x:v>A060</x:v>
      </x:c>
      <x:c r="B5228" s="30" t="str">
        <x:v>F285</x:v>
      </x:c>
      <x:c r="C5228" s="30" t="str">
        <x:v>message.status</x:v>
      </x:c>
      <x:c r="D5228" s="30" t="str">
        <x:v>候选输入schema</x:v>
      </x:c>
      <x:c r="E5228" s="30" t="str">
        <x:v>按执行角色权限读取；策略只能使用可访问快照</x:v>
      </x:c>
    </x:row>
    <x:row r="5229" ht="32" customHeight="1">
      <x:c r="A5229" s="30" t="str">
        <x:v>A060</x:v>
      </x:c>
      <x:c r="B5229" s="30" t="str">
        <x:v>F286</x:v>
      </x:c>
      <x:c r="C5229" s="30" t="str">
        <x:v>message.sent_s</x:v>
      </x:c>
      <x:c r="D5229" s="30" t="str">
        <x:v>候选输入schema</x:v>
      </x:c>
      <x:c r="E5229" s="30" t="str">
        <x:v>按执行角色权限读取；策略只能使用可访问快照</x:v>
      </x:c>
    </x:row>
    <x:row r="5230" ht="32" customHeight="1">
      <x:c r="A5230" s="30" t="str">
        <x:v>A060</x:v>
      </x:c>
      <x:c r="B5230" s="30" t="str">
        <x:v>F287</x:v>
      </x:c>
      <x:c r="C5230" s="30" t="str">
        <x:v>message.delivered_s</x:v>
      </x:c>
      <x:c r="D5230" s="30" t="str">
        <x:v>候选输入schema</x:v>
      </x:c>
      <x:c r="E5230" s="30" t="str">
        <x:v>按执行角色权限读取；策略只能使用可访问快照</x:v>
      </x:c>
    </x:row>
    <x:row r="5231" ht="32" customHeight="1">
      <x:c r="A5231" s="30" t="str">
        <x:v>A060</x:v>
      </x:c>
      <x:c r="B5231" s="30" t="str">
        <x:v>F288</x:v>
      </x:c>
      <x:c r="C5231" s="30" t="str">
        <x:v>message.ack_state</x:v>
      </x:c>
      <x:c r="D5231" s="30" t="str">
        <x:v>候选输入schema</x:v>
      </x:c>
      <x:c r="E5231" s="30" t="str">
        <x:v>按执行角色权限读取；策略只能使用可访问快照</x:v>
      </x:c>
    </x:row>
    <x:row r="5232" ht="32" customHeight="1">
      <x:c r="A5232" s="30" t="str">
        <x:v>A060</x:v>
      </x:c>
      <x:c r="B5232" s="30" t="str">
        <x:v>F289</x:v>
      </x:c>
      <x:c r="C5232" s="30" t="str">
        <x:v>message.retry_count</x:v>
      </x:c>
      <x:c r="D5232" s="30" t="str">
        <x:v>候选输入schema</x:v>
      </x:c>
      <x:c r="E5232" s="30" t="str">
        <x:v>按执行角色权限读取；策略只能使用可访问快照</x:v>
      </x:c>
    </x:row>
    <x:row r="5233" ht="32" customHeight="1">
      <x:c r="A5233" s="30" t="str">
        <x:v>A060</x:v>
      </x:c>
      <x:c r="B5233" s="30" t="str">
        <x:v>F290</x:v>
      </x:c>
      <x:c r="C5233" s="30" t="str">
        <x:v>message.hop_trace</x:v>
      </x:c>
      <x:c r="D5233" s="30" t="str">
        <x:v>候选输入schema</x:v>
      </x:c>
      <x:c r="E5233" s="30" t="str">
        <x:v>按执行角色权限读取；策略只能使用可访问快照</x:v>
      </x:c>
    </x:row>
    <x:row r="5234" ht="32" customHeight="1">
      <x:c r="A5234" s="30" t="str">
        <x:v>A060</x:v>
      </x:c>
      <x:c r="B5234" s="30" t="str">
        <x:v>F291</x:v>
      </x:c>
      <x:c r="C5234" s="30" t="str">
        <x:v>message.correlation_id</x:v>
      </x:c>
      <x:c r="D5234" s="30" t="str">
        <x:v>候选输入schema</x:v>
      </x:c>
      <x:c r="E5234" s="30" t="str">
        <x:v>按执行角色权限读取；策略只能使用可访问快照</x:v>
      </x:c>
    </x:row>
    <x:row r="5235" ht="32" customHeight="1">
      <x:c r="A5235" s="30" t="str">
        <x:v>A060</x:v>
      </x:c>
      <x:c r="B5235" s="30" t="str">
        <x:v>F292</x:v>
      </x:c>
      <x:c r="C5235" s="30" t="str">
        <x:v>message.local_availability</x:v>
      </x:c>
      <x:c r="D5235" s="30" t="str">
        <x:v>候选输入schema</x:v>
      </x:c>
      <x:c r="E5235" s="30" t="str">
        <x:v>按执行角色权限读取；策略只能使用可访问快照</x:v>
      </x:c>
    </x:row>
    <x:row r="5236" ht="32" customHeight="1">
      <x:c r="A5236" s="30" t="str">
        <x:v>A060</x:v>
      </x:c>
      <x:c r="B5236" s="30" t="str">
        <x:v>F329</x:v>
      </x:c>
      <x:c r="C5236" s="30" t="str">
        <x:v>job.requester_id</x:v>
      </x:c>
      <x:c r="D5236" s="30" t="str">
        <x:v>候选输入schema</x:v>
      </x:c>
      <x:c r="E5236" s="30" t="str">
        <x:v>按执行角色权限读取；策略只能使用可访问快照</x:v>
      </x:c>
    </x:row>
    <x:row r="5237" ht="32" customHeight="1">
      <x:c r="A5237" s="30" t="str">
        <x:v>A060</x:v>
      </x:c>
      <x:c r="B5237" s="30" t="str">
        <x:v>F330</x:v>
      </x:c>
      <x:c r="C5237" s="30" t="str">
        <x:v>job.task_ref</x:v>
      </x:c>
      <x:c r="D5237" s="30" t="str">
        <x:v>候选输入schema</x:v>
      </x:c>
      <x:c r="E5237" s="30" t="str">
        <x:v>按执行角色权限读取；策略只能使用可访问快照</x:v>
      </x:c>
    </x:row>
    <x:row r="5238" ht="32" customHeight="1">
      <x:c r="A5238" s="30" t="str">
        <x:v>A060</x:v>
      </x:c>
      <x:c r="B5238" s="30" t="str">
        <x:v>F331</x:v>
      </x:c>
      <x:c r="C5238" s="30" t="str">
        <x:v>job.service_id</x:v>
      </x:c>
      <x:c r="D5238" s="30" t="str">
        <x:v>候选输入schema</x:v>
      </x:c>
      <x:c r="E5238" s="30" t="str">
        <x:v>按执行角色权限读取；策略只能使用可访问快照</x:v>
      </x:c>
    </x:row>
    <x:row r="5239" ht="32" customHeight="1">
      <x:c r="A5239" s="30" t="str">
        <x:v>A060</x:v>
      </x:c>
      <x:c r="B5239" s="30" t="str">
        <x:v>F332</x:v>
      </x:c>
      <x:c r="C5239" s="30" t="str">
        <x:v>job.input_evidence_ids</x:v>
      </x:c>
      <x:c r="D5239" s="30" t="str">
        <x:v>候选输入schema</x:v>
      </x:c>
      <x:c r="E5239" s="30" t="str">
        <x:v>按执行角色权限读取；策略只能使用可访问快照</x:v>
      </x:c>
    </x:row>
    <x:row r="5240" ht="32" customHeight="1">
      <x:c r="A5240" s="30" t="str">
        <x:v>A060</x:v>
      </x:c>
      <x:c r="B5240" s="30" t="str">
        <x:v>F333</x:v>
      </x:c>
      <x:c r="C5240" s="30" t="str">
        <x:v>job.input_bytes</x:v>
      </x:c>
      <x:c r="D5240" s="30" t="str">
        <x:v>候选输入schema</x:v>
      </x:c>
      <x:c r="E5240" s="30" t="str">
        <x:v>按执行角色权限读取；策略只能使用可访问快照</x:v>
      </x:c>
    </x:row>
    <x:row r="5241" ht="32" customHeight="1">
      <x:c r="A5241" s="30" t="str">
        <x:v>A060</x:v>
      </x:c>
      <x:c r="B5241" s="30" t="str">
        <x:v>F334</x:v>
      </x:c>
      <x:c r="C5241" s="30" t="str">
        <x:v>job.input_tokens</x:v>
      </x:c>
      <x:c r="D5241" s="30" t="str">
        <x:v>候选输入schema</x:v>
      </x:c>
      <x:c r="E5241" s="30" t="str">
        <x:v>按执行角色权限读取；策略只能使用可访问快照</x:v>
      </x:c>
    </x:row>
    <x:row r="5242" ht="32" customHeight="1">
      <x:c r="A5242" s="30" t="str">
        <x:v>A060</x:v>
      </x:c>
      <x:c r="B5242" s="30" t="str">
        <x:v>F335</x:v>
      </x:c>
      <x:c r="C5242" s="30" t="str">
        <x:v>job.output_tokens</x:v>
      </x:c>
      <x:c r="D5242" s="30" t="str">
        <x:v>候选输入schema</x:v>
      </x:c>
      <x:c r="E5242" s="30" t="str">
        <x:v>按执行角色权限读取；策略只能使用可访问快照</x:v>
      </x:c>
    </x:row>
    <x:row r="5243" ht="32" customHeight="1">
      <x:c r="A5243" s="30" t="str">
        <x:v>A060</x:v>
      </x:c>
      <x:c r="B5243" s="30" t="str">
        <x:v>F336</x:v>
      </x:c>
      <x:c r="C5243" s="30" t="str">
        <x:v>job.status</x:v>
      </x:c>
      <x:c r="D5243" s="30" t="str">
        <x:v>候选输入schema</x:v>
      </x:c>
      <x:c r="E5243" s="30" t="str">
        <x:v>按执行角色权限读取；策略只能使用可访问快照</x:v>
      </x:c>
    </x:row>
    <x:row r="5244" ht="32" customHeight="1">
      <x:c r="A5244" s="30" t="str">
        <x:v>A060</x:v>
      </x:c>
      <x:c r="B5244" s="30" t="str">
        <x:v>F337</x:v>
      </x:c>
      <x:c r="C5244" s="30" t="str">
        <x:v>job.queue_enter_s</x:v>
      </x:c>
      <x:c r="D5244" s="30" t="str">
        <x:v>候选输入schema</x:v>
      </x:c>
      <x:c r="E5244" s="30" t="str">
        <x:v>按执行角色权限读取；策略只能使用可访问快照</x:v>
      </x:c>
    </x:row>
    <x:row r="5245" ht="32" customHeight="1">
      <x:c r="A5245" s="30" t="str">
        <x:v>A060</x:v>
      </x:c>
      <x:c r="B5245" s="30" t="str">
        <x:v>F338</x:v>
      </x:c>
      <x:c r="C5245" s="30" t="str">
        <x:v>job.start_s</x:v>
      </x:c>
      <x:c r="D5245" s="30" t="str">
        <x:v>候选输入schema</x:v>
      </x:c>
      <x:c r="E5245" s="30" t="str">
        <x:v>按执行角色权限读取；策略只能使用可访问快照</x:v>
      </x:c>
    </x:row>
    <x:row r="5246" ht="32" customHeight="1">
      <x:c r="A5246" s="30" t="str">
        <x:v>A060</x:v>
      </x:c>
      <x:c r="B5246" s="30" t="str">
        <x:v>F339</x:v>
      </x:c>
      <x:c r="C5246" s="30" t="str">
        <x:v>job.finish_s</x:v>
      </x:c>
      <x:c r="D5246" s="30" t="str">
        <x:v>候选输入schema</x:v>
      </x:c>
      <x:c r="E5246" s="30" t="str">
        <x:v>按执行角色权限读取；策略只能使用可访问快照</x:v>
      </x:c>
    </x:row>
    <x:row r="5247" ht="32" customHeight="1">
      <x:c r="A5247" s="30" t="str">
        <x:v>A060</x:v>
      </x:c>
      <x:c r="B5247" s="30" t="str">
        <x:v>F340</x:v>
      </x:c>
      <x:c r="C5247" s="30" t="str">
        <x:v>job.deadline_s</x:v>
      </x:c>
      <x:c r="D5247" s="30" t="str">
        <x:v>候选输入schema</x:v>
      </x:c>
      <x:c r="E5247" s="30" t="str">
        <x:v>按执行角色权限读取；策略只能使用可访问快照</x:v>
      </x:c>
    </x:row>
    <x:row r="5248" ht="32" customHeight="1">
      <x:c r="A5248" s="30" t="str">
        <x:v>A060</x:v>
      </x:c>
      <x:c r="B5248" s="30" t="str">
        <x:v>F341</x:v>
      </x:c>
      <x:c r="C5248" s="30" t="str">
        <x:v>job.cpu_request</x:v>
      </x:c>
      <x:c r="D5248" s="30" t="str">
        <x:v>候选输入schema</x:v>
      </x:c>
      <x:c r="E5248" s="30" t="str">
        <x:v>按执行角色权限读取；策略只能使用可访问快照</x:v>
      </x:c>
    </x:row>
    <x:row r="5249" ht="32" customHeight="1">
      <x:c r="A5249" s="30" t="str">
        <x:v>A060</x:v>
      </x:c>
      <x:c r="B5249" s="30" t="str">
        <x:v>F342</x:v>
      </x:c>
      <x:c r="C5249" s="30" t="str">
        <x:v>job.memory_request_bytes</x:v>
      </x:c>
      <x:c r="D5249" s="30" t="str">
        <x:v>候选输入schema</x:v>
      </x:c>
      <x:c r="E5249" s="30" t="str">
        <x:v>按执行角色权限读取；策略只能使用可访问快照</x:v>
      </x:c>
    </x:row>
    <x:row r="5250" ht="32" customHeight="1">
      <x:c r="A5250" s="30" t="str">
        <x:v>A060</x:v>
      </x:c>
      <x:c r="B5250" s="30" t="str">
        <x:v>F343</x:v>
      </x:c>
      <x:c r="C5250" s="30" t="str">
        <x:v>job.prefill_s</x:v>
      </x:c>
      <x:c r="D5250" s="30" t="str">
        <x:v>候选输入schema</x:v>
      </x:c>
      <x:c r="E5250" s="30" t="str">
        <x:v>按执行角色权限读取；策略只能使用可访问快照</x:v>
      </x:c>
    </x:row>
    <x:row r="5251" ht="32" customHeight="1">
      <x:c r="A5251" s="30" t="str">
        <x:v>A060</x:v>
      </x:c>
      <x:c r="B5251" s="30" t="str">
        <x:v>F344</x:v>
      </x:c>
      <x:c r="C5251" s="30" t="str">
        <x:v>job.decode_s</x:v>
      </x:c>
      <x:c r="D5251" s="30" t="str">
        <x:v>候选输入schema</x:v>
      </x:c>
      <x:c r="E5251" s="30" t="str">
        <x:v>按执行角色权限读取；策略只能使用可访问快照</x:v>
      </x:c>
    </x:row>
    <x:row r="5252" ht="32" customHeight="1">
      <x:c r="A5252" s="30" t="str">
        <x:v>A060</x:v>
      </x:c>
      <x:c r="B5252" s="30" t="str">
        <x:v>F345</x:v>
      </x:c>
      <x:c r="C5252" s="30" t="str">
        <x:v>job.wall_time_s</x:v>
      </x:c>
      <x:c r="D5252" s="30" t="str">
        <x:v>候选输入schema</x:v>
      </x:c>
      <x:c r="E5252" s="30" t="str">
        <x:v>按执行角色权限读取；策略只能使用可访问快照</x:v>
      </x:c>
    </x:row>
    <x:row r="5253" ht="32" customHeight="1">
      <x:c r="A5253" s="30" t="str">
        <x:v>A060</x:v>
      </x:c>
      <x:c r="B5253" s="30" t="str">
        <x:v>F346</x:v>
      </x:c>
      <x:c r="C5253" s="30" t="str">
        <x:v>job.result_ref</x:v>
      </x:c>
      <x:c r="D5253" s="30" t="str">
        <x:v>候选输入schema</x:v>
      </x:c>
      <x:c r="E5253" s="30" t="str">
        <x:v>按执行角色权限读取；策略只能使用可访问快照</x:v>
      </x:c>
    </x:row>
    <x:row r="5254" ht="32" customHeight="1">
      <x:c r="A5254" s="30" t="str">
        <x:v>A060</x:v>
      </x:c>
      <x:c r="B5254" s="30" t="str">
        <x:v>F347</x:v>
      </x:c>
      <x:c r="C5254" s="30" t="str">
        <x:v>job.checkpoint_ref</x:v>
      </x:c>
      <x:c r="D5254" s="30" t="str">
        <x:v>候选输入schema</x:v>
      </x:c>
      <x:c r="E5254" s="30" t="str">
        <x:v>按执行角色权限读取；策略只能使用可访问快照</x:v>
      </x:c>
    </x:row>
    <x:row r="5255" ht="32" customHeight="1">
      <x:c r="A5255" s="30" t="str">
        <x:v>A060</x:v>
      </x:c>
      <x:c r="B5255" s="30" t="str">
        <x:v>F348</x:v>
      </x:c>
      <x:c r="C5255" s="30" t="str">
        <x:v>job.failure_reason</x:v>
      </x:c>
      <x:c r="D5255" s="30" t="str">
        <x:v>候选输入schema</x:v>
      </x:c>
      <x:c r="E5255" s="30" t="str">
        <x:v>按执行角色权限读取；策略只能使用可访问快照</x:v>
      </x:c>
    </x:row>
    <x:row r="5256" ht="32" customHeight="1">
      <x:c r="A5256" s="30" t="str">
        <x:v>A060</x:v>
      </x:c>
      <x:c r="B5256" s="30" t="str">
        <x:v>F349</x:v>
      </x:c>
      <x:c r="C5256" s="30" t="str">
        <x:v>cache.owner_id</x:v>
      </x:c>
      <x:c r="D5256" s="30" t="str">
        <x:v>候选输入schema</x:v>
      </x:c>
      <x:c r="E5256" s="30" t="str">
        <x:v>按执行角色权限读取；策略只能使用可访问快照</x:v>
      </x:c>
    </x:row>
    <x:row r="5257" ht="32" customHeight="1">
      <x:c r="A5257" s="30" t="str">
        <x:v>A060</x:v>
      </x:c>
      <x:c r="B5257" s="30" t="str">
        <x:v>F350</x:v>
      </x:c>
      <x:c r="C5257" s="30" t="str">
        <x:v>cache.kind</x:v>
      </x:c>
      <x:c r="D5257" s="30" t="str">
        <x:v>候选输入schema</x:v>
      </x:c>
      <x:c r="E5257" s="30" t="str">
        <x:v>按执行角色权限读取；策略只能使用可访问快照</x:v>
      </x:c>
    </x:row>
    <x:row r="5258" ht="32" customHeight="1">
      <x:c r="A5258" s="30" t="str">
        <x:v>A060</x:v>
      </x:c>
      <x:c r="B5258" s="30" t="str">
        <x:v>F351</x:v>
      </x:c>
      <x:c r="C5258" s="30" t="str">
        <x:v>cache.model_version</x:v>
      </x:c>
      <x:c r="D5258" s="30" t="str">
        <x:v>候选输入schema</x:v>
      </x:c>
      <x:c r="E5258" s="30" t="str">
        <x:v>按执行角色权限读取；策略只能使用可访问快照</x:v>
      </x:c>
    </x:row>
    <x:row r="5259" ht="32" customHeight="1">
      <x:c r="A5259" s="30" t="str">
        <x:v>A060</x:v>
      </x:c>
      <x:c r="B5259" s="30" t="str">
        <x:v>F352</x:v>
      </x:c>
      <x:c r="C5259" s="30" t="str">
        <x:v>cache.content_ids</x:v>
      </x:c>
      <x:c r="D5259" s="30" t="str">
        <x:v>候选输入schema</x:v>
      </x:c>
      <x:c r="E5259" s="30" t="str">
        <x:v>按执行角色权限读取；策略只能使用可访问快照</x:v>
      </x:c>
    </x:row>
    <x:row r="5260" ht="32" customHeight="1">
      <x:c r="A5260" s="30" t="str">
        <x:v>A060</x:v>
      </x:c>
      <x:c r="B5260" s="30" t="str">
        <x:v>F353</x:v>
      </x:c>
      <x:c r="C5260" s="30" t="str">
        <x:v>cache.size_bytes</x:v>
      </x:c>
      <x:c r="D5260" s="30" t="str">
        <x:v>候选输入schema</x:v>
      </x:c>
      <x:c r="E5260" s="30" t="str">
        <x:v>按执行角色权限读取；策略只能使用可访问快照</x:v>
      </x:c>
    </x:row>
    <x:row r="5261" ht="32" customHeight="1">
      <x:c r="A5261" s="30" t="str">
        <x:v>A060</x:v>
      </x:c>
      <x:c r="B5261" s="30" t="str">
        <x:v>F354</x:v>
      </x:c>
      <x:c r="C5261" s="30" t="str">
        <x:v>cache.location</x:v>
      </x:c>
      <x:c r="D5261" s="30" t="str">
        <x:v>候选输入schema</x:v>
      </x:c>
      <x:c r="E5261" s="30" t="str">
        <x:v>按执行角色权限读取；策略只能使用可访问快照</x:v>
      </x:c>
    </x:row>
    <x:row r="5262" ht="32" customHeight="1">
      <x:c r="A5262" s="30" t="str">
        <x:v>A060</x:v>
      </x:c>
      <x:c r="B5262" s="30" t="str">
        <x:v>F355</x:v>
      </x:c>
      <x:c r="C5262" s="30" t="str">
        <x:v>cache.valid_until_s</x:v>
      </x:c>
      <x:c r="D5262" s="30" t="str">
        <x:v>候选输入schema</x:v>
      </x:c>
      <x:c r="E5262" s="30" t="str">
        <x:v>按执行角色权限读取；策略只能使用可访问快照</x:v>
      </x:c>
    </x:row>
    <x:row r="5263" ht="32" customHeight="1">
      <x:c r="A5263" s="30" t="str">
        <x:v>A060</x:v>
      </x:c>
      <x:c r="B5263" s="30" t="str">
        <x:v>F356</x:v>
      </x:c>
      <x:c r="C5263" s="30" t="str">
        <x:v>cache.reuse_compatible</x:v>
      </x:c>
      <x:c r="D5263" s="30" t="str">
        <x:v>候选输入schema</x:v>
      </x:c>
      <x:c r="E5263" s="30" t="str">
        <x:v>按执行角色权限读取；策略只能使用可访问快照</x:v>
      </x:c>
    </x:row>
    <x:row r="5264" ht="32" customHeight="1">
      <x:c r="A5264" s="30" t="str">
        <x:v>A060</x:v>
      </x:c>
      <x:c r="B5264" s="30" t="str">
        <x:v>F357</x:v>
      </x:c>
      <x:c r="C5264" s="30" t="str">
        <x:v>cache.hit_count</x:v>
      </x:c>
      <x:c r="D5264" s="30" t="str">
        <x:v>候选输入schema</x:v>
      </x:c>
      <x:c r="E5264" s="30" t="str">
        <x:v>按执行角色权限读取；策略只能使用可访问快照</x:v>
      </x:c>
    </x:row>
    <x:row r="5265" ht="32" customHeight="1">
      <x:c r="A5265" s="30" t="str">
        <x:v>A060</x:v>
      </x:c>
      <x:c r="B5265" s="30" t="str">
        <x:v>F358</x:v>
      </x:c>
      <x:c r="C5265" s="30" t="str">
        <x:v>cache.eviction_state</x:v>
      </x:c>
      <x:c r="D5265" s="30" t="str">
        <x:v>候选输入schema</x:v>
      </x:c>
      <x:c r="E5265" s="30" t="str">
        <x:v>按执行角色权限读取；策略只能使用可访问快照</x:v>
      </x:c>
    </x:row>
    <x:row r="5266" ht="32" customHeight="1">
      <x:c r="A5266" s="30" t="str">
        <x:v>A060</x:v>
      </x:c>
      <x:c r="B5266" s="30" t="str">
        <x:v>F371</x:v>
      </x:c>
      <x:c r="C5266" s="30" t="str">
        <x:v>region.land_use</x:v>
      </x:c>
      <x:c r="D5266" s="30" t="str">
        <x:v>候选输入schema</x:v>
      </x:c>
      <x:c r="E5266" s="30" t="str">
        <x:v>按执行角色权限读取；策略只能使用可访问快照</x:v>
      </x:c>
    </x:row>
    <x:row r="5267" ht="32" customHeight="1">
      <x:c r="A5267" s="30" t="str">
        <x:v>A060</x:v>
      </x:c>
      <x:c r="B5267" s="30" t="str">
        <x:v>F372</x:v>
      </x:c>
      <x:c r="C5267" s="30" t="str">
        <x:v>region.building_density</x:v>
      </x:c>
      <x:c r="D5267" s="30" t="str">
        <x:v>候选输入schema</x:v>
      </x:c>
      <x:c r="E5267" s="30" t="str">
        <x:v>按执行角色权限读取；策略只能使用可访问快照</x:v>
      </x:c>
    </x:row>
    <x:row r="5268" ht="32" customHeight="1">
      <x:c r="A5268" s="30" t="str">
        <x:v>A060</x:v>
      </x:c>
      <x:c r="B5268" s="30" t="str">
        <x:v>F373</x:v>
      </x:c>
      <x:c r="C5268" s="30" t="str">
        <x:v>region.road_pattern</x:v>
      </x:c>
      <x:c r="D5268" s="30" t="str">
        <x:v>候选输入schema</x:v>
      </x:c>
      <x:c r="E5268" s="30" t="str">
        <x:v>按执行角色权限读取；策略只能使用可访问快照</x:v>
      </x:c>
    </x:row>
    <x:row r="5269" ht="32" customHeight="1">
      <x:c r="A5269" s="30" t="str">
        <x:v>A060</x:v>
      </x:c>
      <x:c r="B5269" s="30" t="str">
        <x:v>F374</x:v>
      </x:c>
      <x:c r="C5269" s="30" t="str">
        <x:v>region.occupancy_prior_id</x:v>
      </x:c>
      <x:c r="D5269" s="30" t="str">
        <x:v>候选输入schema</x:v>
      </x:c>
      <x:c r="E5269" s="30" t="str">
        <x:v>按执行角色权限读取；策略只能使用可访问快照</x:v>
      </x:c>
    </x:row>
    <x:row r="5270" ht="32" customHeight="1">
      <x:c r="A5270" s="30" t="str">
        <x:v>A060</x:v>
      </x:c>
      <x:c r="B5270" s="30" t="str">
        <x:v>F375</x:v>
      </x:c>
      <x:c r="C5270" s="30" t="str">
        <x:v>region.disaster_profile_id</x:v>
      </x:c>
      <x:c r="D5270" s="30" t="str">
        <x:v>候选输入schema</x:v>
      </x:c>
      <x:c r="E5270" s="30" t="str">
        <x:v>按执行角色权限读取；策略只能使用可访问快照</x:v>
      </x:c>
    </x:row>
    <x:row r="5271" ht="32" customHeight="1">
      <x:c r="A5271" s="30" t="str">
        <x:v>A060</x:v>
      </x:c>
      <x:c r="B5271" s="30" t="str">
        <x:v>F376</x:v>
      </x:c>
      <x:c r="C5271" s="30" t="str">
        <x:v>region.surface_palette</x:v>
      </x:c>
      <x:c r="D5271" s="30" t="str">
        <x:v>候选输入schema</x:v>
      </x:c>
      <x:c r="E5271" s="30" t="str">
        <x:v>按执行角色权限读取；策略只能使用可访问快照</x:v>
      </x:c>
    </x:row>
    <x:row r="5272" ht="32" customHeight="1">
      <x:c r="A5272" s="30" t="str">
        <x:v>A060</x:v>
      </x:c>
      <x:c r="B5272" s="30" t="str">
        <x:v>F377</x:v>
      </x:c>
      <x:c r="C5272" s="30" t="str">
        <x:v>region.base_elevation_m</x:v>
      </x:c>
      <x:c r="D5272" s="30" t="str">
        <x:v>候选输入schema</x:v>
      </x:c>
      <x:c r="E5272" s="30" t="str">
        <x:v>按执行角色权限读取；策略只能使用可访问快照</x:v>
      </x:c>
    </x:row>
    <x:row r="5273" ht="32" customHeight="1">
      <x:c r="A5273" s="30" t="str">
        <x:v>A060</x:v>
      </x:c>
      <x:c r="B5273" s="30" t="str">
        <x:v>F378</x:v>
      </x:c>
      <x:c r="C5273" s="30" t="str">
        <x:v>episode.scenario_id</x:v>
      </x:c>
      <x:c r="D5273" s="30" t="str">
        <x:v>候选输入schema</x:v>
      </x:c>
      <x:c r="E5273" s="30" t="str">
        <x:v>按执行角色权限读取；策略只能使用可访问快照</x:v>
      </x:c>
    </x:row>
    <x:row r="5274" ht="32" customHeight="1">
      <x:c r="A5274" s="30" t="str">
        <x:v>A060</x:v>
      </x:c>
      <x:c r="B5274" s="30" t="str">
        <x:v>F379</x:v>
      </x:c>
      <x:c r="C5274" s="30" t="str">
        <x:v>episode.map_revision</x:v>
      </x:c>
      <x:c r="D5274" s="30" t="str">
        <x:v>候选输入schema</x:v>
      </x:c>
      <x:c r="E5274" s="30" t="str">
        <x:v>按执行角色权限读取；策略只能使用可访问快照</x:v>
      </x:c>
    </x:row>
    <x:row r="5275" ht="32" customHeight="1">
      <x:c r="A5275" s="30" t="str">
        <x:v>A060</x:v>
      </x:c>
      <x:c r="B5275" s="30" t="str">
        <x:v>F380</x:v>
      </x:c>
      <x:c r="C5275" s="30" t="str">
        <x:v>episode.seed</x:v>
      </x:c>
      <x:c r="D5275" s="30" t="str">
        <x:v>候选输入schema</x:v>
      </x:c>
      <x:c r="E5275" s="30" t="str">
        <x:v>按执行角色权限读取；策略只能使用可访问快照</x:v>
      </x:c>
    </x:row>
    <x:row r="5276" ht="32" customHeight="1">
      <x:c r="A5276" s="30" t="str">
        <x:v>A060</x:v>
      </x:c>
      <x:c r="B5276" s="30" t="str">
        <x:v>F381</x:v>
      </x:c>
      <x:c r="C5276" s="30" t="str">
        <x:v>episode.sim_time_s</x:v>
      </x:c>
      <x:c r="D5276" s="30" t="str">
        <x:v>候选输入schema</x:v>
      </x:c>
      <x:c r="E5276" s="30" t="str">
        <x:v>按执行角色权限读取；策略只能使用可访问快照</x:v>
      </x:c>
    </x:row>
    <x:row r="5277" ht="32" customHeight="1">
      <x:c r="A5277" s="30" t="str">
        <x:v>A060</x:v>
      </x:c>
      <x:c r="B5277" s="30" t="str">
        <x:v>F382</x:v>
      </x:c>
      <x:c r="C5277" s="30" t="str">
        <x:v>episode.clock_step_s</x:v>
      </x:c>
      <x:c r="D5277" s="30" t="str">
        <x:v>候选输入schema</x:v>
      </x:c>
      <x:c r="E5277" s="30" t="str">
        <x:v>按执行角色权限读取；策略只能使用可访问快照</x:v>
      </x:c>
    </x:row>
    <x:row r="5278" ht="32" customHeight="1">
      <x:c r="A5278" s="30" t="str">
        <x:v>A060</x:v>
      </x:c>
      <x:c r="B5278" s="30" t="str">
        <x:v>F383</x:v>
      </x:c>
      <x:c r="C5278" s="30" t="str">
        <x:v>episode.world_frame</x:v>
      </x:c>
      <x:c r="D5278" s="30" t="str">
        <x:v>候选输入schema</x:v>
      </x:c>
      <x:c r="E5278" s="30" t="str">
        <x:v>按执行角色权限读取；策略只能使用可访问快照</x:v>
      </x:c>
    </x:row>
    <x:row r="5279" ht="32" customHeight="1">
      <x:c r="A5279" s="30" t="str">
        <x:v>A060</x:v>
      </x:c>
      <x:c r="B5279" s="30" t="str">
        <x:v>F384</x:v>
      </x:c>
      <x:c r="C5279" s="30" t="str">
        <x:v>episode.map_bounds_m</x:v>
      </x:c>
      <x:c r="D5279" s="30" t="str">
        <x:v>候选输入schema</x:v>
      </x:c>
      <x:c r="E5279" s="30" t="str">
        <x:v>按执行角色权限读取；策略只能使用可访问快照</x:v>
      </x:c>
    </x:row>
    <x:row r="5280" ht="32" customHeight="1">
      <x:c r="A5280" s="30" t="str">
        <x:v>A060</x:v>
      </x:c>
      <x:c r="B5280" s="30" t="str">
        <x:v>F385</x:v>
      </x:c>
      <x:c r="C5280" s="30" t="str">
        <x:v>episode.backend_modes</x:v>
      </x:c>
      <x:c r="D5280" s="30" t="str">
        <x:v>候选输入schema</x:v>
      </x:c>
      <x:c r="E5280" s="30" t="str">
        <x:v>按执行角色权限读取；策略只能使用可访问快照</x:v>
      </x:c>
    </x:row>
    <x:row r="5281" ht="32" customHeight="1">
      <x:c r="A5281" s="30" t="str">
        <x:v>A060</x:v>
      </x:c>
      <x:c r="B5281" s="30" t="str">
        <x:v>F352</x:v>
      </x:c>
      <x:c r="C5281" s="30" t="str">
        <x:v>cache.content_ids</x:v>
      </x:c>
      <x:c r="D5281" s="30" t="str">
        <x:v>直接效果</x:v>
      </x:c>
      <x:c r="E5281" s="30" t="str">
        <x:v>经实际执行/回执提交；不是规划时提前修改</x:v>
      </x:c>
    </x:row>
    <x:row r="5282" ht="32" customHeight="1">
      <x:c r="A5282" s="30" t="str">
        <x:v>A060</x:v>
      </x:c>
      <x:c r="B5282" s="30" t="str">
        <x:v>F353</x:v>
      </x:c>
      <x:c r="C5282" s="30" t="str">
        <x:v>cache.size_bytes</x:v>
      </x:c>
      <x:c r="D5282" s="30" t="str">
        <x:v>直接效果</x:v>
      </x:c>
      <x:c r="E5282" s="30" t="str">
        <x:v>经实际执行/回执提交；不是规划时提前修改</x:v>
      </x:c>
    </x:row>
    <x:row r="5283" ht="32" customHeight="1">
      <x:c r="A5283" s="30" t="str">
        <x:v>A061</x:v>
      </x:c>
      <x:c r="B5283" s="30" t="str">
        <x:v>F095</x:v>
      </x:c>
      <x:c r="C5283" s="30" t="str">
        <x:v>platform.kind</x:v>
      </x:c>
      <x:c r="D5283" s="30" t="str">
        <x:v>候选输入schema</x:v>
      </x:c>
      <x:c r="E5283" s="30" t="str">
        <x:v>按执行角色权限读取；策略只能使用可访问快照</x:v>
      </x:c>
    </x:row>
    <x:row r="5284" ht="32" customHeight="1">
      <x:c r="A5284" s="30" t="str">
        <x:v>A061</x:v>
      </x:c>
      <x:c r="B5284" s="30" t="str">
        <x:v>F096</x:v>
      </x:c>
      <x:c r="C5284" s="30" t="str">
        <x:v>platform.capability_ids</x:v>
      </x:c>
      <x:c r="D5284" s="30" t="str">
        <x:v>候选输入schema</x:v>
      </x:c>
      <x:c r="E5284" s="30" t="str">
        <x:v>按执行角色权限读取；策略只能使用可访问快照</x:v>
      </x:c>
    </x:row>
    <x:row r="5285" ht="32" customHeight="1">
      <x:c r="A5285" s="30" t="str">
        <x:v>A061</x:v>
      </x:c>
      <x:c r="B5285" s="30" t="str">
        <x:v>F097</x:v>
      </x:c>
      <x:c r="C5285" s="30" t="str">
        <x:v>platform.equipment_ids</x:v>
      </x:c>
      <x:c r="D5285" s="30" t="str">
        <x:v>候选输入schema</x:v>
      </x:c>
      <x:c r="E5285" s="30" t="str">
        <x:v>按执行角色权限读取；策略只能使用可访问快照</x:v>
      </x:c>
    </x:row>
    <x:row r="5286" ht="32" customHeight="1">
      <x:c r="A5286" s="30" t="str">
        <x:v>A061</x:v>
      </x:c>
      <x:c r="B5286" s="30" t="str">
        <x:v>F098</x:v>
      </x:c>
      <x:c r="C5286" s="30" t="str">
        <x:v>platform.width_m</x:v>
      </x:c>
      <x:c r="D5286" s="30" t="str">
        <x:v>候选输入schema</x:v>
      </x:c>
      <x:c r="E5286" s="30" t="str">
        <x:v>按执行角色权限读取；策略只能使用可访问快照</x:v>
      </x:c>
    </x:row>
    <x:row r="5287" ht="32" customHeight="1">
      <x:c r="A5287" s="30" t="str">
        <x:v>A061</x:v>
      </x:c>
      <x:c r="B5287" s="30" t="str">
        <x:v>F099</x:v>
      </x:c>
      <x:c r="C5287" s="30" t="str">
        <x:v>platform.height_m</x:v>
      </x:c>
      <x:c r="D5287" s="30" t="str">
        <x:v>候选输入schema</x:v>
      </x:c>
      <x:c r="E5287" s="30" t="str">
        <x:v>按执行角色权限读取；策略只能使用可访问快照</x:v>
      </x:c>
    </x:row>
    <x:row r="5288" ht="32" customHeight="1">
      <x:c r="A5288" s="30" t="str">
        <x:v>A061</x:v>
      </x:c>
      <x:c r="B5288" s="30" t="str">
        <x:v>F100</x:v>
      </x:c>
      <x:c r="C5288" s="30" t="str">
        <x:v>platform.swept_radius_m</x:v>
      </x:c>
      <x:c r="D5288" s="30" t="str">
        <x:v>候选输入schema</x:v>
      </x:c>
      <x:c r="E5288" s="30" t="str">
        <x:v>按执行角色权限读取；策略只能使用可访问快照</x:v>
      </x:c>
    </x:row>
    <x:row r="5289" ht="32" customHeight="1">
      <x:c r="A5289" s="30" t="str">
        <x:v>A061</x:v>
      </x:c>
      <x:c r="B5289" s="30" t="str">
        <x:v>F101</x:v>
      </x:c>
      <x:c r="C5289" s="30" t="str">
        <x:v>platform.payload_capacity_kg</x:v>
      </x:c>
      <x:c r="D5289" s="30" t="str">
        <x:v>候选输入schema</x:v>
      </x:c>
      <x:c r="E5289" s="30" t="str">
        <x:v>按执行角色权限读取；策略只能使用可访问快照</x:v>
      </x:c>
    </x:row>
    <x:row r="5290" ht="32" customHeight="1">
      <x:c r="A5290" s="30" t="str">
        <x:v>A061</x:v>
      </x:c>
      <x:c r="B5290" s="30" t="str">
        <x:v>F102</x:v>
      </x:c>
      <x:c r="C5290" s="30" t="str">
        <x:v>platform.payload_used_kg</x:v>
      </x:c>
      <x:c r="D5290" s="30" t="str">
        <x:v>候选输入schema</x:v>
      </x:c>
      <x:c r="E5290" s="30" t="str">
        <x:v>按执行角色权限读取；策略只能使用可访问快照</x:v>
      </x:c>
    </x:row>
    <x:row r="5291" ht="32" customHeight="1">
      <x:c r="A5291" s="30" t="str">
        <x:v>A061</x:v>
      </x:c>
      <x:c r="B5291" s="30" t="str">
        <x:v>F103</x:v>
      </x:c>
      <x:c r="C5291" s="30" t="str">
        <x:v>platform.payload_item_ids</x:v>
      </x:c>
      <x:c r="D5291" s="30" t="str">
        <x:v>候选输入schema</x:v>
      </x:c>
      <x:c r="E5291" s="30" t="str">
        <x:v>按执行角色权限读取；策略只能使用可访问快照</x:v>
      </x:c>
    </x:row>
    <x:row r="5292" ht="32" customHeight="1">
      <x:c r="A5292" s="30" t="str">
        <x:v>A061</x:v>
      </x:c>
      <x:c r="B5292" s="30" t="str">
        <x:v>F104</x:v>
      </x:c>
      <x:c r="C5292" s="30" t="str">
        <x:v>platform.battery_capacity_Wh</x:v>
      </x:c>
      <x:c r="D5292" s="30" t="str">
        <x:v>候选输入schema</x:v>
      </x:c>
      <x:c r="E5292" s="30" t="str">
        <x:v>按执行角色权限读取；策略只能使用可访问快照</x:v>
      </x:c>
    </x:row>
    <x:row r="5293" ht="32" customHeight="1">
      <x:c r="A5293" s="30" t="str">
        <x:v>A061</x:v>
      </x:c>
      <x:c r="B5293" s="30" t="str">
        <x:v>F105</x:v>
      </x:c>
      <x:c r="C5293" s="30" t="str">
        <x:v>platform.battery_remaining_Wh</x:v>
      </x:c>
      <x:c r="D5293" s="30" t="str">
        <x:v>候选输入schema</x:v>
      </x:c>
      <x:c r="E5293" s="30" t="str">
        <x:v>按执行角色权限读取；策略只能使用可访问快照</x:v>
      </x:c>
    </x:row>
    <x:row r="5294" ht="32" customHeight="1">
      <x:c r="A5294" s="30" t="str">
        <x:v>A061</x:v>
      </x:c>
      <x:c r="B5294" s="30" t="str">
        <x:v>F106</x:v>
      </x:c>
      <x:c r="C5294" s="30" t="str">
        <x:v>platform.reserve_Wh</x:v>
      </x:c>
      <x:c r="D5294" s="30" t="str">
        <x:v>候选输入schema</x:v>
      </x:c>
      <x:c r="E5294" s="30" t="str">
        <x:v>按执行角色权限读取；策略只能使用可访问快照</x:v>
      </x:c>
    </x:row>
    <x:row r="5295" ht="32" customHeight="1">
      <x:c r="A5295" s="30" t="str">
        <x:v>A061</x:v>
      </x:c>
      <x:c r="B5295" s="30" t="str">
        <x:v>F107</x:v>
      </x:c>
      <x:c r="C5295" s="30" t="str">
        <x:v>platform.speed_limit_mps</x:v>
      </x:c>
      <x:c r="D5295" s="30" t="str">
        <x:v>候选输入schema</x:v>
      </x:c>
      <x:c r="E5295" s="30" t="str">
        <x:v>按执行角色权限读取；策略只能使用可访问快照</x:v>
      </x:c>
    </x:row>
    <x:row r="5296" ht="32" customHeight="1">
      <x:c r="A5296" s="30" t="str">
        <x:v>A061</x:v>
      </x:c>
      <x:c r="B5296" s="30" t="str">
        <x:v>F108</x:v>
      </x:c>
      <x:c r="C5296" s="30" t="str">
        <x:v>platform.energy_model</x:v>
      </x:c>
      <x:c r="D5296" s="30" t="str">
        <x:v>候选输入schema</x:v>
      </x:c>
      <x:c r="E5296" s="30" t="str">
        <x:v>按执行角色权限读取；策略只能使用可访问快照</x:v>
      </x:c>
    </x:row>
    <x:row r="5297" ht="32" customHeight="1">
      <x:c r="A5297" s="30" t="str">
        <x:v>A061</x:v>
      </x:c>
      <x:c r="B5297" s="30" t="str">
        <x:v>F109</x:v>
      </x:c>
      <x:c r="C5297" s="30" t="str">
        <x:v>platform.motion_state</x:v>
      </x:c>
      <x:c r="D5297" s="30" t="str">
        <x:v>候选输入schema</x:v>
      </x:c>
      <x:c r="E5297" s="30" t="str">
        <x:v>按执行角色权限读取；策略只能使用可访问快照</x:v>
      </x:c>
    </x:row>
    <x:row r="5298" ht="32" customHeight="1">
      <x:c r="A5298" s="30" t="str">
        <x:v>A061</x:v>
      </x:c>
      <x:c r="B5298" s="30" t="str">
        <x:v>F110</x:v>
      </x:c>
      <x:c r="C5298" s="30" t="str">
        <x:v>platform.health_state</x:v>
      </x:c>
      <x:c r="D5298" s="30" t="str">
        <x:v>候选输入schema</x:v>
      </x:c>
      <x:c r="E5298" s="30" t="str">
        <x:v>按执行角色权限读取；策略只能使用可访问快照</x:v>
      </x:c>
    </x:row>
    <x:row r="5299" ht="32" customHeight="1">
      <x:c r="A5299" s="30" t="str">
        <x:v>A061</x:v>
      </x:c>
      <x:c r="B5299" s="30" t="str">
        <x:v>F111</x:v>
      </x:c>
      <x:c r="C5299" s="30" t="str">
        <x:v>platform.current_action_id</x:v>
      </x:c>
      <x:c r="D5299" s="30" t="str">
        <x:v>候选输入schema</x:v>
      </x:c>
      <x:c r="E5299" s="30" t="str">
        <x:v>按执行角色权限读取；策略只能使用可访问快照</x:v>
      </x:c>
    </x:row>
    <x:row r="5300" ht="32" customHeight="1">
      <x:c r="A5300" s="30" t="str">
        <x:v>A061</x:v>
      </x:c>
      <x:c r="B5300" s="30" t="str">
        <x:v>F112</x:v>
      </x:c>
      <x:c r="C5300" s="30" t="str">
        <x:v>platform.busy_until_est_s</x:v>
      </x:c>
      <x:c r="D5300" s="30" t="str">
        <x:v>候选输入schema</x:v>
      </x:c>
      <x:c r="E5300" s="30" t="str">
        <x:v>按执行角色权限读取；策略只能使用可访问快照</x:v>
      </x:c>
    </x:row>
    <x:row r="5301" ht="32" customHeight="1">
      <x:c r="A5301" s="30" t="str">
        <x:v>A061</x:v>
      </x:c>
      <x:c r="B5301" s="30" t="str">
        <x:v>F113</x:v>
      </x:c>
      <x:c r="C5301" s="30" t="str">
        <x:v>platform.return_site_id</x:v>
      </x:c>
      <x:c r="D5301" s="30" t="str">
        <x:v>候选输入schema</x:v>
      </x:c>
      <x:c r="E5301" s="30" t="str">
        <x:v>按执行角色权限读取；策略只能使用可访问快照</x:v>
      </x:c>
    </x:row>
    <x:row r="5302" ht="32" customHeight="1">
      <x:c r="A5302" s="30" t="str">
        <x:v>A061</x:v>
      </x:c>
      <x:c r="B5302" s="30" t="str">
        <x:v>F114</x:v>
      </x:c>
      <x:c r="C5302" s="30" t="str">
        <x:v>platform.water_tolerance_m</x:v>
      </x:c>
      <x:c r="D5302" s="30" t="str">
        <x:v>候选输入schema</x:v>
      </x:c>
      <x:c r="E5302" s="30" t="str">
        <x:v>按执行角色权限读取；策略只能使用可访问快照</x:v>
      </x:c>
    </x:row>
    <x:row r="5303" ht="32" customHeight="1">
      <x:c r="A5303" s="30" t="str">
        <x:v>A061</x:v>
      </x:c>
      <x:c r="B5303" s="30" t="str">
        <x:v>F115</x:v>
      </x:c>
      <x:c r="C5303" s="30" t="str">
        <x:v>platform.concurrency_policy</x:v>
      </x:c>
      <x:c r="D5303" s="30" t="str">
        <x:v>候选输入schema</x:v>
      </x:c>
      <x:c r="E5303" s="30" t="str">
        <x:v>按执行角色权限读取；策略只能使用可访问快照</x:v>
      </x:c>
    </x:row>
    <x:row r="5304" ht="32" customHeight="1">
      <x:c r="A5304" s="30" t="str">
        <x:v>A061</x:v>
      </x:c>
      <x:c r="B5304" s="30" t="str">
        <x:v>F116</x:v>
      </x:c>
      <x:c r="C5304" s="30" t="str">
        <x:v>equipment.kind</x:v>
      </x:c>
      <x:c r="D5304" s="30" t="str">
        <x:v>候选输入schema</x:v>
      </x:c>
      <x:c r="E5304" s="30" t="str">
        <x:v>按执行角色权限读取；策略只能使用可访问快照</x:v>
      </x:c>
    </x:row>
    <x:row r="5305" ht="32" customHeight="1">
      <x:c r="A5305" s="30" t="str">
        <x:v>A061</x:v>
      </x:c>
      <x:c r="B5305" s="30" t="str">
        <x:v>F117</x:v>
      </x:c>
      <x:c r="C5305" s="30" t="str">
        <x:v>equipment.enabled</x:v>
      </x:c>
      <x:c r="D5305" s="30" t="str">
        <x:v>候选输入schema</x:v>
      </x:c>
      <x:c r="E5305" s="30" t="str">
        <x:v>按执行角色权限读取；策略只能使用可访问快照</x:v>
      </x:c>
    </x:row>
    <x:row r="5306" ht="32" customHeight="1">
      <x:c r="A5306" s="30" t="str">
        <x:v>A061</x:v>
      </x:c>
      <x:c r="B5306" s="30" t="str">
        <x:v>F118</x:v>
      </x:c>
      <x:c r="C5306" s="30" t="str">
        <x:v>equipment.health</x:v>
      </x:c>
      <x:c r="D5306" s="30" t="str">
        <x:v>候选输入schema</x:v>
      </x:c>
      <x:c r="E5306" s="30" t="str">
        <x:v>按执行角色权限读取；策略只能使用可访问快照</x:v>
      </x:c>
    </x:row>
    <x:row r="5307" ht="32" customHeight="1">
      <x:c r="A5307" s="30" t="str">
        <x:v>A061</x:v>
      </x:c>
      <x:c r="B5307" s="30" t="str">
        <x:v>F119</x:v>
      </x:c>
      <x:c r="C5307" s="30" t="str">
        <x:v>equipment.rated_load_kg</x:v>
      </x:c>
      <x:c r="D5307" s="30" t="str">
        <x:v>候选输入schema</x:v>
      </x:c>
      <x:c r="E5307" s="30" t="str">
        <x:v>按执行角色权限读取；策略只能使用可访问快照</x:v>
      </x:c>
    </x:row>
    <x:row r="5308" ht="32" customHeight="1">
      <x:c r="A5308" s="30" t="str">
        <x:v>A061</x:v>
      </x:c>
      <x:c r="B5308" s="30" t="str">
        <x:v>F120</x:v>
      </x:c>
      <x:c r="C5308" s="30" t="str">
        <x:v>equipment.reach_m</x:v>
      </x:c>
      <x:c r="D5308" s="30" t="str">
        <x:v>候选输入schema</x:v>
      </x:c>
      <x:c r="E5308" s="30" t="str">
        <x:v>按执行角色权限读取；策略只能使用可访问快照</x:v>
      </x:c>
    </x:row>
    <x:row r="5309" ht="32" customHeight="1">
      <x:c r="A5309" s="30" t="str">
        <x:v>A061</x:v>
      </x:c>
      <x:c r="B5309" s="30" t="str">
        <x:v>F121</x:v>
      </x:c>
      <x:c r="C5309" s="30" t="str">
        <x:v>equipment.compatible_materials</x:v>
      </x:c>
      <x:c r="D5309" s="30" t="str">
        <x:v>候选输入schema</x:v>
      </x:c>
      <x:c r="E5309" s="30" t="str">
        <x:v>按执行角色权限读取；策略只能使用可访问快照</x:v>
      </x:c>
    </x:row>
    <x:row r="5310" ht="32" customHeight="1">
      <x:c r="A5310" s="30" t="str">
        <x:v>A061</x:v>
      </x:c>
      <x:c r="B5310" s="30" t="str">
        <x:v>F122</x:v>
      </x:c>
      <x:c r="C5310" s="30" t="str">
        <x:v>equipment.tool_size</x:v>
      </x:c>
      <x:c r="D5310" s="30" t="str">
        <x:v>候选输入schema</x:v>
      </x:c>
      <x:c r="E5310" s="30" t="str">
        <x:v>按执行角色权限读取；策略只能使用可访问快照</x:v>
      </x:c>
    </x:row>
    <x:row r="5311" ht="32" customHeight="1">
      <x:c r="A5311" s="30" t="str">
        <x:v>A061</x:v>
      </x:c>
      <x:c r="B5311" s="30" t="str">
        <x:v>F123</x:v>
      </x:c>
      <x:c r="C5311" s="30" t="str">
        <x:v>equipment.consumable_type</x:v>
      </x:c>
      <x:c r="D5311" s="30" t="str">
        <x:v>候选输入schema</x:v>
      </x:c>
      <x:c r="E5311" s="30" t="str">
        <x:v>按执行角色权限读取；策略只能使用可访问快照</x:v>
      </x:c>
    </x:row>
    <x:row r="5312" ht="32" customHeight="1">
      <x:c r="A5312" s="30" t="str">
        <x:v>A061</x:v>
      </x:c>
      <x:c r="B5312" s="30" t="str">
        <x:v>F124</x:v>
      </x:c>
      <x:c r="C5312" s="30" t="str">
        <x:v>equipment.consumable_remaining</x:v>
      </x:c>
      <x:c r="D5312" s="30" t="str">
        <x:v>候选输入schema</x:v>
      </x:c>
      <x:c r="E5312" s="30" t="str">
        <x:v>按执行角色权限读取；策略只能使用可访问快照</x:v>
      </x:c>
    </x:row>
    <x:row r="5313" ht="32" customHeight="1">
      <x:c r="A5313" s="30" t="str">
        <x:v>A061</x:v>
      </x:c>
      <x:c r="B5313" s="30" t="str">
        <x:v>F125</x:v>
      </x:c>
      <x:c r="C5313" s="30" t="str">
        <x:v>equipment.operator_authority</x:v>
      </x:c>
      <x:c r="D5313" s="30" t="str">
        <x:v>候选输入schema</x:v>
      </x:c>
      <x:c r="E5313" s="30" t="str">
        <x:v>按执行角色权限读取；策略只能使用可访问快照</x:v>
      </x:c>
    </x:row>
    <x:row r="5314" ht="32" customHeight="1">
      <x:c r="A5314" s="30" t="str">
        <x:v>A061</x:v>
      </x:c>
      <x:c r="B5314" s="30" t="str">
        <x:v>F126</x:v>
      </x:c>
      <x:c r="C5314" s="30" t="str">
        <x:v>equipment.setup_state</x:v>
      </x:c>
      <x:c r="D5314" s="30" t="str">
        <x:v>候选输入schema</x:v>
      </x:c>
      <x:c r="E5314" s="30" t="str">
        <x:v>按执行角色权限读取；策略只能使用可访问快照</x:v>
      </x:c>
    </x:row>
    <x:row r="5315" ht="32" customHeight="1">
      <x:c r="A5315" s="30" t="str">
        <x:v>A061</x:v>
      </x:c>
      <x:c r="B5315" s="30" t="str">
        <x:v>F127</x:v>
      </x:c>
      <x:c r="C5315" s="30" t="str">
        <x:v>equipment.busy_action_id</x:v>
      </x:c>
      <x:c r="D5315" s="30" t="str">
        <x:v>候选输入schema</x:v>
      </x:c>
      <x:c r="E5315" s="30" t="str">
        <x:v>按执行角色权限读取；策略只能使用可访问快照</x:v>
      </x:c>
    </x:row>
    <x:row r="5316" ht="32" customHeight="1">
      <x:c r="A5316" s="30" t="str">
        <x:v>A061</x:v>
      </x:c>
      <x:c r="B5316" s="30" t="str">
        <x:v>F151</x:v>
      </x:c>
      <x:c r="C5316" s="30" t="str">
        <x:v>sensor.modality</x:v>
      </x:c>
      <x:c r="D5316" s="30" t="str">
        <x:v>候选输入schema</x:v>
      </x:c>
      <x:c r="E5316" s="30" t="str">
        <x:v>按执行角色权限读取；策略只能使用可访问快照</x:v>
      </x:c>
    </x:row>
    <x:row r="5317" ht="32" customHeight="1">
      <x:c r="A5317" s="30" t="str">
        <x:v>A061</x:v>
      </x:c>
      <x:c r="B5317" s="30" t="str">
        <x:v>F152</x:v>
      </x:c>
      <x:c r="C5317" s="30" t="str">
        <x:v>sensor.mount_pose</x:v>
      </x:c>
      <x:c r="D5317" s="30" t="str">
        <x:v>候选输入schema</x:v>
      </x:c>
      <x:c r="E5317" s="30" t="str">
        <x:v>按执行角色权限读取；策略只能使用可访问快照</x:v>
      </x:c>
    </x:row>
    <x:row r="5318" ht="32" customHeight="1">
      <x:c r="A5318" s="30" t="str">
        <x:v>A061</x:v>
      </x:c>
      <x:c r="B5318" s="30" t="str">
        <x:v>F153</x:v>
      </x:c>
      <x:c r="C5318" s="30" t="str">
        <x:v>sensor.fov_deg</x:v>
      </x:c>
      <x:c r="D5318" s="30" t="str">
        <x:v>候选输入schema</x:v>
      </x:c>
      <x:c r="E5318" s="30" t="str">
        <x:v>按执行角色权限读取；策略只能使用可访问快照</x:v>
      </x:c>
    </x:row>
    <x:row r="5319" ht="32" customHeight="1">
      <x:c r="A5319" s="30" t="str">
        <x:v>A061</x:v>
      </x:c>
      <x:c r="B5319" s="30" t="str">
        <x:v>F154</x:v>
      </x:c>
      <x:c r="C5319" s="30" t="str">
        <x:v>sensor.resolution</x:v>
      </x:c>
      <x:c r="D5319" s="30" t="str">
        <x:v>候选输入schema</x:v>
      </x:c>
      <x:c r="E5319" s="30" t="str">
        <x:v>按执行角色权限读取；策略只能使用可访问快照</x:v>
      </x:c>
    </x:row>
    <x:row r="5320" ht="32" customHeight="1">
      <x:c r="A5320" s="30" t="str">
        <x:v>A061</x:v>
      </x:c>
      <x:c r="B5320" s="30" t="str">
        <x:v>F155</x:v>
      </x:c>
      <x:c r="C5320" s="30" t="str">
        <x:v>sensor.range_m</x:v>
      </x:c>
      <x:c r="D5320" s="30" t="str">
        <x:v>候选输入schema</x:v>
      </x:c>
      <x:c r="E5320" s="30" t="str">
        <x:v>按执行角色权限读取；策略只能使用可访问快照</x:v>
      </x:c>
    </x:row>
    <x:row r="5321" ht="32" customHeight="1">
      <x:c r="A5321" s="30" t="str">
        <x:v>A061</x:v>
      </x:c>
      <x:c r="B5321" s="30" t="str">
        <x:v>F156</x:v>
      </x:c>
      <x:c r="C5321" s="30" t="str">
        <x:v>sensor.sampling_period_s</x:v>
      </x:c>
      <x:c r="D5321" s="30" t="str">
        <x:v>候选输入schema</x:v>
      </x:c>
      <x:c r="E5321" s="30" t="str">
        <x:v>按执行角色权限读取；策略只能使用可访问快照</x:v>
      </x:c>
    </x:row>
    <x:row r="5322" ht="32" customHeight="1">
      <x:c r="A5322" s="30" t="str">
        <x:v>A061</x:v>
      </x:c>
      <x:c r="B5322" s="30" t="str">
        <x:v>F157</x:v>
      </x:c>
      <x:c r="C5322" s="30" t="str">
        <x:v>sensor.enabled</x:v>
      </x:c>
      <x:c r="D5322" s="30" t="str">
        <x:v>候选输入schema</x:v>
      </x:c>
      <x:c r="E5322" s="30" t="str">
        <x:v>按执行角色权限读取；策略只能使用可访问快照</x:v>
      </x:c>
    </x:row>
    <x:row r="5323" ht="32" customHeight="1">
      <x:c r="A5323" s="30" t="str">
        <x:v>A061</x:v>
      </x:c>
      <x:c r="B5323" s="30" t="str">
        <x:v>F158</x:v>
      </x:c>
      <x:c r="C5323" s="30" t="str">
        <x:v>sensor.health</x:v>
      </x:c>
      <x:c r="D5323" s="30" t="str">
        <x:v>候选输入schema</x:v>
      </x:c>
      <x:c r="E5323" s="30" t="str">
        <x:v>按执行角色权限读取；策略只能使用可访问快照</x:v>
      </x:c>
    </x:row>
    <x:row r="5324" ht="32" customHeight="1">
      <x:c r="A5324" s="30" t="str">
        <x:v>A061</x:v>
      </x:c>
      <x:c r="B5324" s="30" t="str">
        <x:v>F159</x:v>
      </x:c>
      <x:c r="C5324" s="30" t="str">
        <x:v>sensor.exposure</x:v>
      </x:c>
      <x:c r="D5324" s="30" t="str">
        <x:v>候选输入schema</x:v>
      </x:c>
      <x:c r="E5324" s="30" t="str">
        <x:v>按执行角色权限读取；策略只能使用可访问快照</x:v>
      </x:c>
    </x:row>
    <x:row r="5325" ht="32" customHeight="1">
      <x:c r="A5325" s="30" t="str">
        <x:v>A061</x:v>
      </x:c>
      <x:c r="B5325" s="30" t="str">
        <x:v>F160</x:v>
      </x:c>
      <x:c r="C5325" s="30" t="str">
        <x:v>sensor.calibration_id</x:v>
      </x:c>
      <x:c r="D5325" s="30" t="str">
        <x:v>候选输入schema</x:v>
      </x:c>
      <x:c r="E5325" s="30" t="str">
        <x:v>按执行角色权限读取；策略只能使用可访问快照</x:v>
      </x:c>
    </x:row>
    <x:row r="5326" ht="32" customHeight="1">
      <x:c r="A5326" s="30" t="str">
        <x:v>A061</x:v>
      </x:c>
      <x:c r="B5326" s="30" t="str">
        <x:v>F161</x:v>
      </x:c>
      <x:c r="C5326" s="30" t="str">
        <x:v>sensor.gimbal_pose</x:v>
      </x:c>
      <x:c r="D5326" s="30" t="str">
        <x:v>候选输入schema</x:v>
      </x:c>
      <x:c r="E5326" s="30" t="str">
        <x:v>按执行角色权限读取；策略只能使用可访问快照</x:v>
      </x:c>
    </x:row>
    <x:row r="5327" ht="32" customHeight="1">
      <x:c r="A5327" s="30" t="str">
        <x:v>A061</x:v>
      </x:c>
      <x:c r="B5327" s="30" t="str">
        <x:v>F162</x:v>
      </x:c>
      <x:c r="C5327" s="30" t="str">
        <x:v>sensor.capture_state</x:v>
      </x:c>
      <x:c r="D5327" s="30" t="str">
        <x:v>候选输入schema</x:v>
      </x:c>
      <x:c r="E5327" s="30" t="str">
        <x:v>按执行角色权限读取；策略只能使用可访问快照</x:v>
      </x:c>
    </x:row>
    <x:row r="5328" ht="32" customHeight="1">
      <x:c r="A5328" s="30" t="str">
        <x:v>A061</x:v>
      </x:c>
      <x:c r="B5328" s="30" t="str">
        <x:v>F163</x:v>
      </x:c>
      <x:c r="C5328" s="30" t="str">
        <x:v>sensor.noise_model</x:v>
      </x:c>
      <x:c r="D5328" s="30" t="str">
        <x:v>候选输入schema</x:v>
      </x:c>
      <x:c r="E5328" s="30" t="str">
        <x:v>按执行角色权限读取；策略只能使用可访问快照</x:v>
      </x:c>
    </x:row>
    <x:row r="5329" ht="32" customHeight="1">
      <x:c r="A5329" s="30" t="str">
        <x:v>A061</x:v>
      </x:c>
      <x:c r="B5329" s="30" t="str">
        <x:v>F164</x:v>
      </x:c>
      <x:c r="C5329" s="30" t="str">
        <x:v>sensor.blind_zone</x:v>
      </x:c>
      <x:c r="D5329" s="30" t="str">
        <x:v>候选输入schema</x:v>
      </x:c>
      <x:c r="E5329" s="30" t="str">
        <x:v>按执行角色权限读取；策略只能使用可访问快照</x:v>
      </x:c>
    </x:row>
    <x:row r="5330" ht="32" customHeight="1">
      <x:c r="A5330" s="30" t="str">
        <x:v>A061</x:v>
      </x:c>
      <x:c r="B5330" s="30" t="str">
        <x:v>F165</x:v>
      </x:c>
      <x:c r="C5330" s="30" t="str">
        <x:v>sensor.last_capture_s</x:v>
      </x:c>
      <x:c r="D5330" s="30" t="str">
        <x:v>候选输入schema</x:v>
      </x:c>
      <x:c r="E5330" s="30" t="str">
        <x:v>按执行角色权限读取；策略只能使用可访问快照</x:v>
      </x:c>
    </x:row>
    <x:row r="5331" ht="32" customHeight="1">
      <x:c r="A5331" s="30" t="str">
        <x:v>A061</x:v>
      </x:c>
      <x:c r="B5331" s="30" t="str">
        <x:v>F230</x:v>
      </x:c>
      <x:c r="C5331" s="30" t="str">
        <x:v>action.type</x:v>
      </x:c>
      <x:c r="D5331" s="30" t="str">
        <x:v>候选输入schema</x:v>
      </x:c>
      <x:c r="E5331" s="30" t="str">
        <x:v>按执行角色权限读取；策略只能使用可访问快照</x:v>
      </x:c>
    </x:row>
    <x:row r="5332" ht="32" customHeight="1">
      <x:c r="A5332" s="30" t="str">
        <x:v>A061</x:v>
      </x:c>
      <x:c r="B5332" s="30" t="str">
        <x:v>F231</x:v>
      </x:c>
      <x:c r="C5332" s="30" t="str">
        <x:v>action.executor_id</x:v>
      </x:c>
      <x:c r="D5332" s="30" t="str">
        <x:v>候选输入schema</x:v>
      </x:c>
      <x:c r="E5332" s="30" t="str">
        <x:v>按执行角色权限读取；策略只能使用可访问快照</x:v>
      </x:c>
    </x:row>
    <x:row r="5333" ht="32" customHeight="1">
      <x:c r="A5333" s="30" t="str">
        <x:v>A061</x:v>
      </x:c>
      <x:c r="B5333" s="30" t="str">
        <x:v>F232</x:v>
      </x:c>
      <x:c r="C5333" s="30" t="str">
        <x:v>action.task_ref</x:v>
      </x:c>
      <x:c r="D5333" s="30" t="str">
        <x:v>候选输入schema</x:v>
      </x:c>
      <x:c r="E5333" s="30" t="str">
        <x:v>按执行角色权限读取；策略只能使用可访问快照</x:v>
      </x:c>
    </x:row>
    <x:row r="5334" ht="32" customHeight="1">
      <x:c r="A5334" s="30" t="str">
        <x:v>A061</x:v>
      </x:c>
      <x:c r="B5334" s="30" t="str">
        <x:v>F233</x:v>
      </x:c>
      <x:c r="C5334" s="30" t="str">
        <x:v>action.target_ref</x:v>
      </x:c>
      <x:c r="D5334" s="30" t="str">
        <x:v>候选输入schema</x:v>
      </x:c>
      <x:c r="E5334" s="30" t="str">
        <x:v>按执行角色权限读取；策略只能使用可访问快照</x:v>
      </x:c>
    </x:row>
    <x:row r="5335" ht="32" customHeight="1">
      <x:c r="A5335" s="30" t="str">
        <x:v>A061</x:v>
      </x:c>
      <x:c r="B5335" s="30" t="str">
        <x:v>F234</x:v>
      </x:c>
      <x:c r="C5335" s="30" t="str">
        <x:v>action.parameters</x:v>
      </x:c>
      <x:c r="D5335" s="30" t="str">
        <x:v>候选输入schema</x:v>
      </x:c>
      <x:c r="E5335" s="30" t="str">
        <x:v>按执行角色权限读取；策略只能使用可访问快照</x:v>
      </x:c>
    </x:row>
    <x:row r="5336" ht="32" customHeight="1">
      <x:c r="A5336" s="30" t="str">
        <x:v>A061</x:v>
      </x:c>
      <x:c r="B5336" s="30" t="str">
        <x:v>F235</x:v>
      </x:c>
      <x:c r="C5336" s="30" t="str">
        <x:v>action.status</x:v>
      </x:c>
      <x:c r="D5336" s="30" t="str">
        <x:v>候选输入schema</x:v>
      </x:c>
      <x:c r="E5336" s="30" t="str">
        <x:v>按执行角色权限读取；策略只能使用可访问快照</x:v>
      </x:c>
    </x:row>
    <x:row r="5337" ht="32" customHeight="1">
      <x:c r="A5337" s="30" t="str">
        <x:v>A061</x:v>
      </x:c>
      <x:c r="B5337" s="30" t="str">
        <x:v>F236</x:v>
      </x:c>
      <x:c r="C5337" s="30" t="str">
        <x:v>action.start_s</x:v>
      </x:c>
      <x:c r="D5337" s="30" t="str">
        <x:v>候选输入schema</x:v>
      </x:c>
      <x:c r="E5337" s="30" t="str">
        <x:v>按执行角色权限读取；策略只能使用可访问快照</x:v>
      </x:c>
    </x:row>
    <x:row r="5338" ht="32" customHeight="1">
      <x:c r="A5338" s="30" t="str">
        <x:v>A061</x:v>
      </x:c>
      <x:c r="B5338" s="30" t="str">
        <x:v>F237</x:v>
      </x:c>
      <x:c r="C5338" s="30" t="str">
        <x:v>action.finish_s</x:v>
      </x:c>
      <x:c r="D5338" s="30" t="str">
        <x:v>候选输入schema</x:v>
      </x:c>
      <x:c r="E5338" s="30" t="str">
        <x:v>按执行角色权限读取；策略只能使用可访问快照</x:v>
      </x:c>
    </x:row>
    <x:row r="5339" ht="32" customHeight="1">
      <x:c r="A5339" s="30" t="str">
        <x:v>A061</x:v>
      </x:c>
      <x:c r="B5339" s="30" t="str">
        <x:v>F238</x:v>
      </x:c>
      <x:c r="C5339" s="30" t="str">
        <x:v>action.reserved_resources</x:v>
      </x:c>
      <x:c r="D5339" s="30" t="str">
        <x:v>候选输入schema</x:v>
      </x:c>
      <x:c r="E5339" s="30" t="str">
        <x:v>按执行角色权限读取；策略只能使用可访问快照</x:v>
      </x:c>
    </x:row>
    <x:row r="5340" ht="32" customHeight="1">
      <x:c r="A5340" s="30" t="str">
        <x:v>A061</x:v>
      </x:c>
      <x:c r="B5340" s="30" t="str">
        <x:v>F239</x:v>
      </x:c>
      <x:c r="C5340" s="30" t="str">
        <x:v>action.consumed_resources</x:v>
      </x:c>
      <x:c r="D5340" s="30" t="str">
        <x:v>候选输入schema</x:v>
      </x:c>
      <x:c r="E5340" s="30" t="str">
        <x:v>按执行角色权限读取；策略只能使用可访问快照</x:v>
      </x:c>
    </x:row>
    <x:row r="5341" ht="32" customHeight="1">
      <x:c r="A5341" s="30" t="str">
        <x:v>A061</x:v>
      </x:c>
      <x:c r="B5341" s="30" t="str">
        <x:v>F240</x:v>
      </x:c>
      <x:c r="C5341" s="30" t="str">
        <x:v>action.feedback</x:v>
      </x:c>
      <x:c r="D5341" s="30" t="str">
        <x:v>候选输入schema</x:v>
      </x:c>
      <x:c r="E5341" s="30" t="str">
        <x:v>按执行角色权限读取；策略只能使用可访问快照</x:v>
      </x:c>
    </x:row>
    <x:row r="5342" ht="32" customHeight="1">
      <x:c r="A5342" s="30" t="str">
        <x:v>A061</x:v>
      </x:c>
      <x:c r="B5342" s="30" t="str">
        <x:v>F241</x:v>
      </x:c>
      <x:c r="C5342" s="30" t="str">
        <x:v>action.result</x:v>
      </x:c>
      <x:c r="D5342" s="30" t="str">
        <x:v>候选输入schema</x:v>
      </x:c>
      <x:c r="E5342" s="30" t="str">
        <x:v>按执行角色权限读取；策略只能使用可访问快照</x:v>
      </x:c>
    </x:row>
    <x:row r="5343" ht="32" customHeight="1">
      <x:c r="A5343" s="30" t="str">
        <x:v>A061</x:v>
      </x:c>
      <x:c r="B5343" s="30" t="str">
        <x:v>F242</x:v>
      </x:c>
      <x:c r="C5343" s="30" t="str">
        <x:v>action.rejection_code</x:v>
      </x:c>
      <x:c r="D5343" s="30" t="str">
        <x:v>候选输入schema</x:v>
      </x:c>
      <x:c r="E5343" s="30" t="str">
        <x:v>按执行角色权限读取；策略只能使用可访问快照</x:v>
      </x:c>
    </x:row>
    <x:row r="5344" ht="32" customHeight="1">
      <x:c r="A5344" s="30" t="str">
        <x:v>A061</x:v>
      </x:c>
      <x:c r="B5344" s="30" t="str">
        <x:v>F243</x:v>
      </x:c>
      <x:c r="C5344" s="30" t="str">
        <x:v>action.failure_code</x:v>
      </x:c>
      <x:c r="D5344" s="30" t="str">
        <x:v>候选输入schema</x:v>
      </x:c>
      <x:c r="E5344" s="30" t="str">
        <x:v>按执行角色权限读取；策略只能使用可访问快照</x:v>
      </x:c>
    </x:row>
    <x:row r="5345" ht="32" customHeight="1">
      <x:c r="A5345" s="30" t="str">
        <x:v>A061</x:v>
      </x:c>
      <x:c r="B5345" s="30" t="str">
        <x:v>F244</x:v>
      </x:c>
      <x:c r="C5345" s="30" t="str">
        <x:v>action.cancel_requested</x:v>
      </x:c>
      <x:c r="D5345" s="30" t="str">
        <x:v>候选输入schema</x:v>
      </x:c>
      <x:c r="E5345" s="30" t="str">
        <x:v>按执行角色权限读取；策略只能使用可访问快照</x:v>
      </x:c>
    </x:row>
    <x:row r="5346" ht="32" customHeight="1">
      <x:c r="A5346" s="30" t="str">
        <x:v>A061</x:v>
      </x:c>
      <x:c r="B5346" s="30" t="str">
        <x:v>F245</x:v>
      </x:c>
      <x:c r="C5346" s="30" t="str">
        <x:v>action.backend_mode</x:v>
      </x:c>
      <x:c r="D5346" s="30" t="str">
        <x:v>候选输入schema</x:v>
      </x:c>
      <x:c r="E5346" s="30" t="str">
        <x:v>按执行角色权限读取；策略只能使用可访问快照</x:v>
      </x:c>
    </x:row>
    <x:row r="5347" ht="32" customHeight="1">
      <x:c r="A5347" s="30" t="str">
        <x:v>A061</x:v>
      </x:c>
      <x:c r="B5347" s="30" t="str">
        <x:v>F293</x:v>
      </x:c>
      <x:c r="C5347" s="30" t="str">
        <x:v>compute.node_id</x:v>
      </x:c>
      <x:c r="D5347" s="30" t="str">
        <x:v>候选输入schema</x:v>
      </x:c>
      <x:c r="E5347" s="30" t="str">
        <x:v>按执行角色权限读取；策略只能使用可访问快照</x:v>
      </x:c>
    </x:row>
    <x:row r="5348" ht="32" customHeight="1">
      <x:c r="A5348" s="30" t="str">
        <x:v>A061</x:v>
      </x:c>
      <x:c r="B5348" s="30" t="str">
        <x:v>F294</x:v>
      </x:c>
      <x:c r="C5348" s="30" t="str">
        <x:v>compute.device_kind</x:v>
      </x:c>
      <x:c r="D5348" s="30" t="str">
        <x:v>候选输入schema</x:v>
      </x:c>
      <x:c r="E5348" s="30" t="str">
        <x:v>按执行角色权限读取；策略只能使用可访问快照</x:v>
      </x:c>
    </x:row>
    <x:row r="5349" ht="32" customHeight="1">
      <x:c r="A5349" s="30" t="str">
        <x:v>A061</x:v>
      </x:c>
      <x:c r="B5349" s="30" t="str">
        <x:v>F295</x:v>
      </x:c>
      <x:c r="C5349" s="30" t="str">
        <x:v>compute.cpu_capacity</x:v>
      </x:c>
      <x:c r="D5349" s="30" t="str">
        <x:v>候选输入schema</x:v>
      </x:c>
      <x:c r="E5349" s="30" t="str">
        <x:v>按执行角色权限读取；策略只能使用可访问快照</x:v>
      </x:c>
    </x:row>
    <x:row r="5350" ht="32" customHeight="1">
      <x:c r="A5350" s="30" t="str">
        <x:v>A061</x:v>
      </x:c>
      <x:c r="B5350" s="30" t="str">
        <x:v>F296</x:v>
      </x:c>
      <x:c r="C5350" s="30" t="str">
        <x:v>compute.accelerator_capacity</x:v>
      </x:c>
      <x:c r="D5350" s="30" t="str">
        <x:v>候选输入schema</x:v>
      </x:c>
      <x:c r="E5350" s="30" t="str">
        <x:v>按执行角色权限读取；策略只能使用可访问快照</x:v>
      </x:c>
    </x:row>
    <x:row r="5351" ht="32" customHeight="1">
      <x:c r="A5351" s="30" t="str">
        <x:v>A061</x:v>
      </x:c>
      <x:c r="B5351" s="30" t="str">
        <x:v>F297</x:v>
      </x:c>
      <x:c r="C5351" s="30" t="str">
        <x:v>compute.memory_capacity_bytes</x:v>
      </x:c>
      <x:c r="D5351" s="30" t="str">
        <x:v>候选输入schema</x:v>
      </x:c>
      <x:c r="E5351" s="30" t="str">
        <x:v>按执行角色权限读取；策略只能使用可访问快照</x:v>
      </x:c>
    </x:row>
    <x:row r="5352" ht="32" customHeight="1">
      <x:c r="A5352" s="30" t="str">
        <x:v>A061</x:v>
      </x:c>
      <x:c r="B5352" s="30" t="str">
        <x:v>F298</x:v>
      </x:c>
      <x:c r="C5352" s="30" t="str">
        <x:v>compute.memory_used_bytes</x:v>
      </x:c>
      <x:c r="D5352" s="30" t="str">
        <x:v>候选输入schema</x:v>
      </x:c>
      <x:c r="E5352" s="30" t="str">
        <x:v>按执行角色权限读取；策略只能使用可访问快照</x:v>
      </x:c>
    </x:row>
    <x:row r="5353" ht="32" customHeight="1">
      <x:c r="A5353" s="30" t="str">
        <x:v>A061</x:v>
      </x:c>
      <x:c r="B5353" s="30" t="str">
        <x:v>F299</x:v>
      </x:c>
      <x:c r="C5353" s="30" t="str">
        <x:v>compute.cpu_allocated</x:v>
      </x:c>
      <x:c r="D5353" s="30" t="str">
        <x:v>候选输入schema</x:v>
      </x:c>
      <x:c r="E5353" s="30" t="str">
        <x:v>按执行角色权限读取；策略只能使用可访问快照</x:v>
      </x:c>
    </x:row>
    <x:row r="5354" ht="32" customHeight="1">
      <x:c r="A5354" s="30" t="str">
        <x:v>A061</x:v>
      </x:c>
      <x:c r="B5354" s="30" t="str">
        <x:v>F300</x:v>
      </x:c>
      <x:c r="C5354" s="30" t="str">
        <x:v>compute.accelerator_allocated</x:v>
      </x:c>
      <x:c r="D5354" s="30" t="str">
        <x:v>候选输入schema</x:v>
      </x:c>
      <x:c r="E5354" s="30" t="str">
        <x:v>按执行角色权限读取；策略只能使用可访问快照</x:v>
      </x:c>
    </x:row>
    <x:row r="5355" ht="32" customHeight="1">
      <x:c r="A5355" s="30" t="str">
        <x:v>A061</x:v>
      </x:c>
      <x:c r="B5355" s="30" t="str">
        <x:v>F301</x:v>
      </x:c>
      <x:c r="C5355" s="30" t="str">
        <x:v>compute.max_concurrency</x:v>
      </x:c>
      <x:c r="D5355" s="30" t="str">
        <x:v>候选输入schema</x:v>
      </x:c>
      <x:c r="E5355" s="30" t="str">
        <x:v>按执行角色权限读取；策略只能使用可访问快照</x:v>
      </x:c>
    </x:row>
    <x:row r="5356" ht="32" customHeight="1">
      <x:c r="A5356" s="30" t="str">
        <x:v>A061</x:v>
      </x:c>
      <x:c r="B5356" s="30" t="str">
        <x:v>F302</x:v>
      </x:c>
      <x:c r="C5356" s="30" t="str">
        <x:v>compute.queue_ids</x:v>
      </x:c>
      <x:c r="D5356" s="30" t="str">
        <x:v>候选输入schema</x:v>
      </x:c>
      <x:c r="E5356" s="30" t="str">
        <x:v>按执行角色权限读取；策略只能使用可访问快照</x:v>
      </x:c>
    </x:row>
    <x:row r="5357" ht="32" customHeight="1">
      <x:c r="A5357" s="30" t="str">
        <x:v>A061</x:v>
      </x:c>
      <x:c r="B5357" s="30" t="str">
        <x:v>F303</x:v>
      </x:c>
      <x:c r="C5357" s="30" t="str">
        <x:v>compute.running_job_ids</x:v>
      </x:c>
      <x:c r="D5357" s="30" t="str">
        <x:v>候选输入schema</x:v>
      </x:c>
      <x:c r="E5357" s="30" t="str">
        <x:v>按执行角色权限读取；策略只能使用可访问快照</x:v>
      </x:c>
    </x:row>
    <x:row r="5358" ht="32" customHeight="1">
      <x:c r="A5358" s="30" t="str">
        <x:v>A061</x:v>
      </x:c>
      <x:c r="B5358" s="30" t="str">
        <x:v>F304</x:v>
      </x:c>
      <x:c r="C5358" s="30" t="str">
        <x:v>compute.availability</x:v>
      </x:c>
      <x:c r="D5358" s="30" t="str">
        <x:v>候选输入schema</x:v>
      </x:c>
      <x:c r="E5358" s="30" t="str">
        <x:v>按执行角色权限读取；策略只能使用可访问快照</x:v>
      </x:c>
    </x:row>
    <x:row r="5359" ht="32" customHeight="1">
      <x:c r="A5359" s="30" t="str">
        <x:v>A061</x:v>
      </x:c>
      <x:c r="B5359" s="30" t="str">
        <x:v>F305</x:v>
      </x:c>
      <x:c r="C5359" s="30" t="str">
        <x:v>compute.power_model</x:v>
      </x:c>
      <x:c r="D5359" s="30" t="str">
        <x:v>候选输入schema</x:v>
      </x:c>
      <x:c r="E5359" s="30" t="str">
        <x:v>按执行角色权限读取；策略只能使用可访问快照</x:v>
      </x:c>
    </x:row>
    <x:row r="5360" ht="32" customHeight="1">
      <x:c r="A5360" s="30" t="str">
        <x:v>A061</x:v>
      </x:c>
      <x:c r="B5360" s="30" t="str">
        <x:v>F306</x:v>
      </x:c>
      <x:c r="C5360" s="30" t="str">
        <x:v>compute.energy_Wh</x:v>
      </x:c>
      <x:c r="D5360" s="30" t="str">
        <x:v>候选输入schema</x:v>
      </x:c>
      <x:c r="E5360" s="30" t="str">
        <x:v>按执行角色权限读取；策略只能使用可访问快照</x:v>
      </x:c>
    </x:row>
    <x:row r="5361" ht="32" customHeight="1">
      <x:c r="A5361" s="30" t="str">
        <x:v>A061</x:v>
      </x:c>
      <x:c r="B5361" s="30" t="str">
        <x:v>F307</x:v>
      </x:c>
      <x:c r="C5361" s="30" t="str">
        <x:v>compute.service_ids</x:v>
      </x:c>
      <x:c r="D5361" s="30" t="str">
        <x:v>候选输入schema</x:v>
      </x:c>
      <x:c r="E5361" s="30" t="str">
        <x:v>按执行角色权限读取；策略只能使用可访问快照</x:v>
      </x:c>
    </x:row>
    <x:row r="5362" ht="32" customHeight="1">
      <x:c r="A5362" s="30" t="str">
        <x:v>A061</x:v>
      </x:c>
      <x:c r="B5362" s="30" t="str">
        <x:v>F308</x:v>
      </x:c>
      <x:c r="C5362" s="30" t="str">
        <x:v>compute.storage_free_bytes</x:v>
      </x:c>
      <x:c r="D5362" s="30" t="str">
        <x:v>候选输入schema</x:v>
      </x:c>
      <x:c r="E5362" s="30" t="str">
        <x:v>按执行角色权限读取；策略只能使用可访问快照</x:v>
      </x:c>
    </x:row>
    <x:row r="5363" ht="32" customHeight="1">
      <x:c r="A5363" s="30" t="str">
        <x:v>A061</x:v>
      </x:c>
      <x:c r="B5363" s="30" t="str">
        <x:v>F309</x:v>
      </x:c>
      <x:c r="C5363" s="30" t="str">
        <x:v>compute.clock_policy</x:v>
      </x:c>
      <x:c r="D5363" s="30" t="str">
        <x:v>候选输入schema</x:v>
      </x:c>
      <x:c r="E5363" s="30" t="str">
        <x:v>按执行角色权限读取；策略只能使用可访问快照</x:v>
      </x:c>
    </x:row>
    <x:row r="5364" ht="32" customHeight="1">
      <x:c r="A5364" s="30" t="str">
        <x:v>A061</x:v>
      </x:c>
      <x:c r="B5364" s="30" t="str">
        <x:v>F310</x:v>
      </x:c>
      <x:c r="C5364" s="30" t="str">
        <x:v>compute.timing_profile_id</x:v>
      </x:c>
      <x:c r="D5364" s="30" t="str">
        <x:v>候选输入schema</x:v>
      </x:c>
      <x:c r="E5364" s="30" t="str">
        <x:v>按执行角色权限读取；策略只能使用可访问快照</x:v>
      </x:c>
    </x:row>
    <x:row r="5365" ht="32" customHeight="1">
      <x:c r="A5365" s="30" t="str">
        <x:v>A061</x:v>
      </x:c>
      <x:c r="B5365" s="30" t="str">
        <x:v>F311</x:v>
      </x:c>
      <x:c r="C5365" s="30" t="str">
        <x:v>compute.temperature_state</x:v>
      </x:c>
      <x:c r="D5365" s="30" t="str">
        <x:v>候选输入schema</x:v>
      </x:c>
      <x:c r="E5365" s="30" t="str">
        <x:v>按执行角色权限读取；策略只能使用可访问快照</x:v>
      </x:c>
    </x:row>
    <x:row r="5366" ht="32" customHeight="1">
      <x:c r="A5366" s="30" t="str">
        <x:v>A061</x:v>
      </x:c>
      <x:c r="B5366" s="30" t="str">
        <x:v>F312</x:v>
      </x:c>
      <x:c r="C5366" s="30" t="str">
        <x:v>compute.network_endpoint</x:v>
      </x:c>
      <x:c r="D5366" s="30" t="str">
        <x:v>候选输入schema</x:v>
      </x:c>
      <x:c r="E5366" s="30" t="str">
        <x:v>按执行角色权限读取；策略只能使用可访问快照</x:v>
      </x:c>
    </x:row>
    <x:row r="5367" ht="32" customHeight="1">
      <x:c r="A5367" s="30" t="str">
        <x:v>A061</x:v>
      </x:c>
      <x:c r="B5367" s="30" t="str">
        <x:v>F313</x:v>
      </x:c>
      <x:c r="C5367" s="30" t="str">
        <x:v>service.kind</x:v>
      </x:c>
      <x:c r="D5367" s="30" t="str">
        <x:v>候选输入schema</x:v>
      </x:c>
      <x:c r="E5367" s="30" t="str">
        <x:v>按执行角色权限读取；策略只能使用可访问快照</x:v>
      </x:c>
    </x:row>
    <x:row r="5368" ht="32" customHeight="1">
      <x:c r="A5368" s="30" t="str">
        <x:v>A061</x:v>
      </x:c>
      <x:c r="B5368" s="30" t="str">
        <x:v>F314</x:v>
      </x:c>
      <x:c r="C5368" s="30" t="str">
        <x:v>service.model_id</x:v>
      </x:c>
      <x:c r="D5368" s="30" t="str">
        <x:v>候选输入schema</x:v>
      </x:c>
      <x:c r="E5368" s="30" t="str">
        <x:v>按执行角色权限读取；策略只能使用可访问快照</x:v>
      </x:c>
    </x:row>
    <x:row r="5369" ht="32" customHeight="1">
      <x:c r="A5369" s="30" t="str">
        <x:v>A061</x:v>
      </x:c>
      <x:c r="B5369" s="30" t="str">
        <x:v>F315</x:v>
      </x:c>
      <x:c r="C5369" s="30" t="str">
        <x:v>service.version</x:v>
      </x:c>
      <x:c r="D5369" s="30" t="str">
        <x:v>候选输入schema</x:v>
      </x:c>
      <x:c r="E5369" s="30" t="str">
        <x:v>按执行角色权限读取；策略只能使用可访问快照</x:v>
      </x:c>
    </x:row>
    <x:row r="5370" ht="32" customHeight="1">
      <x:c r="A5370" s="30" t="str">
        <x:v>A061</x:v>
      </x:c>
      <x:c r="B5370" s="30" t="str">
        <x:v>F316</x:v>
      </x:c>
      <x:c r="C5370" s="30" t="str">
        <x:v>service.host_id</x:v>
      </x:c>
      <x:c r="D5370" s="30" t="str">
        <x:v>候选输入schema</x:v>
      </x:c>
      <x:c r="E5370" s="30" t="str">
        <x:v>按执行角色权限读取；策略只能使用可访问快照</x:v>
      </x:c>
    </x:row>
    <x:row r="5371" ht="32" customHeight="1">
      <x:c r="A5371" s="30" t="str">
        <x:v>A061</x:v>
      </x:c>
      <x:c r="B5371" s="30" t="str">
        <x:v>F317</x:v>
      </x:c>
      <x:c r="C5371" s="30" t="str">
        <x:v>service.status</x:v>
      </x:c>
      <x:c r="D5371" s="30" t="str">
        <x:v>候选输入schema</x:v>
      </x:c>
      <x:c r="E5371" s="30" t="str">
        <x:v>按执行角色权限读取；策略只能使用可访问快照</x:v>
      </x:c>
    </x:row>
    <x:row r="5372" ht="32" customHeight="1">
      <x:c r="A5372" s="30" t="str">
        <x:v>A061</x:v>
      </x:c>
      <x:c r="B5372" s="30" t="str">
        <x:v>F318</x:v>
      </x:c>
      <x:c r="C5372" s="30" t="str">
        <x:v>service.input_schema</x:v>
      </x:c>
      <x:c r="D5372" s="30" t="str">
        <x:v>候选输入schema</x:v>
      </x:c>
      <x:c r="E5372" s="30" t="str">
        <x:v>按执行角色权限读取；策略只能使用可访问快照</x:v>
      </x:c>
    </x:row>
    <x:row r="5373" ht="32" customHeight="1">
      <x:c r="A5373" s="30" t="str">
        <x:v>A061</x:v>
      </x:c>
      <x:c r="B5373" s="30" t="str">
        <x:v>F319</x:v>
      </x:c>
      <x:c r="C5373" s="30" t="str">
        <x:v>service.output_schema</x:v>
      </x:c>
      <x:c r="D5373" s="30" t="str">
        <x:v>候选输入schema</x:v>
      </x:c>
      <x:c r="E5373" s="30" t="str">
        <x:v>按执行角色权限读取；策略只能使用可访问快照</x:v>
      </x:c>
    </x:row>
    <x:row r="5374" ht="32" customHeight="1">
      <x:c r="A5374" s="30" t="str">
        <x:v>A061</x:v>
      </x:c>
      <x:c r="B5374" s="30" t="str">
        <x:v>F320</x:v>
      </x:c>
      <x:c r="C5374" s="30" t="str">
        <x:v>service.precision</x:v>
      </x:c>
      <x:c r="D5374" s="30" t="str">
        <x:v>候选输入schema</x:v>
      </x:c>
      <x:c r="E5374" s="30" t="str">
        <x:v>按执行角色权限读取；策略只能使用可访问快照</x:v>
      </x:c>
    </x:row>
    <x:row r="5375" ht="32" customHeight="1">
      <x:c r="A5375" s="30" t="str">
        <x:v>A061</x:v>
      </x:c>
      <x:c r="B5375" s="30" t="str">
        <x:v>F321</x:v>
      </x:c>
      <x:c r="C5375" s="30" t="str">
        <x:v>service.weights_bytes</x:v>
      </x:c>
      <x:c r="D5375" s="30" t="str">
        <x:v>候选输入schema</x:v>
      </x:c>
      <x:c r="E5375" s="30" t="str">
        <x:v>按执行角色权限读取；策略只能使用可访问快照</x:v>
      </x:c>
    </x:row>
    <x:row r="5376" ht="32" customHeight="1">
      <x:c r="A5376" s="30" t="str">
        <x:v>A061</x:v>
      </x:c>
      <x:c r="B5376" s="30" t="str">
        <x:v>F322</x:v>
      </x:c>
      <x:c r="C5376" s="30" t="str">
        <x:v>service.working_memory_bytes</x:v>
      </x:c>
      <x:c r="D5376" s="30" t="str">
        <x:v>候选输入schema</x:v>
      </x:c>
      <x:c r="E5376" s="30" t="str">
        <x:v>按执行角色权限读取；策略只能使用可访问快照</x:v>
      </x:c>
    </x:row>
    <x:row r="5377" ht="32" customHeight="1">
      <x:c r="A5377" s="30" t="str">
        <x:v>A061</x:v>
      </x:c>
      <x:c r="B5377" s="30" t="str">
        <x:v>F323</x:v>
      </x:c>
      <x:c r="C5377" s="30" t="str">
        <x:v>service.load_latency_profile</x:v>
      </x:c>
      <x:c r="D5377" s="30" t="str">
        <x:v>候选输入schema</x:v>
      </x:c>
      <x:c r="E5377" s="30" t="str">
        <x:v>按执行角色权限读取；策略只能使用可访问快照</x:v>
      </x:c>
    </x:row>
    <x:row r="5378" ht="32" customHeight="1">
      <x:c r="A5378" s="30" t="str">
        <x:v>A061</x:v>
      </x:c>
      <x:c r="B5378" s="30" t="str">
        <x:v>F324</x:v>
      </x:c>
      <x:c r="C5378" s="30" t="str">
        <x:v>service.batch_policy</x:v>
      </x:c>
      <x:c r="D5378" s="30" t="str">
        <x:v>候选输入schema</x:v>
      </x:c>
      <x:c r="E5378" s="30" t="str">
        <x:v>按执行角色权限读取；策略只能使用可访问快照</x:v>
      </x:c>
    </x:row>
    <x:row r="5379" ht="32" customHeight="1">
      <x:c r="A5379" s="30" t="str">
        <x:v>A061</x:v>
      </x:c>
      <x:c r="B5379" s="30" t="str">
        <x:v>F325</x:v>
      </x:c>
      <x:c r="C5379" s="30" t="str">
        <x:v>service.context_limit</x:v>
      </x:c>
      <x:c r="D5379" s="30" t="str">
        <x:v>候选输入schema</x:v>
      </x:c>
      <x:c r="E5379" s="30" t="str">
        <x:v>按执行角色权限读取；策略只能使用可访问快照</x:v>
      </x:c>
    </x:row>
    <x:row r="5380" ht="32" customHeight="1">
      <x:c r="A5380" s="30" t="str">
        <x:v>A061</x:v>
      </x:c>
      <x:c r="B5380" s="30" t="str">
        <x:v>F326</x:v>
      </x:c>
      <x:c r="C5380" s="30" t="str">
        <x:v>service.quality_profile</x:v>
      </x:c>
      <x:c r="D5380" s="30" t="str">
        <x:v>候选输入schema</x:v>
      </x:c>
      <x:c r="E5380" s="30" t="str">
        <x:v>按执行角色权限读取；策略只能使用可访问快照</x:v>
      </x:c>
    </x:row>
    <x:row r="5381" ht="32" customHeight="1">
      <x:c r="A5381" s="30" t="str">
        <x:v>A061</x:v>
      </x:c>
      <x:c r="B5381" s="30" t="str">
        <x:v>F327</x:v>
      </x:c>
      <x:c r="C5381" s="30" t="str">
        <x:v>service.compatible_representations</x:v>
      </x:c>
      <x:c r="D5381" s="30" t="str">
        <x:v>候选输入schema</x:v>
      </x:c>
      <x:c r="E5381" s="30" t="str">
        <x:v>按执行角色权限读取；策略只能使用可访问快照</x:v>
      </x:c>
    </x:row>
    <x:row r="5382" ht="32" customHeight="1">
      <x:c r="A5382" s="30" t="str">
        <x:v>A061</x:v>
      </x:c>
      <x:c r="B5382" s="30" t="str">
        <x:v>F328</x:v>
      </x:c>
      <x:c r="C5382" s="30" t="str">
        <x:v>service.licence_scope</x:v>
      </x:c>
      <x:c r="D5382" s="30" t="str">
        <x:v>候选输入schema</x:v>
      </x:c>
      <x:c r="E5382" s="30" t="str">
        <x:v>按执行角色权限读取；策略只能使用可访问快照</x:v>
      </x:c>
    </x:row>
    <x:row r="5383" ht="32" customHeight="1">
      <x:c r="A5383" s="30" t="str">
        <x:v>A061</x:v>
      </x:c>
      <x:c r="B5383" s="30" t="str">
        <x:v>F329</x:v>
      </x:c>
      <x:c r="C5383" s="30" t="str">
        <x:v>job.requester_id</x:v>
      </x:c>
      <x:c r="D5383" s="30" t="str">
        <x:v>候选输入schema</x:v>
      </x:c>
      <x:c r="E5383" s="30" t="str">
        <x:v>按执行角色权限读取；策略只能使用可访问快照</x:v>
      </x:c>
    </x:row>
    <x:row r="5384" ht="32" customHeight="1">
      <x:c r="A5384" s="30" t="str">
        <x:v>A061</x:v>
      </x:c>
      <x:c r="B5384" s="30" t="str">
        <x:v>F330</x:v>
      </x:c>
      <x:c r="C5384" s="30" t="str">
        <x:v>job.task_ref</x:v>
      </x:c>
      <x:c r="D5384" s="30" t="str">
        <x:v>候选输入schema</x:v>
      </x:c>
      <x:c r="E5384" s="30" t="str">
        <x:v>按执行角色权限读取；策略只能使用可访问快照</x:v>
      </x:c>
    </x:row>
    <x:row r="5385" ht="32" customHeight="1">
      <x:c r="A5385" s="30" t="str">
        <x:v>A061</x:v>
      </x:c>
      <x:c r="B5385" s="30" t="str">
        <x:v>F331</x:v>
      </x:c>
      <x:c r="C5385" s="30" t="str">
        <x:v>job.service_id</x:v>
      </x:c>
      <x:c r="D5385" s="30" t="str">
        <x:v>候选输入schema</x:v>
      </x:c>
      <x:c r="E5385" s="30" t="str">
        <x:v>按执行角色权限读取；策略只能使用可访问快照</x:v>
      </x:c>
    </x:row>
    <x:row r="5386" ht="32" customHeight="1">
      <x:c r="A5386" s="30" t="str">
        <x:v>A061</x:v>
      </x:c>
      <x:c r="B5386" s="30" t="str">
        <x:v>F332</x:v>
      </x:c>
      <x:c r="C5386" s="30" t="str">
        <x:v>job.input_evidence_ids</x:v>
      </x:c>
      <x:c r="D5386" s="30" t="str">
        <x:v>候选输入schema</x:v>
      </x:c>
      <x:c r="E5386" s="30" t="str">
        <x:v>按执行角色权限读取；策略只能使用可访问快照</x:v>
      </x:c>
    </x:row>
    <x:row r="5387" ht="32" customHeight="1">
      <x:c r="A5387" s="30" t="str">
        <x:v>A061</x:v>
      </x:c>
      <x:c r="B5387" s="30" t="str">
        <x:v>F333</x:v>
      </x:c>
      <x:c r="C5387" s="30" t="str">
        <x:v>job.input_bytes</x:v>
      </x:c>
      <x:c r="D5387" s="30" t="str">
        <x:v>候选输入schema</x:v>
      </x:c>
      <x:c r="E5387" s="30" t="str">
        <x:v>按执行角色权限读取；策略只能使用可访问快照</x:v>
      </x:c>
    </x:row>
    <x:row r="5388" ht="32" customHeight="1">
      <x:c r="A5388" s="30" t="str">
        <x:v>A061</x:v>
      </x:c>
      <x:c r="B5388" s="30" t="str">
        <x:v>F334</x:v>
      </x:c>
      <x:c r="C5388" s="30" t="str">
        <x:v>job.input_tokens</x:v>
      </x:c>
      <x:c r="D5388" s="30" t="str">
        <x:v>候选输入schema</x:v>
      </x:c>
      <x:c r="E5388" s="30" t="str">
        <x:v>按执行角色权限读取；策略只能使用可访问快照</x:v>
      </x:c>
    </x:row>
    <x:row r="5389" ht="32" customHeight="1">
      <x:c r="A5389" s="30" t="str">
        <x:v>A061</x:v>
      </x:c>
      <x:c r="B5389" s="30" t="str">
        <x:v>F335</x:v>
      </x:c>
      <x:c r="C5389" s="30" t="str">
        <x:v>job.output_tokens</x:v>
      </x:c>
      <x:c r="D5389" s="30" t="str">
        <x:v>候选输入schema</x:v>
      </x:c>
      <x:c r="E5389" s="30" t="str">
        <x:v>按执行角色权限读取；策略只能使用可访问快照</x:v>
      </x:c>
    </x:row>
    <x:row r="5390" ht="32" customHeight="1">
      <x:c r="A5390" s="30" t="str">
        <x:v>A061</x:v>
      </x:c>
      <x:c r="B5390" s="30" t="str">
        <x:v>F336</x:v>
      </x:c>
      <x:c r="C5390" s="30" t="str">
        <x:v>job.status</x:v>
      </x:c>
      <x:c r="D5390" s="30" t="str">
        <x:v>候选输入schema</x:v>
      </x:c>
      <x:c r="E5390" s="30" t="str">
        <x:v>按执行角色权限读取；策略只能使用可访问快照</x:v>
      </x:c>
    </x:row>
    <x:row r="5391" ht="32" customHeight="1">
      <x:c r="A5391" s="30" t="str">
        <x:v>A061</x:v>
      </x:c>
      <x:c r="B5391" s="30" t="str">
        <x:v>F337</x:v>
      </x:c>
      <x:c r="C5391" s="30" t="str">
        <x:v>job.queue_enter_s</x:v>
      </x:c>
      <x:c r="D5391" s="30" t="str">
        <x:v>候选输入schema</x:v>
      </x:c>
      <x:c r="E5391" s="30" t="str">
        <x:v>按执行角色权限读取；策略只能使用可访问快照</x:v>
      </x:c>
    </x:row>
    <x:row r="5392" ht="32" customHeight="1">
      <x:c r="A5392" s="30" t="str">
        <x:v>A061</x:v>
      </x:c>
      <x:c r="B5392" s="30" t="str">
        <x:v>F338</x:v>
      </x:c>
      <x:c r="C5392" s="30" t="str">
        <x:v>job.start_s</x:v>
      </x:c>
      <x:c r="D5392" s="30" t="str">
        <x:v>候选输入schema</x:v>
      </x:c>
      <x:c r="E5392" s="30" t="str">
        <x:v>按执行角色权限读取；策略只能使用可访问快照</x:v>
      </x:c>
    </x:row>
    <x:row r="5393" ht="32" customHeight="1">
      <x:c r="A5393" s="30" t="str">
        <x:v>A061</x:v>
      </x:c>
      <x:c r="B5393" s="30" t="str">
        <x:v>F339</x:v>
      </x:c>
      <x:c r="C5393" s="30" t="str">
        <x:v>job.finish_s</x:v>
      </x:c>
      <x:c r="D5393" s="30" t="str">
        <x:v>候选输入schema</x:v>
      </x:c>
      <x:c r="E5393" s="30" t="str">
        <x:v>按执行角色权限读取；策略只能使用可访问快照</x:v>
      </x:c>
    </x:row>
    <x:row r="5394" ht="32" customHeight="1">
      <x:c r="A5394" s="30" t="str">
        <x:v>A061</x:v>
      </x:c>
      <x:c r="B5394" s="30" t="str">
        <x:v>F340</x:v>
      </x:c>
      <x:c r="C5394" s="30" t="str">
        <x:v>job.deadline_s</x:v>
      </x:c>
      <x:c r="D5394" s="30" t="str">
        <x:v>候选输入schema</x:v>
      </x:c>
      <x:c r="E5394" s="30" t="str">
        <x:v>按执行角色权限读取；策略只能使用可访问快照</x:v>
      </x:c>
    </x:row>
    <x:row r="5395" ht="32" customHeight="1">
      <x:c r="A5395" s="30" t="str">
        <x:v>A061</x:v>
      </x:c>
      <x:c r="B5395" s="30" t="str">
        <x:v>F341</x:v>
      </x:c>
      <x:c r="C5395" s="30" t="str">
        <x:v>job.cpu_request</x:v>
      </x:c>
      <x:c r="D5395" s="30" t="str">
        <x:v>候选输入schema</x:v>
      </x:c>
      <x:c r="E5395" s="30" t="str">
        <x:v>按执行角色权限读取；策略只能使用可访问快照</x:v>
      </x:c>
    </x:row>
    <x:row r="5396" ht="32" customHeight="1">
      <x:c r="A5396" s="30" t="str">
        <x:v>A061</x:v>
      </x:c>
      <x:c r="B5396" s="30" t="str">
        <x:v>F342</x:v>
      </x:c>
      <x:c r="C5396" s="30" t="str">
        <x:v>job.memory_request_bytes</x:v>
      </x:c>
      <x:c r="D5396" s="30" t="str">
        <x:v>候选输入schema</x:v>
      </x:c>
      <x:c r="E5396" s="30" t="str">
        <x:v>按执行角色权限读取；策略只能使用可访问快照</x:v>
      </x:c>
    </x:row>
    <x:row r="5397" ht="32" customHeight="1">
      <x:c r="A5397" s="30" t="str">
        <x:v>A061</x:v>
      </x:c>
      <x:c r="B5397" s="30" t="str">
        <x:v>F343</x:v>
      </x:c>
      <x:c r="C5397" s="30" t="str">
        <x:v>job.prefill_s</x:v>
      </x:c>
      <x:c r="D5397" s="30" t="str">
        <x:v>候选输入schema</x:v>
      </x:c>
      <x:c r="E5397" s="30" t="str">
        <x:v>按执行角色权限读取；策略只能使用可访问快照</x:v>
      </x:c>
    </x:row>
    <x:row r="5398" ht="32" customHeight="1">
      <x:c r="A5398" s="30" t="str">
        <x:v>A061</x:v>
      </x:c>
      <x:c r="B5398" s="30" t="str">
        <x:v>F344</x:v>
      </x:c>
      <x:c r="C5398" s="30" t="str">
        <x:v>job.decode_s</x:v>
      </x:c>
      <x:c r="D5398" s="30" t="str">
        <x:v>候选输入schema</x:v>
      </x:c>
      <x:c r="E5398" s="30" t="str">
        <x:v>按执行角色权限读取；策略只能使用可访问快照</x:v>
      </x:c>
    </x:row>
    <x:row r="5399" ht="32" customHeight="1">
      <x:c r="A5399" s="30" t="str">
        <x:v>A061</x:v>
      </x:c>
      <x:c r="B5399" s="30" t="str">
        <x:v>F345</x:v>
      </x:c>
      <x:c r="C5399" s="30" t="str">
        <x:v>job.wall_time_s</x:v>
      </x:c>
      <x:c r="D5399" s="30" t="str">
        <x:v>候选输入schema</x:v>
      </x:c>
      <x:c r="E5399" s="30" t="str">
        <x:v>按执行角色权限读取；策略只能使用可访问快照</x:v>
      </x:c>
    </x:row>
    <x:row r="5400" ht="32" customHeight="1">
      <x:c r="A5400" s="30" t="str">
        <x:v>A061</x:v>
      </x:c>
      <x:c r="B5400" s="30" t="str">
        <x:v>F346</x:v>
      </x:c>
      <x:c r="C5400" s="30" t="str">
        <x:v>job.result_ref</x:v>
      </x:c>
      <x:c r="D5400" s="30" t="str">
        <x:v>候选输入schema</x:v>
      </x:c>
      <x:c r="E5400" s="30" t="str">
        <x:v>按执行角色权限读取；策略只能使用可访问快照</x:v>
      </x:c>
    </x:row>
    <x:row r="5401" ht="32" customHeight="1">
      <x:c r="A5401" s="30" t="str">
        <x:v>A061</x:v>
      </x:c>
      <x:c r="B5401" s="30" t="str">
        <x:v>F347</x:v>
      </x:c>
      <x:c r="C5401" s="30" t="str">
        <x:v>job.checkpoint_ref</x:v>
      </x:c>
      <x:c r="D5401" s="30" t="str">
        <x:v>候选输入schema</x:v>
      </x:c>
      <x:c r="E5401" s="30" t="str">
        <x:v>按执行角色权限读取；策略只能使用可访问快照</x:v>
      </x:c>
    </x:row>
    <x:row r="5402" ht="32" customHeight="1">
      <x:c r="A5402" s="30" t="str">
        <x:v>A061</x:v>
      </x:c>
      <x:c r="B5402" s="30" t="str">
        <x:v>F348</x:v>
      </x:c>
      <x:c r="C5402" s="30" t="str">
        <x:v>job.failure_reason</x:v>
      </x:c>
      <x:c r="D5402" s="30" t="str">
        <x:v>候选输入schema</x:v>
      </x:c>
      <x:c r="E5402" s="30" t="str">
        <x:v>按执行角色权限读取；策略只能使用可访问快照</x:v>
      </x:c>
    </x:row>
    <x:row r="5403" ht="32" customHeight="1">
      <x:c r="A5403" s="30" t="str">
        <x:v>A061</x:v>
      </x:c>
      <x:c r="B5403" s="30" t="str">
        <x:v>F110</x:v>
      </x:c>
      <x:c r="C5403" s="30" t="str">
        <x:v>platform.health_state</x:v>
      </x:c>
      <x:c r="D5403" s="30" t="str">
        <x:v>直接效果</x:v>
      </x:c>
      <x:c r="E5403" s="30" t="str">
        <x:v>经实际执行/回执提交；不是规划时提前修改</x:v>
      </x:c>
    </x:row>
    <x:row r="5404" ht="32" customHeight="1">
      <x:c r="A5404" s="30" t="str">
        <x:v>A061</x:v>
      </x:c>
      <x:c r="B5404" s="30" t="str">
        <x:v>F118</x:v>
      </x:c>
      <x:c r="C5404" s="30" t="str">
        <x:v>equipment.health</x:v>
      </x:c>
      <x:c r="D5404" s="30" t="str">
        <x:v>直接效果</x:v>
      </x:c>
      <x:c r="E5404" s="30" t="str">
        <x:v>经实际执行/回执提交；不是规划时提前修改</x:v>
      </x:c>
    </x:row>
    <x:row r="5405" ht="32" customHeight="1">
      <x:c r="A5405" s="30" t="str">
        <x:v>A061</x:v>
      </x:c>
      <x:c r="B5405" s="30" t="str">
        <x:v>F158</x:v>
      </x:c>
      <x:c r="C5405" s="30" t="str">
        <x:v>sensor.health</x:v>
      </x:c>
      <x:c r="D5405" s="30" t="str">
        <x:v>直接效果</x:v>
      </x:c>
      <x:c r="E5405" s="30" t="str">
        <x:v>经实际执行/回执提交；不是规划时提前修改</x:v>
      </x:c>
    </x:row>
    <x:row r="5406" ht="32" customHeight="1">
      <x:c r="A5406" s="30" t="str">
        <x:v>A061</x:v>
      </x:c>
      <x:c r="B5406" s="30" t="str">
        <x:v>F304</x:v>
      </x:c>
      <x:c r="C5406" s="30" t="str">
        <x:v>compute.availability</x:v>
      </x:c>
      <x:c r="D5406" s="30" t="str">
        <x:v>直接效果</x:v>
      </x:c>
      <x:c r="E5406" s="30" t="str">
        <x:v>经实际执行/回执提交；不是规划时提前修改</x:v>
      </x:c>
    </x:row>
    <x:row r="5407" ht="32" customHeight="1">
      <x:c r="A5407" s="30" t="str">
        <x:v>A062</x:v>
      </x:c>
      <x:c r="B5407" s="30" t="str">
        <x:v>F010</x:v>
      </x:c>
      <x:c r="C5407" s="30" t="str">
        <x:v>hazard.kind</x:v>
      </x:c>
      <x:c r="D5407" s="30" t="str">
        <x:v>候选输入schema</x:v>
      </x:c>
      <x:c r="E5407" s="30" t="str">
        <x:v>按执行角色权限读取；策略只能使用可访问快照</x:v>
      </x:c>
    </x:row>
    <x:row r="5408" ht="32" customHeight="1">
      <x:c r="A5408" s="30" t="str">
        <x:v>A062</x:v>
      </x:c>
      <x:c r="B5408" s="30" t="str">
        <x:v>F011</x:v>
      </x:c>
      <x:c r="C5408" s="30" t="str">
        <x:v>hazard.footprint</x:v>
      </x:c>
      <x:c r="D5408" s="30" t="str">
        <x:v>候选输入schema</x:v>
      </x:c>
      <x:c r="E5408" s="30" t="str">
        <x:v>按执行角色权限读取；策略只能使用可访问快照</x:v>
      </x:c>
    </x:row>
    <x:row r="5409" ht="32" customHeight="1">
      <x:c r="A5409" s="30" t="str">
        <x:v>A062</x:v>
      </x:c>
      <x:c r="B5409" s="30" t="str">
        <x:v>F012</x:v>
      </x:c>
      <x:c r="C5409" s="30" t="str">
        <x:v>hazard.intensity</x:v>
      </x:c>
      <x:c r="D5409" s="30" t="str">
        <x:v>候选输入schema</x:v>
      </x:c>
      <x:c r="E5409" s="30" t="str">
        <x:v>按执行角色权限读取；策略只能使用可访问快照</x:v>
      </x:c>
    </x:row>
    <x:row r="5410" ht="32" customHeight="1">
      <x:c r="A5410" s="30" t="str">
        <x:v>A062</x:v>
      </x:c>
      <x:c r="B5410" s="30" t="str">
        <x:v>F013</x:v>
      </x:c>
      <x:c r="C5410" s="30" t="str">
        <x:v>hazard.active</x:v>
      </x:c>
      <x:c r="D5410" s="30" t="str">
        <x:v>候选输入schema</x:v>
      </x:c>
      <x:c r="E5410" s="30" t="str">
        <x:v>按执行角色权限读取；策略只能使用可访问快照</x:v>
      </x:c>
    </x:row>
    <x:row r="5411" ht="32" customHeight="1">
      <x:c r="A5411" s="30" t="str">
        <x:v>A062</x:v>
      </x:c>
      <x:c r="B5411" s="30" t="str">
        <x:v>F014</x:v>
      </x:c>
      <x:c r="C5411" s="30" t="str">
        <x:v>hazard.water_depth_m</x:v>
      </x:c>
      <x:c r="D5411" s="30" t="str">
        <x:v>候选输入schema</x:v>
      </x:c>
      <x:c r="E5411" s="30" t="str">
        <x:v>按执行角色权限读取；策略只能使用可访问快照</x:v>
      </x:c>
    </x:row>
    <x:row r="5412" ht="32" customHeight="1">
      <x:c r="A5412" s="30" t="str">
        <x:v>A062</x:v>
      </x:c>
      <x:c r="B5412" s="30" t="str">
        <x:v>F015</x:v>
      </x:c>
      <x:c r="C5412" s="30" t="str">
        <x:v>hazard.flow_speed_mps</x:v>
      </x:c>
      <x:c r="D5412" s="30" t="str">
        <x:v>候选输入schema</x:v>
      </x:c>
      <x:c r="E5412" s="30" t="str">
        <x:v>按执行角色权限读取；策略只能使用可访问快照</x:v>
      </x:c>
    </x:row>
    <x:row r="5413" ht="32" customHeight="1">
      <x:c r="A5413" s="30" t="str">
        <x:v>A062</x:v>
      </x:c>
      <x:c r="B5413" s="30" t="str">
        <x:v>F016</x:v>
      </x:c>
      <x:c r="C5413" s="30" t="str">
        <x:v>hazard.smoke_density</x:v>
      </x:c>
      <x:c r="D5413" s="30" t="str">
        <x:v>候选输入schema</x:v>
      </x:c>
      <x:c r="E5413" s="30" t="str">
        <x:v>按执行角色权限读取；策略只能使用可访问快照</x:v>
      </x:c>
    </x:row>
    <x:row r="5414" ht="32" customHeight="1">
      <x:c r="A5414" s="30" t="str">
        <x:v>A062</x:v>
      </x:c>
      <x:c r="B5414" s="30" t="str">
        <x:v>F017</x:v>
      </x:c>
      <x:c r="C5414" s="30" t="str">
        <x:v>hazard.fire_intensity</x:v>
      </x:c>
      <x:c r="D5414" s="30" t="str">
        <x:v>候选输入schema</x:v>
      </x:c>
      <x:c r="E5414" s="30" t="str">
        <x:v>按执行角色权限读取；策略只能使用可访问快照</x:v>
      </x:c>
    </x:row>
    <x:row r="5415" ht="32" customHeight="1">
      <x:c r="A5415" s="30" t="str">
        <x:v>A062</x:v>
      </x:c>
      <x:c r="B5415" s="30" t="str">
        <x:v>F018</x:v>
      </x:c>
      <x:c r="C5415" s="30" t="str">
        <x:v>hazard.gas_level</x:v>
      </x:c>
      <x:c r="D5415" s="30" t="str">
        <x:v>候选输入schema</x:v>
      </x:c>
      <x:c r="E5415" s="30" t="str">
        <x:v>按执行角色权限读取；策略只能使用可访问快照</x:v>
      </x:c>
    </x:row>
    <x:row r="5416" ht="32" customHeight="1">
      <x:c r="A5416" s="30" t="str">
        <x:v>A062</x:v>
      </x:c>
      <x:c r="B5416" s="30" t="str">
        <x:v>F019</x:v>
      </x:c>
      <x:c r="C5416" s="30" t="str">
        <x:v>hazard.wind_mps</x:v>
      </x:c>
      <x:c r="D5416" s="30" t="str">
        <x:v>候选输入schema</x:v>
      </x:c>
      <x:c r="E5416" s="30" t="str">
        <x:v>按执行角色权限读取；策略只能使用可访问快照</x:v>
      </x:c>
    </x:row>
    <x:row r="5417" ht="32" customHeight="1">
      <x:c r="A5417" s="30" t="str">
        <x:v>A062</x:v>
      </x:c>
      <x:c r="B5417" s="30" t="str">
        <x:v>F020</x:v>
      </x:c>
      <x:c r="C5417" s="30" t="str">
        <x:v>hazard.visibility_m</x:v>
      </x:c>
      <x:c r="D5417" s="30" t="str">
        <x:v>候选输入schema</x:v>
      </x:c>
      <x:c r="E5417" s="30" t="str">
        <x:v>按执行角色权限读取；策略只能使用可访问快照</x:v>
      </x:c>
    </x:row>
    <x:row r="5418" ht="32" customHeight="1">
      <x:c r="A5418" s="30" t="str">
        <x:v>A062</x:v>
      </x:c>
      <x:c r="B5418" s="30" t="str">
        <x:v>F021</x:v>
      </x:c>
      <x:c r="C5418" s="30" t="str">
        <x:v>hazard.weather</x:v>
      </x:c>
      <x:c r="D5418" s="30" t="str">
        <x:v>候选输入schema</x:v>
      </x:c>
      <x:c r="E5418" s="30" t="str">
        <x:v>按执行角色权限读取；策略只能使用可访问快照</x:v>
      </x:c>
    </x:row>
    <x:row r="5419" ht="32" customHeight="1">
      <x:c r="A5419" s="30" t="str">
        <x:v>A062</x:v>
      </x:c>
      <x:c r="B5419" s="30" t="str">
        <x:v>F022</x:v>
      </x:c>
      <x:c r="C5419" s="30" t="str">
        <x:v>hazard.illumination</x:v>
      </x:c>
      <x:c r="D5419" s="30" t="str">
        <x:v>候选输入schema</x:v>
      </x:c>
      <x:c r="E5419" s="30" t="str">
        <x:v>按执行角色权限读取；策略只能使用可访问快照</x:v>
      </x:c>
    </x:row>
    <x:row r="5420" ht="32" customHeight="1">
      <x:c r="A5420" s="30" t="str">
        <x:v>A062</x:v>
      </x:c>
      <x:c r="B5420" s="30" t="str">
        <x:v>F023</x:v>
      </x:c>
      <x:c r="C5420" s="30" t="str">
        <x:v>hazard.secondary_event</x:v>
      </x:c>
      <x:c r="D5420" s="30" t="str">
        <x:v>候选输入schema</x:v>
      </x:c>
      <x:c r="E5420" s="30" t="str">
        <x:v>按执行角色权限读取；策略只能使用可访问快照</x:v>
      </x:c>
    </x:row>
    <x:row r="5421" ht="32" customHeight="1">
      <x:c r="A5421" s="30" t="str">
        <x:v>A062</x:v>
      </x:c>
      <x:c r="B5421" s="30" t="str">
        <x:v>F024</x:v>
      </x:c>
      <x:c r="C5421" s="30" t="str">
        <x:v>hazard.exclusion_zone</x:v>
      </x:c>
      <x:c r="D5421" s="30" t="str">
        <x:v>候选输入schema</x:v>
      </x:c>
      <x:c r="E5421" s="30" t="str">
        <x:v>按执行角色权限读取；策略只能使用可访问快照</x:v>
      </x:c>
    </x:row>
    <x:row r="5422" ht="32" customHeight="1">
      <x:c r="A5422" s="30" t="str">
        <x:v>A062</x:v>
      </x:c>
      <x:c r="B5422" s="30" t="str">
        <x:v>F025</x:v>
      </x:c>
      <x:c r="C5422" s="30" t="str">
        <x:v>hazard.expiry_s</x:v>
      </x:c>
      <x:c r="D5422" s="30" t="str">
        <x:v>候选输入schema</x:v>
      </x:c>
      <x:c r="E5422" s="30" t="str">
        <x:v>按执行角色权限读取；策略只能使用可访问快照</x:v>
      </x:c>
    </x:row>
    <x:row r="5423" ht="32" customHeight="1">
      <x:c r="A5423" s="30" t="str">
        <x:v>A062</x:v>
      </x:c>
      <x:c r="B5423" s="30" t="str">
        <x:v>F095</x:v>
      </x:c>
      <x:c r="C5423" s="30" t="str">
        <x:v>platform.kind</x:v>
      </x:c>
      <x:c r="D5423" s="30" t="str">
        <x:v>候选输入schema</x:v>
      </x:c>
      <x:c r="E5423" s="30" t="str">
        <x:v>按执行角色权限读取；策略只能使用可访问快照</x:v>
      </x:c>
    </x:row>
    <x:row r="5424" ht="32" customHeight="1">
      <x:c r="A5424" s="30" t="str">
        <x:v>A062</x:v>
      </x:c>
      <x:c r="B5424" s="30" t="str">
        <x:v>F096</x:v>
      </x:c>
      <x:c r="C5424" s="30" t="str">
        <x:v>platform.capability_ids</x:v>
      </x:c>
      <x:c r="D5424" s="30" t="str">
        <x:v>候选输入schema</x:v>
      </x:c>
      <x:c r="E5424" s="30" t="str">
        <x:v>按执行角色权限读取；策略只能使用可访问快照</x:v>
      </x:c>
    </x:row>
    <x:row r="5425" ht="32" customHeight="1">
      <x:c r="A5425" s="30" t="str">
        <x:v>A062</x:v>
      </x:c>
      <x:c r="B5425" s="30" t="str">
        <x:v>F097</x:v>
      </x:c>
      <x:c r="C5425" s="30" t="str">
        <x:v>platform.equipment_ids</x:v>
      </x:c>
      <x:c r="D5425" s="30" t="str">
        <x:v>候选输入schema</x:v>
      </x:c>
      <x:c r="E5425" s="30" t="str">
        <x:v>按执行角色权限读取；策略只能使用可访问快照</x:v>
      </x:c>
    </x:row>
    <x:row r="5426" ht="32" customHeight="1">
      <x:c r="A5426" s="30" t="str">
        <x:v>A062</x:v>
      </x:c>
      <x:c r="B5426" s="30" t="str">
        <x:v>F098</x:v>
      </x:c>
      <x:c r="C5426" s="30" t="str">
        <x:v>platform.width_m</x:v>
      </x:c>
      <x:c r="D5426" s="30" t="str">
        <x:v>候选输入schema</x:v>
      </x:c>
      <x:c r="E5426" s="30" t="str">
        <x:v>按执行角色权限读取；策略只能使用可访问快照</x:v>
      </x:c>
    </x:row>
    <x:row r="5427" ht="32" customHeight="1">
      <x:c r="A5427" s="30" t="str">
        <x:v>A062</x:v>
      </x:c>
      <x:c r="B5427" s="30" t="str">
        <x:v>F099</x:v>
      </x:c>
      <x:c r="C5427" s="30" t="str">
        <x:v>platform.height_m</x:v>
      </x:c>
      <x:c r="D5427" s="30" t="str">
        <x:v>候选输入schema</x:v>
      </x:c>
      <x:c r="E5427" s="30" t="str">
        <x:v>按执行角色权限读取；策略只能使用可访问快照</x:v>
      </x:c>
    </x:row>
    <x:row r="5428" ht="32" customHeight="1">
      <x:c r="A5428" s="30" t="str">
        <x:v>A062</x:v>
      </x:c>
      <x:c r="B5428" s="30" t="str">
        <x:v>F100</x:v>
      </x:c>
      <x:c r="C5428" s="30" t="str">
        <x:v>platform.swept_radius_m</x:v>
      </x:c>
      <x:c r="D5428" s="30" t="str">
        <x:v>候选输入schema</x:v>
      </x:c>
      <x:c r="E5428" s="30" t="str">
        <x:v>按执行角色权限读取；策略只能使用可访问快照</x:v>
      </x:c>
    </x:row>
    <x:row r="5429" ht="32" customHeight="1">
      <x:c r="A5429" s="30" t="str">
        <x:v>A062</x:v>
      </x:c>
      <x:c r="B5429" s="30" t="str">
        <x:v>F101</x:v>
      </x:c>
      <x:c r="C5429" s="30" t="str">
        <x:v>platform.payload_capacity_kg</x:v>
      </x:c>
      <x:c r="D5429" s="30" t="str">
        <x:v>候选输入schema</x:v>
      </x:c>
      <x:c r="E5429" s="30" t="str">
        <x:v>按执行角色权限读取；策略只能使用可访问快照</x:v>
      </x:c>
    </x:row>
    <x:row r="5430" ht="32" customHeight="1">
      <x:c r="A5430" s="30" t="str">
        <x:v>A062</x:v>
      </x:c>
      <x:c r="B5430" s="30" t="str">
        <x:v>F102</x:v>
      </x:c>
      <x:c r="C5430" s="30" t="str">
        <x:v>platform.payload_used_kg</x:v>
      </x:c>
      <x:c r="D5430" s="30" t="str">
        <x:v>候选输入schema</x:v>
      </x:c>
      <x:c r="E5430" s="30" t="str">
        <x:v>按执行角色权限读取；策略只能使用可访问快照</x:v>
      </x:c>
    </x:row>
    <x:row r="5431" ht="32" customHeight="1">
      <x:c r="A5431" s="30" t="str">
        <x:v>A062</x:v>
      </x:c>
      <x:c r="B5431" s="30" t="str">
        <x:v>F103</x:v>
      </x:c>
      <x:c r="C5431" s="30" t="str">
        <x:v>platform.payload_item_ids</x:v>
      </x:c>
      <x:c r="D5431" s="30" t="str">
        <x:v>候选输入schema</x:v>
      </x:c>
      <x:c r="E5431" s="30" t="str">
        <x:v>按执行角色权限读取；策略只能使用可访问快照</x:v>
      </x:c>
    </x:row>
    <x:row r="5432" ht="32" customHeight="1">
      <x:c r="A5432" s="30" t="str">
        <x:v>A062</x:v>
      </x:c>
      <x:c r="B5432" s="30" t="str">
        <x:v>F104</x:v>
      </x:c>
      <x:c r="C5432" s="30" t="str">
        <x:v>platform.battery_capacity_Wh</x:v>
      </x:c>
      <x:c r="D5432" s="30" t="str">
        <x:v>候选输入schema</x:v>
      </x:c>
      <x:c r="E5432" s="30" t="str">
        <x:v>按执行角色权限读取；策略只能使用可访问快照</x:v>
      </x:c>
    </x:row>
    <x:row r="5433" ht="32" customHeight="1">
      <x:c r="A5433" s="30" t="str">
        <x:v>A062</x:v>
      </x:c>
      <x:c r="B5433" s="30" t="str">
        <x:v>F105</x:v>
      </x:c>
      <x:c r="C5433" s="30" t="str">
        <x:v>platform.battery_remaining_Wh</x:v>
      </x:c>
      <x:c r="D5433" s="30" t="str">
        <x:v>候选输入schema</x:v>
      </x:c>
      <x:c r="E5433" s="30" t="str">
        <x:v>按执行角色权限读取；策略只能使用可访问快照</x:v>
      </x:c>
    </x:row>
    <x:row r="5434" ht="32" customHeight="1">
      <x:c r="A5434" s="30" t="str">
        <x:v>A062</x:v>
      </x:c>
      <x:c r="B5434" s="30" t="str">
        <x:v>F106</x:v>
      </x:c>
      <x:c r="C5434" s="30" t="str">
        <x:v>platform.reserve_Wh</x:v>
      </x:c>
      <x:c r="D5434" s="30" t="str">
        <x:v>候选输入schema</x:v>
      </x:c>
      <x:c r="E5434" s="30" t="str">
        <x:v>按执行角色权限读取；策略只能使用可访问快照</x:v>
      </x:c>
    </x:row>
    <x:row r="5435" ht="32" customHeight="1">
      <x:c r="A5435" s="30" t="str">
        <x:v>A062</x:v>
      </x:c>
      <x:c r="B5435" s="30" t="str">
        <x:v>F107</x:v>
      </x:c>
      <x:c r="C5435" s="30" t="str">
        <x:v>platform.speed_limit_mps</x:v>
      </x:c>
      <x:c r="D5435" s="30" t="str">
        <x:v>候选输入schema</x:v>
      </x:c>
      <x:c r="E5435" s="30" t="str">
        <x:v>按执行角色权限读取；策略只能使用可访问快照</x:v>
      </x:c>
    </x:row>
    <x:row r="5436" ht="32" customHeight="1">
      <x:c r="A5436" s="30" t="str">
        <x:v>A062</x:v>
      </x:c>
      <x:c r="B5436" s="30" t="str">
        <x:v>F108</x:v>
      </x:c>
      <x:c r="C5436" s="30" t="str">
        <x:v>platform.energy_model</x:v>
      </x:c>
      <x:c r="D5436" s="30" t="str">
        <x:v>候选输入schema</x:v>
      </x:c>
      <x:c r="E5436" s="30" t="str">
        <x:v>按执行角色权限读取；策略只能使用可访问快照</x:v>
      </x:c>
    </x:row>
    <x:row r="5437" ht="32" customHeight="1">
      <x:c r="A5437" s="30" t="str">
        <x:v>A062</x:v>
      </x:c>
      <x:c r="B5437" s="30" t="str">
        <x:v>F109</x:v>
      </x:c>
      <x:c r="C5437" s="30" t="str">
        <x:v>platform.motion_state</x:v>
      </x:c>
      <x:c r="D5437" s="30" t="str">
        <x:v>候选输入schema</x:v>
      </x:c>
      <x:c r="E5437" s="30" t="str">
        <x:v>按执行角色权限读取；策略只能使用可访问快照</x:v>
      </x:c>
    </x:row>
    <x:row r="5438" ht="32" customHeight="1">
      <x:c r="A5438" s="30" t="str">
        <x:v>A062</x:v>
      </x:c>
      <x:c r="B5438" s="30" t="str">
        <x:v>F110</x:v>
      </x:c>
      <x:c r="C5438" s="30" t="str">
        <x:v>platform.health_state</x:v>
      </x:c>
      <x:c r="D5438" s="30" t="str">
        <x:v>候选输入schema</x:v>
      </x:c>
      <x:c r="E5438" s="30" t="str">
        <x:v>按执行角色权限读取；策略只能使用可访问快照</x:v>
      </x:c>
    </x:row>
    <x:row r="5439" ht="32" customHeight="1">
      <x:c r="A5439" s="30" t="str">
        <x:v>A062</x:v>
      </x:c>
      <x:c r="B5439" s="30" t="str">
        <x:v>F111</x:v>
      </x:c>
      <x:c r="C5439" s="30" t="str">
        <x:v>platform.current_action_id</x:v>
      </x:c>
      <x:c r="D5439" s="30" t="str">
        <x:v>候选输入schema</x:v>
      </x:c>
      <x:c r="E5439" s="30" t="str">
        <x:v>按执行角色权限读取；策略只能使用可访问快照</x:v>
      </x:c>
    </x:row>
    <x:row r="5440" ht="32" customHeight="1">
      <x:c r="A5440" s="30" t="str">
        <x:v>A062</x:v>
      </x:c>
      <x:c r="B5440" s="30" t="str">
        <x:v>F112</x:v>
      </x:c>
      <x:c r="C5440" s="30" t="str">
        <x:v>platform.busy_until_est_s</x:v>
      </x:c>
      <x:c r="D5440" s="30" t="str">
        <x:v>候选输入schema</x:v>
      </x:c>
      <x:c r="E5440" s="30" t="str">
        <x:v>按执行角色权限读取；策略只能使用可访问快照</x:v>
      </x:c>
    </x:row>
    <x:row r="5441" ht="32" customHeight="1">
      <x:c r="A5441" s="30" t="str">
        <x:v>A062</x:v>
      </x:c>
      <x:c r="B5441" s="30" t="str">
        <x:v>F113</x:v>
      </x:c>
      <x:c r="C5441" s="30" t="str">
        <x:v>platform.return_site_id</x:v>
      </x:c>
      <x:c r="D5441" s="30" t="str">
        <x:v>候选输入schema</x:v>
      </x:c>
      <x:c r="E5441" s="30" t="str">
        <x:v>按执行角色权限读取；策略只能使用可访问快照</x:v>
      </x:c>
    </x:row>
    <x:row r="5442" ht="32" customHeight="1">
      <x:c r="A5442" s="30" t="str">
        <x:v>A062</x:v>
      </x:c>
      <x:c r="B5442" s="30" t="str">
        <x:v>F114</x:v>
      </x:c>
      <x:c r="C5442" s="30" t="str">
        <x:v>platform.water_tolerance_m</x:v>
      </x:c>
      <x:c r="D5442" s="30" t="str">
        <x:v>候选输入schema</x:v>
      </x:c>
      <x:c r="E5442" s="30" t="str">
        <x:v>按执行角色权限读取；策略只能使用可访问快照</x:v>
      </x:c>
    </x:row>
    <x:row r="5443" ht="32" customHeight="1">
      <x:c r="A5443" s="30" t="str">
        <x:v>A062</x:v>
      </x:c>
      <x:c r="B5443" s="30" t="str">
        <x:v>F115</x:v>
      </x:c>
      <x:c r="C5443" s="30" t="str">
        <x:v>platform.concurrency_policy</x:v>
      </x:c>
      <x:c r="D5443" s="30" t="str">
        <x:v>候选输入schema</x:v>
      </x:c>
      <x:c r="E5443" s="30" t="str">
        <x:v>按执行角色权限读取；策略只能使用可访问快照</x:v>
      </x:c>
    </x:row>
    <x:row r="5444" ht="32" customHeight="1">
      <x:c r="A5444" s="30" t="str">
        <x:v>A062</x:v>
      </x:c>
      <x:c r="B5444" s="30" t="str">
        <x:v>F116</x:v>
      </x:c>
      <x:c r="C5444" s="30" t="str">
        <x:v>equipment.kind</x:v>
      </x:c>
      <x:c r="D5444" s="30" t="str">
        <x:v>候选输入schema</x:v>
      </x:c>
      <x:c r="E5444" s="30" t="str">
        <x:v>按执行角色权限读取；策略只能使用可访问快照</x:v>
      </x:c>
    </x:row>
    <x:row r="5445" ht="32" customHeight="1">
      <x:c r="A5445" s="30" t="str">
        <x:v>A062</x:v>
      </x:c>
      <x:c r="B5445" s="30" t="str">
        <x:v>F117</x:v>
      </x:c>
      <x:c r="C5445" s="30" t="str">
        <x:v>equipment.enabled</x:v>
      </x:c>
      <x:c r="D5445" s="30" t="str">
        <x:v>候选输入schema</x:v>
      </x:c>
      <x:c r="E5445" s="30" t="str">
        <x:v>按执行角色权限读取；策略只能使用可访问快照</x:v>
      </x:c>
    </x:row>
    <x:row r="5446" ht="32" customHeight="1">
      <x:c r="A5446" s="30" t="str">
        <x:v>A062</x:v>
      </x:c>
      <x:c r="B5446" s="30" t="str">
        <x:v>F118</x:v>
      </x:c>
      <x:c r="C5446" s="30" t="str">
        <x:v>equipment.health</x:v>
      </x:c>
      <x:c r="D5446" s="30" t="str">
        <x:v>候选输入schema</x:v>
      </x:c>
      <x:c r="E5446" s="30" t="str">
        <x:v>按执行角色权限读取；策略只能使用可访问快照</x:v>
      </x:c>
    </x:row>
    <x:row r="5447" ht="32" customHeight="1">
      <x:c r="A5447" s="30" t="str">
        <x:v>A062</x:v>
      </x:c>
      <x:c r="B5447" s="30" t="str">
        <x:v>F119</x:v>
      </x:c>
      <x:c r="C5447" s="30" t="str">
        <x:v>equipment.rated_load_kg</x:v>
      </x:c>
      <x:c r="D5447" s="30" t="str">
        <x:v>候选输入schema</x:v>
      </x:c>
      <x:c r="E5447" s="30" t="str">
        <x:v>按执行角色权限读取；策略只能使用可访问快照</x:v>
      </x:c>
    </x:row>
    <x:row r="5448" ht="32" customHeight="1">
      <x:c r="A5448" s="30" t="str">
        <x:v>A062</x:v>
      </x:c>
      <x:c r="B5448" s="30" t="str">
        <x:v>F120</x:v>
      </x:c>
      <x:c r="C5448" s="30" t="str">
        <x:v>equipment.reach_m</x:v>
      </x:c>
      <x:c r="D5448" s="30" t="str">
        <x:v>候选输入schema</x:v>
      </x:c>
      <x:c r="E5448" s="30" t="str">
        <x:v>按执行角色权限读取；策略只能使用可访问快照</x:v>
      </x:c>
    </x:row>
    <x:row r="5449" ht="32" customHeight="1">
      <x:c r="A5449" s="30" t="str">
        <x:v>A062</x:v>
      </x:c>
      <x:c r="B5449" s="30" t="str">
        <x:v>F121</x:v>
      </x:c>
      <x:c r="C5449" s="30" t="str">
        <x:v>equipment.compatible_materials</x:v>
      </x:c>
      <x:c r="D5449" s="30" t="str">
        <x:v>候选输入schema</x:v>
      </x:c>
      <x:c r="E5449" s="30" t="str">
        <x:v>按执行角色权限读取；策略只能使用可访问快照</x:v>
      </x:c>
    </x:row>
    <x:row r="5450" ht="32" customHeight="1">
      <x:c r="A5450" s="30" t="str">
        <x:v>A062</x:v>
      </x:c>
      <x:c r="B5450" s="30" t="str">
        <x:v>F122</x:v>
      </x:c>
      <x:c r="C5450" s="30" t="str">
        <x:v>equipment.tool_size</x:v>
      </x:c>
      <x:c r="D5450" s="30" t="str">
        <x:v>候选输入schema</x:v>
      </x:c>
      <x:c r="E5450" s="30" t="str">
        <x:v>按执行角色权限读取；策略只能使用可访问快照</x:v>
      </x:c>
    </x:row>
    <x:row r="5451" ht="32" customHeight="1">
      <x:c r="A5451" s="30" t="str">
        <x:v>A062</x:v>
      </x:c>
      <x:c r="B5451" s="30" t="str">
        <x:v>F123</x:v>
      </x:c>
      <x:c r="C5451" s="30" t="str">
        <x:v>equipment.consumable_type</x:v>
      </x:c>
      <x:c r="D5451" s="30" t="str">
        <x:v>候选输入schema</x:v>
      </x:c>
      <x:c r="E5451" s="30" t="str">
        <x:v>按执行角色权限读取；策略只能使用可访问快照</x:v>
      </x:c>
    </x:row>
    <x:row r="5452" ht="32" customHeight="1">
      <x:c r="A5452" s="30" t="str">
        <x:v>A062</x:v>
      </x:c>
      <x:c r="B5452" s="30" t="str">
        <x:v>F124</x:v>
      </x:c>
      <x:c r="C5452" s="30" t="str">
        <x:v>equipment.consumable_remaining</x:v>
      </x:c>
      <x:c r="D5452" s="30" t="str">
        <x:v>候选输入schema</x:v>
      </x:c>
      <x:c r="E5452" s="30" t="str">
        <x:v>按执行角色权限读取；策略只能使用可访问快照</x:v>
      </x:c>
    </x:row>
    <x:row r="5453" ht="32" customHeight="1">
      <x:c r="A5453" s="30" t="str">
        <x:v>A062</x:v>
      </x:c>
      <x:c r="B5453" s="30" t="str">
        <x:v>F125</x:v>
      </x:c>
      <x:c r="C5453" s="30" t="str">
        <x:v>equipment.operator_authority</x:v>
      </x:c>
      <x:c r="D5453" s="30" t="str">
        <x:v>候选输入schema</x:v>
      </x:c>
      <x:c r="E5453" s="30" t="str">
        <x:v>按执行角色权限读取；策略只能使用可访问快照</x:v>
      </x:c>
    </x:row>
    <x:row r="5454" ht="32" customHeight="1">
      <x:c r="A5454" s="30" t="str">
        <x:v>A062</x:v>
      </x:c>
      <x:c r="B5454" s="30" t="str">
        <x:v>F126</x:v>
      </x:c>
      <x:c r="C5454" s="30" t="str">
        <x:v>equipment.setup_state</x:v>
      </x:c>
      <x:c r="D5454" s="30" t="str">
        <x:v>候选输入schema</x:v>
      </x:c>
      <x:c r="E5454" s="30" t="str">
        <x:v>按执行角色权限读取；策略只能使用可访问快照</x:v>
      </x:c>
    </x:row>
    <x:row r="5455" ht="32" customHeight="1">
      <x:c r="A5455" s="30" t="str">
        <x:v>A062</x:v>
      </x:c>
      <x:c r="B5455" s="30" t="str">
        <x:v>F127</x:v>
      </x:c>
      <x:c r="C5455" s="30" t="str">
        <x:v>equipment.busy_action_id</x:v>
      </x:c>
      <x:c r="D5455" s="30" t="str">
        <x:v>候选输入schema</x:v>
      </x:c>
      <x:c r="E5455" s="30" t="str">
        <x:v>按执行角色权限读取；策略只能使用可访问快照</x:v>
      </x:c>
    </x:row>
    <x:row r="5456" ht="32" customHeight="1">
      <x:c r="A5456" s="30" t="str">
        <x:v>A062</x:v>
      </x:c>
      <x:c r="B5456" s="30" t="str">
        <x:v>F141</x:v>
      </x:c>
      <x:c r="C5456" s="30" t="str">
        <x:v>station.kind</x:v>
      </x:c>
      <x:c r="D5456" s="30" t="str">
        <x:v>候选输入schema</x:v>
      </x:c>
      <x:c r="E5456" s="30" t="str">
        <x:v>按执行角色权限读取；策略只能使用可访问快照</x:v>
      </x:c>
    </x:row>
    <x:row r="5457" ht="32" customHeight="1">
      <x:c r="A5457" s="30" t="str">
        <x:v>A062</x:v>
      </x:c>
      <x:c r="B5457" s="30" t="str">
        <x:v>F142</x:v>
      </x:c>
      <x:c r="C5457" s="30" t="str">
        <x:v>station.capacity</x:v>
      </x:c>
      <x:c r="D5457" s="30" t="str">
        <x:v>候选输入schema</x:v>
      </x:c>
      <x:c r="E5457" s="30" t="str">
        <x:v>按执行角色权限读取；策略只能使用可访问快照</x:v>
      </x:c>
    </x:row>
    <x:row r="5458" ht="32" customHeight="1">
      <x:c r="A5458" s="30" t="str">
        <x:v>A062</x:v>
      </x:c>
      <x:c r="B5458" s="30" t="str">
        <x:v>F143</x:v>
      </x:c>
      <x:c r="C5458" s="30" t="str">
        <x:v>station.occupied</x:v>
      </x:c>
      <x:c r="D5458" s="30" t="str">
        <x:v>候选输入schema</x:v>
      </x:c>
      <x:c r="E5458" s="30" t="str">
        <x:v>按执行角色权限读取；策略只能使用可访问快照</x:v>
      </x:c>
    </x:row>
    <x:row r="5459" ht="32" customHeight="1">
      <x:c r="A5459" s="30" t="str">
        <x:v>A062</x:v>
      </x:c>
      <x:c r="B5459" s="30" t="str">
        <x:v>F144</x:v>
      </x:c>
      <x:c r="C5459" s="30" t="str">
        <x:v>station.inventory</x:v>
      </x:c>
      <x:c r="D5459" s="30" t="str">
        <x:v>候选输入schema</x:v>
      </x:c>
      <x:c r="E5459" s="30" t="str">
        <x:v>按执行角色权限读取；策略只能使用可访问快照</x:v>
      </x:c>
    </x:row>
    <x:row r="5460" ht="32" customHeight="1">
      <x:c r="A5460" s="30" t="str">
        <x:v>A062</x:v>
      </x:c>
      <x:c r="B5460" s="30" t="str">
        <x:v>F145</x:v>
      </x:c>
      <x:c r="C5460" s="30" t="str">
        <x:v>station.power_W</x:v>
      </x:c>
      <x:c r="D5460" s="30" t="str">
        <x:v>候选输入schema</x:v>
      </x:c>
      <x:c r="E5460" s="30" t="str">
        <x:v>按执行角色权限读取；策略只能使用可访问快照</x:v>
      </x:c>
    </x:row>
    <x:row r="5461" ht="32" customHeight="1">
      <x:c r="A5461" s="30" t="str">
        <x:v>A062</x:v>
      </x:c>
      <x:c r="B5461" s="30" t="str">
        <x:v>F146</x:v>
      </x:c>
      <x:c r="C5461" s="30" t="str">
        <x:v>station.connector_types</x:v>
      </x:c>
      <x:c r="D5461" s="30" t="str">
        <x:v>候选输入schema</x:v>
      </x:c>
      <x:c r="E5461" s="30" t="str">
        <x:v>按执行角色权限读取；策略只能使用可访问快照</x:v>
      </x:c>
    </x:row>
    <x:row r="5462" ht="32" customHeight="1">
      <x:c r="A5462" s="30" t="str">
        <x:v>A062</x:v>
      </x:c>
      <x:c r="B5462" s="30" t="str">
        <x:v>F147</x:v>
      </x:c>
      <x:c r="C5462" s="30" t="str">
        <x:v>station.queue_ids</x:v>
      </x:c>
      <x:c r="D5462" s="30" t="str">
        <x:v>候选输入schema</x:v>
      </x:c>
      <x:c r="E5462" s="30" t="str">
        <x:v>按执行角色权限读取；策略只能使用可访问快照</x:v>
      </x:c>
    </x:row>
    <x:row r="5463" ht="32" customHeight="1">
      <x:c r="A5463" s="30" t="str">
        <x:v>A062</x:v>
      </x:c>
      <x:c r="B5463" s="30" t="str">
        <x:v>F148</x:v>
      </x:c>
      <x:c r="C5463" s="30" t="str">
        <x:v>station.open_state</x:v>
      </x:c>
      <x:c r="D5463" s="30" t="str">
        <x:v>候选输入schema</x:v>
      </x:c>
      <x:c r="E5463" s="30" t="str">
        <x:v>按执行角色权限读取；策略只能使用可访问快照</x:v>
      </x:c>
    </x:row>
    <x:row r="5464" ht="32" customHeight="1">
      <x:c r="A5464" s="30" t="str">
        <x:v>A062</x:v>
      </x:c>
      <x:c r="B5464" s="30" t="str">
        <x:v>F149</x:v>
      </x:c>
      <x:c r="C5464" s="30" t="str">
        <x:v>station.accepted_need_types</x:v>
      </x:c>
      <x:c r="D5464" s="30" t="str">
        <x:v>候选输入schema</x:v>
      </x:c>
      <x:c r="E5464" s="30" t="str">
        <x:v>按执行角色权限读取；策略只能使用可访问快照</x:v>
      </x:c>
    </x:row>
    <x:row r="5465" ht="32" customHeight="1">
      <x:c r="A5465" s="30" t="str">
        <x:v>A062</x:v>
      </x:c>
      <x:c r="B5465" s="30" t="str">
        <x:v>F150</x:v>
      </x:c>
      <x:c r="C5465" s="30" t="str">
        <x:v>station.access_region</x:v>
      </x:c>
      <x:c r="D5465" s="30" t="str">
        <x:v>候选输入schema</x:v>
      </x:c>
      <x:c r="E5465" s="30" t="str">
        <x:v>按执行角色权限读取；策略只能使用可访问快照</x:v>
      </x:c>
    </x:row>
    <x:row r="5466" ht="32" customHeight="1">
      <x:c r="A5466" s="30" t="str">
        <x:v>A062</x:v>
      </x:c>
      <x:c r="B5466" s="30" t="str">
        <x:v>F230</x:v>
      </x:c>
      <x:c r="C5466" s="30" t="str">
        <x:v>action.type</x:v>
      </x:c>
      <x:c r="D5466" s="30" t="str">
        <x:v>候选输入schema</x:v>
      </x:c>
      <x:c r="E5466" s="30" t="str">
        <x:v>按执行角色权限读取；策略只能使用可访问快照</x:v>
      </x:c>
    </x:row>
    <x:row r="5467" ht="32" customHeight="1">
      <x:c r="A5467" s="30" t="str">
        <x:v>A062</x:v>
      </x:c>
      <x:c r="B5467" s="30" t="str">
        <x:v>F231</x:v>
      </x:c>
      <x:c r="C5467" s="30" t="str">
        <x:v>action.executor_id</x:v>
      </x:c>
      <x:c r="D5467" s="30" t="str">
        <x:v>候选输入schema</x:v>
      </x:c>
      <x:c r="E5467" s="30" t="str">
        <x:v>按执行角色权限读取；策略只能使用可访问快照</x:v>
      </x:c>
    </x:row>
    <x:row r="5468" ht="32" customHeight="1">
      <x:c r="A5468" s="30" t="str">
        <x:v>A062</x:v>
      </x:c>
      <x:c r="B5468" s="30" t="str">
        <x:v>F232</x:v>
      </x:c>
      <x:c r="C5468" s="30" t="str">
        <x:v>action.task_ref</x:v>
      </x:c>
      <x:c r="D5468" s="30" t="str">
        <x:v>候选输入schema</x:v>
      </x:c>
      <x:c r="E5468" s="30" t="str">
        <x:v>按执行角色权限读取；策略只能使用可访问快照</x:v>
      </x:c>
    </x:row>
    <x:row r="5469" ht="32" customHeight="1">
      <x:c r="A5469" s="30" t="str">
        <x:v>A062</x:v>
      </x:c>
      <x:c r="B5469" s="30" t="str">
        <x:v>F233</x:v>
      </x:c>
      <x:c r="C5469" s="30" t="str">
        <x:v>action.target_ref</x:v>
      </x:c>
      <x:c r="D5469" s="30" t="str">
        <x:v>候选输入schema</x:v>
      </x:c>
      <x:c r="E5469" s="30" t="str">
        <x:v>按执行角色权限读取；策略只能使用可访问快照</x:v>
      </x:c>
    </x:row>
    <x:row r="5470" ht="32" customHeight="1">
      <x:c r="A5470" s="30" t="str">
        <x:v>A062</x:v>
      </x:c>
      <x:c r="B5470" s="30" t="str">
        <x:v>F234</x:v>
      </x:c>
      <x:c r="C5470" s="30" t="str">
        <x:v>action.parameters</x:v>
      </x:c>
      <x:c r="D5470" s="30" t="str">
        <x:v>候选输入schema</x:v>
      </x:c>
      <x:c r="E5470" s="30" t="str">
        <x:v>按执行角色权限读取；策略只能使用可访问快照</x:v>
      </x:c>
    </x:row>
    <x:row r="5471" ht="32" customHeight="1">
      <x:c r="A5471" s="30" t="str">
        <x:v>A062</x:v>
      </x:c>
      <x:c r="B5471" s="30" t="str">
        <x:v>F235</x:v>
      </x:c>
      <x:c r="C5471" s="30" t="str">
        <x:v>action.status</x:v>
      </x:c>
      <x:c r="D5471" s="30" t="str">
        <x:v>候选输入schema</x:v>
      </x:c>
      <x:c r="E5471" s="30" t="str">
        <x:v>按执行角色权限读取；策略只能使用可访问快照</x:v>
      </x:c>
    </x:row>
    <x:row r="5472" ht="32" customHeight="1">
      <x:c r="A5472" s="30" t="str">
        <x:v>A062</x:v>
      </x:c>
      <x:c r="B5472" s="30" t="str">
        <x:v>F236</x:v>
      </x:c>
      <x:c r="C5472" s="30" t="str">
        <x:v>action.start_s</x:v>
      </x:c>
      <x:c r="D5472" s="30" t="str">
        <x:v>候选输入schema</x:v>
      </x:c>
      <x:c r="E5472" s="30" t="str">
        <x:v>按执行角色权限读取；策略只能使用可访问快照</x:v>
      </x:c>
    </x:row>
    <x:row r="5473" ht="32" customHeight="1">
      <x:c r="A5473" s="30" t="str">
        <x:v>A062</x:v>
      </x:c>
      <x:c r="B5473" s="30" t="str">
        <x:v>F237</x:v>
      </x:c>
      <x:c r="C5473" s="30" t="str">
        <x:v>action.finish_s</x:v>
      </x:c>
      <x:c r="D5473" s="30" t="str">
        <x:v>候选输入schema</x:v>
      </x:c>
      <x:c r="E5473" s="30" t="str">
        <x:v>按执行角色权限读取；策略只能使用可访问快照</x:v>
      </x:c>
    </x:row>
    <x:row r="5474" ht="32" customHeight="1">
      <x:c r="A5474" s="30" t="str">
        <x:v>A062</x:v>
      </x:c>
      <x:c r="B5474" s="30" t="str">
        <x:v>F238</x:v>
      </x:c>
      <x:c r="C5474" s="30" t="str">
        <x:v>action.reserved_resources</x:v>
      </x:c>
      <x:c r="D5474" s="30" t="str">
        <x:v>候选输入schema</x:v>
      </x:c>
      <x:c r="E5474" s="30" t="str">
        <x:v>按执行角色权限读取；策略只能使用可访问快照</x:v>
      </x:c>
    </x:row>
    <x:row r="5475" ht="32" customHeight="1">
      <x:c r="A5475" s="30" t="str">
        <x:v>A062</x:v>
      </x:c>
      <x:c r="B5475" s="30" t="str">
        <x:v>F239</x:v>
      </x:c>
      <x:c r="C5475" s="30" t="str">
        <x:v>action.consumed_resources</x:v>
      </x:c>
      <x:c r="D5475" s="30" t="str">
        <x:v>候选输入schema</x:v>
      </x:c>
      <x:c r="E5475" s="30" t="str">
        <x:v>按执行角色权限读取；策略只能使用可访问快照</x:v>
      </x:c>
    </x:row>
    <x:row r="5476" ht="32" customHeight="1">
      <x:c r="A5476" s="30" t="str">
        <x:v>A062</x:v>
      </x:c>
      <x:c r="B5476" s="30" t="str">
        <x:v>F240</x:v>
      </x:c>
      <x:c r="C5476" s="30" t="str">
        <x:v>action.feedback</x:v>
      </x:c>
      <x:c r="D5476" s="30" t="str">
        <x:v>候选输入schema</x:v>
      </x:c>
      <x:c r="E5476" s="30" t="str">
        <x:v>按执行角色权限读取；策略只能使用可访问快照</x:v>
      </x:c>
    </x:row>
    <x:row r="5477" ht="32" customHeight="1">
      <x:c r="A5477" s="30" t="str">
        <x:v>A062</x:v>
      </x:c>
      <x:c r="B5477" s="30" t="str">
        <x:v>F241</x:v>
      </x:c>
      <x:c r="C5477" s="30" t="str">
        <x:v>action.result</x:v>
      </x:c>
      <x:c r="D5477" s="30" t="str">
        <x:v>候选输入schema</x:v>
      </x:c>
      <x:c r="E5477" s="30" t="str">
        <x:v>按执行角色权限读取；策略只能使用可访问快照</x:v>
      </x:c>
    </x:row>
    <x:row r="5478" ht="32" customHeight="1">
      <x:c r="A5478" s="30" t="str">
        <x:v>A062</x:v>
      </x:c>
      <x:c r="B5478" s="30" t="str">
        <x:v>F242</x:v>
      </x:c>
      <x:c r="C5478" s="30" t="str">
        <x:v>action.rejection_code</x:v>
      </x:c>
      <x:c r="D5478" s="30" t="str">
        <x:v>候选输入schema</x:v>
      </x:c>
      <x:c r="E5478" s="30" t="str">
        <x:v>按执行角色权限读取；策略只能使用可访问快照</x:v>
      </x:c>
    </x:row>
    <x:row r="5479" ht="32" customHeight="1">
      <x:c r="A5479" s="30" t="str">
        <x:v>A062</x:v>
      </x:c>
      <x:c r="B5479" s="30" t="str">
        <x:v>F243</x:v>
      </x:c>
      <x:c r="C5479" s="30" t="str">
        <x:v>action.failure_code</x:v>
      </x:c>
      <x:c r="D5479" s="30" t="str">
        <x:v>候选输入schema</x:v>
      </x:c>
      <x:c r="E5479" s="30" t="str">
        <x:v>按执行角色权限读取；策略只能使用可访问快照</x:v>
      </x:c>
    </x:row>
    <x:row r="5480" ht="32" customHeight="1">
      <x:c r="A5480" s="30" t="str">
        <x:v>A062</x:v>
      </x:c>
      <x:c r="B5480" s="30" t="str">
        <x:v>F244</x:v>
      </x:c>
      <x:c r="C5480" s="30" t="str">
        <x:v>action.cancel_requested</x:v>
      </x:c>
      <x:c r="D5480" s="30" t="str">
        <x:v>候选输入schema</x:v>
      </x:c>
      <x:c r="E5480" s="30" t="str">
        <x:v>按执行角色权限读取；策略只能使用可访问快照</x:v>
      </x:c>
    </x:row>
    <x:row r="5481" ht="32" customHeight="1">
      <x:c r="A5481" s="30" t="str">
        <x:v>A062</x:v>
      </x:c>
      <x:c r="B5481" s="30" t="str">
        <x:v>F245</x:v>
      </x:c>
      <x:c r="C5481" s="30" t="str">
        <x:v>action.backend_mode</x:v>
      </x:c>
      <x:c r="D5481" s="30" t="str">
        <x:v>候选输入schema</x:v>
      </x:c>
      <x:c r="E5481" s="30" t="str">
        <x:v>按执行角色权限读取；策略只能使用可访问快照</x:v>
      </x:c>
    </x:row>
    <x:row r="5482" ht="32" customHeight="1">
      <x:c r="A5482" s="30" t="str">
        <x:v>A062</x:v>
      </x:c>
      <x:c r="B5482" s="30" t="str">
        <x:v>F017</x:v>
      </x:c>
      <x:c r="C5482" s="30" t="str">
        <x:v>hazard.fire_intensity</x:v>
      </x:c>
      <x:c r="D5482" s="30" t="str">
        <x:v>直接效果</x:v>
      </x:c>
      <x:c r="E5482" s="30" t="str">
        <x:v>经实际执行/回执提交；不是规划时提前修改</x:v>
      </x:c>
    </x:row>
    <x:row r="5483" ht="32" customHeight="1">
      <x:c r="A5483" s="30" t="str">
        <x:v>A062</x:v>
      </x:c>
      <x:c r="B5483" s="30" t="str">
        <x:v>F013</x:v>
      </x:c>
      <x:c r="C5483" s="30" t="str">
        <x:v>hazard.active</x:v>
      </x:c>
      <x:c r="D5483" s="30" t="str">
        <x:v>直接效果</x:v>
      </x:c>
      <x:c r="E5483" s="30" t="str">
        <x:v>经实际执行/回执提交；不是规划时提前修改</x:v>
      </x:c>
    </x:row>
    <x:row r="5484" ht="32" customHeight="1">
      <x:c r="A5484" s="30" t="str">
        <x:v>A062</x:v>
      </x:c>
      <x:c r="B5484" s="30" t="str">
        <x:v>F124</x:v>
      </x:c>
      <x:c r="C5484" s="30" t="str">
        <x:v>equipment.consumable_remaining</x:v>
      </x:c>
      <x:c r="D5484" s="30" t="str">
        <x:v>直接效果</x:v>
      </x:c>
      <x:c r="E5484" s="30" t="str">
        <x:v>经实际执行/回执提交；不是规划时提前修改</x:v>
      </x:c>
    </x:row>
    <x:row r="5485" ht="32" customHeight="1">
      <x:c r="A5485" s="30" t="str">
        <x:v>A063</x:v>
      </x:c>
      <x:c r="B5485" s="30" t="str">
        <x:v>F010</x:v>
      </x:c>
      <x:c r="C5485" s="30" t="str">
        <x:v>hazard.kind</x:v>
      </x:c>
      <x:c r="D5485" s="30" t="str">
        <x:v>候选输入schema</x:v>
      </x:c>
      <x:c r="E5485" s="30" t="str">
        <x:v>按执行角色权限读取；策略只能使用可访问快照</x:v>
      </x:c>
    </x:row>
    <x:row r="5486" ht="32" customHeight="1">
      <x:c r="A5486" s="30" t="str">
        <x:v>A063</x:v>
      </x:c>
      <x:c r="B5486" s="30" t="str">
        <x:v>F011</x:v>
      </x:c>
      <x:c r="C5486" s="30" t="str">
        <x:v>hazard.footprint</x:v>
      </x:c>
      <x:c r="D5486" s="30" t="str">
        <x:v>候选输入schema</x:v>
      </x:c>
      <x:c r="E5486" s="30" t="str">
        <x:v>按执行角色权限读取；策略只能使用可访问快照</x:v>
      </x:c>
    </x:row>
    <x:row r="5487" ht="32" customHeight="1">
      <x:c r="A5487" s="30" t="str">
        <x:v>A063</x:v>
      </x:c>
      <x:c r="B5487" s="30" t="str">
        <x:v>F012</x:v>
      </x:c>
      <x:c r="C5487" s="30" t="str">
        <x:v>hazard.intensity</x:v>
      </x:c>
      <x:c r="D5487" s="30" t="str">
        <x:v>候选输入schema</x:v>
      </x:c>
      <x:c r="E5487" s="30" t="str">
        <x:v>按执行角色权限读取；策略只能使用可访问快照</x:v>
      </x:c>
    </x:row>
    <x:row r="5488" ht="32" customHeight="1">
      <x:c r="A5488" s="30" t="str">
        <x:v>A063</x:v>
      </x:c>
      <x:c r="B5488" s="30" t="str">
        <x:v>F013</x:v>
      </x:c>
      <x:c r="C5488" s="30" t="str">
        <x:v>hazard.active</x:v>
      </x:c>
      <x:c r="D5488" s="30" t="str">
        <x:v>候选输入schema</x:v>
      </x:c>
      <x:c r="E5488" s="30" t="str">
        <x:v>按执行角色权限读取；策略只能使用可访问快照</x:v>
      </x:c>
    </x:row>
    <x:row r="5489" ht="32" customHeight="1">
      <x:c r="A5489" s="30" t="str">
        <x:v>A063</x:v>
      </x:c>
      <x:c r="B5489" s="30" t="str">
        <x:v>F014</x:v>
      </x:c>
      <x:c r="C5489" s="30" t="str">
        <x:v>hazard.water_depth_m</x:v>
      </x:c>
      <x:c r="D5489" s="30" t="str">
        <x:v>候选输入schema</x:v>
      </x:c>
      <x:c r="E5489" s="30" t="str">
        <x:v>按执行角色权限读取；策略只能使用可访问快照</x:v>
      </x:c>
    </x:row>
    <x:row r="5490" ht="32" customHeight="1">
      <x:c r="A5490" s="30" t="str">
        <x:v>A063</x:v>
      </x:c>
      <x:c r="B5490" s="30" t="str">
        <x:v>F015</x:v>
      </x:c>
      <x:c r="C5490" s="30" t="str">
        <x:v>hazard.flow_speed_mps</x:v>
      </x:c>
      <x:c r="D5490" s="30" t="str">
        <x:v>候选输入schema</x:v>
      </x:c>
      <x:c r="E5490" s="30" t="str">
        <x:v>按执行角色权限读取；策略只能使用可访问快照</x:v>
      </x:c>
    </x:row>
    <x:row r="5491" ht="32" customHeight="1">
      <x:c r="A5491" s="30" t="str">
        <x:v>A063</x:v>
      </x:c>
      <x:c r="B5491" s="30" t="str">
        <x:v>F016</x:v>
      </x:c>
      <x:c r="C5491" s="30" t="str">
        <x:v>hazard.smoke_density</x:v>
      </x:c>
      <x:c r="D5491" s="30" t="str">
        <x:v>候选输入schema</x:v>
      </x:c>
      <x:c r="E5491" s="30" t="str">
        <x:v>按执行角色权限读取；策略只能使用可访问快照</x:v>
      </x:c>
    </x:row>
    <x:row r="5492" ht="32" customHeight="1">
      <x:c r="A5492" s="30" t="str">
        <x:v>A063</x:v>
      </x:c>
      <x:c r="B5492" s="30" t="str">
        <x:v>F017</x:v>
      </x:c>
      <x:c r="C5492" s="30" t="str">
        <x:v>hazard.fire_intensity</x:v>
      </x:c>
      <x:c r="D5492" s="30" t="str">
        <x:v>候选输入schema</x:v>
      </x:c>
      <x:c r="E5492" s="30" t="str">
        <x:v>按执行角色权限读取；策略只能使用可访问快照</x:v>
      </x:c>
    </x:row>
    <x:row r="5493" ht="32" customHeight="1">
      <x:c r="A5493" s="30" t="str">
        <x:v>A063</x:v>
      </x:c>
      <x:c r="B5493" s="30" t="str">
        <x:v>F018</x:v>
      </x:c>
      <x:c r="C5493" s="30" t="str">
        <x:v>hazard.gas_level</x:v>
      </x:c>
      <x:c r="D5493" s="30" t="str">
        <x:v>候选输入schema</x:v>
      </x:c>
      <x:c r="E5493" s="30" t="str">
        <x:v>按执行角色权限读取；策略只能使用可访问快照</x:v>
      </x:c>
    </x:row>
    <x:row r="5494" ht="32" customHeight="1">
      <x:c r="A5494" s="30" t="str">
        <x:v>A063</x:v>
      </x:c>
      <x:c r="B5494" s="30" t="str">
        <x:v>F019</x:v>
      </x:c>
      <x:c r="C5494" s="30" t="str">
        <x:v>hazard.wind_mps</x:v>
      </x:c>
      <x:c r="D5494" s="30" t="str">
        <x:v>候选输入schema</x:v>
      </x:c>
      <x:c r="E5494" s="30" t="str">
        <x:v>按执行角色权限读取；策略只能使用可访问快照</x:v>
      </x:c>
    </x:row>
    <x:row r="5495" ht="32" customHeight="1">
      <x:c r="A5495" s="30" t="str">
        <x:v>A063</x:v>
      </x:c>
      <x:c r="B5495" s="30" t="str">
        <x:v>F020</x:v>
      </x:c>
      <x:c r="C5495" s="30" t="str">
        <x:v>hazard.visibility_m</x:v>
      </x:c>
      <x:c r="D5495" s="30" t="str">
        <x:v>候选输入schema</x:v>
      </x:c>
      <x:c r="E5495" s="30" t="str">
        <x:v>按执行角色权限读取；策略只能使用可访问快照</x:v>
      </x:c>
    </x:row>
    <x:row r="5496" ht="32" customHeight="1">
      <x:c r="A5496" s="30" t="str">
        <x:v>A063</x:v>
      </x:c>
      <x:c r="B5496" s="30" t="str">
        <x:v>F021</x:v>
      </x:c>
      <x:c r="C5496" s="30" t="str">
        <x:v>hazard.weather</x:v>
      </x:c>
      <x:c r="D5496" s="30" t="str">
        <x:v>候选输入schema</x:v>
      </x:c>
      <x:c r="E5496" s="30" t="str">
        <x:v>按执行角色权限读取；策略只能使用可访问快照</x:v>
      </x:c>
    </x:row>
    <x:row r="5497" ht="32" customHeight="1">
      <x:c r="A5497" s="30" t="str">
        <x:v>A063</x:v>
      </x:c>
      <x:c r="B5497" s="30" t="str">
        <x:v>F022</x:v>
      </x:c>
      <x:c r="C5497" s="30" t="str">
        <x:v>hazard.illumination</x:v>
      </x:c>
      <x:c r="D5497" s="30" t="str">
        <x:v>候选输入schema</x:v>
      </x:c>
      <x:c r="E5497" s="30" t="str">
        <x:v>按执行角色权限读取；策略只能使用可访问快照</x:v>
      </x:c>
    </x:row>
    <x:row r="5498" ht="32" customHeight="1">
      <x:c r="A5498" s="30" t="str">
        <x:v>A063</x:v>
      </x:c>
      <x:c r="B5498" s="30" t="str">
        <x:v>F023</x:v>
      </x:c>
      <x:c r="C5498" s="30" t="str">
        <x:v>hazard.secondary_event</x:v>
      </x:c>
      <x:c r="D5498" s="30" t="str">
        <x:v>候选输入schema</x:v>
      </x:c>
      <x:c r="E5498" s="30" t="str">
        <x:v>按执行角色权限读取；策略只能使用可访问快照</x:v>
      </x:c>
    </x:row>
    <x:row r="5499" ht="32" customHeight="1">
      <x:c r="A5499" s="30" t="str">
        <x:v>A063</x:v>
      </x:c>
      <x:c r="B5499" s="30" t="str">
        <x:v>F024</x:v>
      </x:c>
      <x:c r="C5499" s="30" t="str">
        <x:v>hazard.exclusion_zone</x:v>
      </x:c>
      <x:c r="D5499" s="30" t="str">
        <x:v>候选输入schema</x:v>
      </x:c>
      <x:c r="E5499" s="30" t="str">
        <x:v>按执行角色权限读取；策略只能使用可访问快照</x:v>
      </x:c>
    </x:row>
    <x:row r="5500" ht="32" customHeight="1">
      <x:c r="A5500" s="30" t="str">
        <x:v>A063</x:v>
      </x:c>
      <x:c r="B5500" s="30" t="str">
        <x:v>F025</x:v>
      </x:c>
      <x:c r="C5500" s="30" t="str">
        <x:v>hazard.expiry_s</x:v>
      </x:c>
      <x:c r="D5500" s="30" t="str">
        <x:v>候选输入schema</x:v>
      </x:c>
      <x:c r="E5500" s="30" t="str">
        <x:v>按执行角色权限读取；策略只能使用可访问快照</x:v>
      </x:c>
    </x:row>
    <x:row r="5501" ht="32" customHeight="1">
      <x:c r="A5501" s="30" t="str">
        <x:v>A063</x:v>
      </x:c>
      <x:c r="B5501" s="30" t="str">
        <x:v>F044</x:v>
      </x:c>
      <x:c r="C5501" s="30" t="str">
        <x:v>road.centerline</x:v>
      </x:c>
      <x:c r="D5501" s="30" t="str">
        <x:v>候选输入schema</x:v>
      </x:c>
      <x:c r="E5501" s="30" t="str">
        <x:v>按执行角色权限读取；策略只能使用可访问快照</x:v>
      </x:c>
    </x:row>
    <x:row r="5502" ht="32" customHeight="1">
      <x:c r="A5502" s="30" t="str">
        <x:v>A063</x:v>
      </x:c>
      <x:c r="B5502" s="30" t="str">
        <x:v>F045</x:v>
      </x:c>
      <x:c r="C5502" s="30" t="str">
        <x:v>road.width_m</x:v>
      </x:c>
      <x:c r="D5502" s="30" t="str">
        <x:v>候选输入schema</x:v>
      </x:c>
      <x:c r="E5502" s="30" t="str">
        <x:v>按执行角色权限读取；策略只能使用可访问快照</x:v>
      </x:c>
    </x:row>
    <x:row r="5503" ht="32" customHeight="1">
      <x:c r="A5503" s="30" t="str">
        <x:v>A063</x:v>
      </x:c>
      <x:c r="B5503" s="30" t="str">
        <x:v>F046</x:v>
      </x:c>
      <x:c r="C5503" s="30" t="str">
        <x:v>road.surface</x:v>
      </x:c>
      <x:c r="D5503" s="30" t="str">
        <x:v>候选输入schema</x:v>
      </x:c>
      <x:c r="E5503" s="30" t="str">
        <x:v>按执行角色权限读取；策略只能使用可访问快照</x:v>
      </x:c>
    </x:row>
    <x:row r="5504" ht="32" customHeight="1">
      <x:c r="A5504" s="30" t="str">
        <x:v>A063</x:v>
      </x:c>
      <x:c r="B5504" s="30" t="str">
        <x:v>F047</x:v>
      </x:c>
      <x:c r="C5504" s="30" t="str">
        <x:v>road.from_node</x:v>
      </x:c>
      <x:c r="D5504" s="30" t="str">
        <x:v>候选输入schema</x:v>
      </x:c>
      <x:c r="E5504" s="30" t="str">
        <x:v>按执行角色权限读取；策略只能使用可访问快照</x:v>
      </x:c>
    </x:row>
    <x:row r="5505" ht="32" customHeight="1">
      <x:c r="A5505" s="30" t="str">
        <x:v>A063</x:v>
      </x:c>
      <x:c r="B5505" s="30" t="str">
        <x:v>F048</x:v>
      </x:c>
      <x:c r="C5505" s="30" t="str">
        <x:v>road.to_node</x:v>
      </x:c>
      <x:c r="D5505" s="30" t="str">
        <x:v>候选输入schema</x:v>
      </x:c>
      <x:c r="E5505" s="30" t="str">
        <x:v>按执行角色权限读取；策略只能使用可访问快照</x:v>
      </x:c>
    </x:row>
    <x:row r="5506" ht="32" customHeight="1">
      <x:c r="A5506" s="30" t="str">
        <x:v>A063</x:v>
      </x:c>
      <x:c r="B5506" s="30" t="str">
        <x:v>F049</x:v>
      </x:c>
      <x:c r="C5506" s="30" t="str">
        <x:v>road.obstacle_ids</x:v>
      </x:c>
      <x:c r="D5506" s="30" t="str">
        <x:v>候选输入schema</x:v>
      </x:c>
      <x:c r="E5506" s="30" t="str">
        <x:v>按执行角色权限读取；策略只能使用可访问快照</x:v>
      </x:c>
    </x:row>
    <x:row r="5507" ht="32" customHeight="1">
      <x:c r="A5507" s="30" t="str">
        <x:v>A063</x:v>
      </x:c>
      <x:c r="B5507" s="30" t="str">
        <x:v>F050</x:v>
      </x:c>
      <x:c r="C5507" s="30" t="str">
        <x:v>road.clear_width_m</x:v>
      </x:c>
      <x:c r="D5507" s="30" t="str">
        <x:v>候选输入schema</x:v>
      </x:c>
      <x:c r="E5507" s="30" t="str">
        <x:v>按执行角色权限读取；策略只能使用可访问快照</x:v>
      </x:c>
    </x:row>
    <x:row r="5508" ht="32" customHeight="1">
      <x:c r="A5508" s="30" t="str">
        <x:v>A063</x:v>
      </x:c>
      <x:c r="B5508" s="30" t="str">
        <x:v>F051</x:v>
      </x:c>
      <x:c r="C5508" s="30" t="str">
        <x:v>road.clear_height_m</x:v>
      </x:c>
      <x:c r="D5508" s="30" t="str">
        <x:v>候选输入schema</x:v>
      </x:c>
      <x:c r="E5508" s="30" t="str">
        <x:v>按执行角色权限读取；策略只能使用可访问快照</x:v>
      </x:c>
    </x:row>
    <x:row r="5509" ht="32" customHeight="1">
      <x:c r="A5509" s="30" t="str">
        <x:v>A063</x:v>
      </x:c>
      <x:c r="B5509" s="30" t="str">
        <x:v>F052</x:v>
      </x:c>
      <x:c r="C5509" s="30" t="str">
        <x:v>road.turn_radius_m</x:v>
      </x:c>
      <x:c r="D5509" s="30" t="str">
        <x:v>候选输入schema</x:v>
      </x:c>
      <x:c r="E5509" s="30" t="str">
        <x:v>按执行角色权限读取；策略只能使用可访问快照</x:v>
      </x:c>
    </x:row>
    <x:row r="5510" ht="32" customHeight="1">
      <x:c r="A5510" s="30" t="str">
        <x:v>A063</x:v>
      </x:c>
      <x:c r="B5510" s="30" t="str">
        <x:v>F053</x:v>
      </x:c>
      <x:c r="C5510" s="30" t="str">
        <x:v>road.step_height_m</x:v>
      </x:c>
      <x:c r="D5510" s="30" t="str">
        <x:v>候选输入schema</x:v>
      </x:c>
      <x:c r="E5510" s="30" t="str">
        <x:v>按执行角色权限读取；策略只能使用可访问快照</x:v>
      </x:c>
    </x:row>
    <x:row r="5511" ht="32" customHeight="1">
      <x:c r="A5511" s="30" t="str">
        <x:v>A063</x:v>
      </x:c>
      <x:c r="B5511" s="30" t="str">
        <x:v>F054</x:v>
      </x:c>
      <x:c r="C5511" s="30" t="str">
        <x:v>road.entry_state</x:v>
      </x:c>
      <x:c r="D5511" s="30" t="str">
        <x:v>候选输入schema</x:v>
      </x:c>
      <x:c r="E5511" s="30" t="str">
        <x:v>按执行角色权限读取；策略只能使用可访问快照</x:v>
      </x:c>
    </x:row>
    <x:row r="5512" ht="32" customHeight="1">
      <x:c r="A5512" s="30" t="str">
        <x:v>A063</x:v>
      </x:c>
      <x:c r="B5512" s="30" t="str">
        <x:v>F055</x:v>
      </x:c>
      <x:c r="C5512" s="30" t="str">
        <x:v>road.water_depth_m</x:v>
      </x:c>
      <x:c r="D5512" s="30" t="str">
        <x:v>候选输入schema</x:v>
      </x:c>
      <x:c r="E5512" s="30" t="str">
        <x:v>按执行角色权限读取；策略只能使用可访问快照</x:v>
      </x:c>
    </x:row>
    <x:row r="5513" ht="32" customHeight="1">
      <x:c r="A5513" s="30" t="str">
        <x:v>A063</x:v>
      </x:c>
      <x:c r="B5513" s="30" t="str">
        <x:v>F056</x:v>
      </x:c>
      <x:c r="C5513" s="30" t="str">
        <x:v>road.passability</x:v>
      </x:c>
      <x:c r="D5513" s="30" t="str">
        <x:v>候选输入schema</x:v>
      </x:c>
      <x:c r="E5513" s="30" t="str">
        <x:v>按执行角色权限读取；策略只能使用可访问快照</x:v>
      </x:c>
    </x:row>
    <x:row r="5514" ht="32" customHeight="1">
      <x:c r="A5514" s="30" t="str">
        <x:v>A063</x:v>
      </x:c>
      <x:c r="B5514" s="30" t="str">
        <x:v>F057</x:v>
      </x:c>
      <x:c r="C5514" s="30" t="str">
        <x:v>road.travel_cost</x:v>
      </x:c>
      <x:c r="D5514" s="30" t="str">
        <x:v>候选输入schema</x:v>
      </x:c>
      <x:c r="E5514" s="30" t="str">
        <x:v>按执行角色权限读取；策略只能使用可访问快照</x:v>
      </x:c>
    </x:row>
    <x:row r="5515" ht="32" customHeight="1">
      <x:c r="A5515" s="30" t="str">
        <x:v>A063</x:v>
      </x:c>
      <x:c r="B5515" s="30" t="str">
        <x:v>F058</x:v>
      </x:c>
      <x:c r="C5515" s="30" t="str">
        <x:v>road.topology_revision</x:v>
      </x:c>
      <x:c r="D5515" s="30" t="str">
        <x:v>候选输入schema</x:v>
      </x:c>
      <x:c r="E5515" s="30" t="str">
        <x:v>按执行角色权限读取；策略只能使用可访问快照</x:v>
      </x:c>
    </x:row>
    <x:row r="5516" ht="32" customHeight="1">
      <x:c r="A5516" s="30" t="str">
        <x:v>A063</x:v>
      </x:c>
      <x:c r="B5516" s="30" t="str">
        <x:v>F095</x:v>
      </x:c>
      <x:c r="C5516" s="30" t="str">
        <x:v>platform.kind</x:v>
      </x:c>
      <x:c r="D5516" s="30" t="str">
        <x:v>候选输入schema</x:v>
      </x:c>
      <x:c r="E5516" s="30" t="str">
        <x:v>按执行角色权限读取；策略只能使用可访问快照</x:v>
      </x:c>
    </x:row>
    <x:row r="5517" ht="32" customHeight="1">
      <x:c r="A5517" s="30" t="str">
        <x:v>A063</x:v>
      </x:c>
      <x:c r="B5517" s="30" t="str">
        <x:v>F096</x:v>
      </x:c>
      <x:c r="C5517" s="30" t="str">
        <x:v>platform.capability_ids</x:v>
      </x:c>
      <x:c r="D5517" s="30" t="str">
        <x:v>候选输入schema</x:v>
      </x:c>
      <x:c r="E5517" s="30" t="str">
        <x:v>按执行角色权限读取；策略只能使用可访问快照</x:v>
      </x:c>
    </x:row>
    <x:row r="5518" ht="32" customHeight="1">
      <x:c r="A5518" s="30" t="str">
        <x:v>A063</x:v>
      </x:c>
      <x:c r="B5518" s="30" t="str">
        <x:v>F097</x:v>
      </x:c>
      <x:c r="C5518" s="30" t="str">
        <x:v>platform.equipment_ids</x:v>
      </x:c>
      <x:c r="D5518" s="30" t="str">
        <x:v>候选输入schema</x:v>
      </x:c>
      <x:c r="E5518" s="30" t="str">
        <x:v>按执行角色权限读取；策略只能使用可访问快照</x:v>
      </x:c>
    </x:row>
    <x:row r="5519" ht="32" customHeight="1">
      <x:c r="A5519" s="30" t="str">
        <x:v>A063</x:v>
      </x:c>
      <x:c r="B5519" s="30" t="str">
        <x:v>F098</x:v>
      </x:c>
      <x:c r="C5519" s="30" t="str">
        <x:v>platform.width_m</x:v>
      </x:c>
      <x:c r="D5519" s="30" t="str">
        <x:v>候选输入schema</x:v>
      </x:c>
      <x:c r="E5519" s="30" t="str">
        <x:v>按执行角色权限读取；策略只能使用可访问快照</x:v>
      </x:c>
    </x:row>
    <x:row r="5520" ht="32" customHeight="1">
      <x:c r="A5520" s="30" t="str">
        <x:v>A063</x:v>
      </x:c>
      <x:c r="B5520" s="30" t="str">
        <x:v>F099</x:v>
      </x:c>
      <x:c r="C5520" s="30" t="str">
        <x:v>platform.height_m</x:v>
      </x:c>
      <x:c r="D5520" s="30" t="str">
        <x:v>候选输入schema</x:v>
      </x:c>
      <x:c r="E5520" s="30" t="str">
        <x:v>按执行角色权限读取；策略只能使用可访问快照</x:v>
      </x:c>
    </x:row>
    <x:row r="5521" ht="32" customHeight="1">
      <x:c r="A5521" s="30" t="str">
        <x:v>A063</x:v>
      </x:c>
      <x:c r="B5521" s="30" t="str">
        <x:v>F100</x:v>
      </x:c>
      <x:c r="C5521" s="30" t="str">
        <x:v>platform.swept_radius_m</x:v>
      </x:c>
      <x:c r="D5521" s="30" t="str">
        <x:v>候选输入schema</x:v>
      </x:c>
      <x:c r="E5521" s="30" t="str">
        <x:v>按执行角色权限读取；策略只能使用可访问快照</x:v>
      </x:c>
    </x:row>
    <x:row r="5522" ht="32" customHeight="1">
      <x:c r="A5522" s="30" t="str">
        <x:v>A063</x:v>
      </x:c>
      <x:c r="B5522" s="30" t="str">
        <x:v>F101</x:v>
      </x:c>
      <x:c r="C5522" s="30" t="str">
        <x:v>platform.payload_capacity_kg</x:v>
      </x:c>
      <x:c r="D5522" s="30" t="str">
        <x:v>候选输入schema</x:v>
      </x:c>
      <x:c r="E5522" s="30" t="str">
        <x:v>按执行角色权限读取；策略只能使用可访问快照</x:v>
      </x:c>
    </x:row>
    <x:row r="5523" ht="32" customHeight="1">
      <x:c r="A5523" s="30" t="str">
        <x:v>A063</x:v>
      </x:c>
      <x:c r="B5523" s="30" t="str">
        <x:v>F102</x:v>
      </x:c>
      <x:c r="C5523" s="30" t="str">
        <x:v>platform.payload_used_kg</x:v>
      </x:c>
      <x:c r="D5523" s="30" t="str">
        <x:v>候选输入schema</x:v>
      </x:c>
      <x:c r="E5523" s="30" t="str">
        <x:v>按执行角色权限读取；策略只能使用可访问快照</x:v>
      </x:c>
    </x:row>
    <x:row r="5524" ht="32" customHeight="1">
      <x:c r="A5524" s="30" t="str">
        <x:v>A063</x:v>
      </x:c>
      <x:c r="B5524" s="30" t="str">
        <x:v>F103</x:v>
      </x:c>
      <x:c r="C5524" s="30" t="str">
        <x:v>platform.payload_item_ids</x:v>
      </x:c>
      <x:c r="D5524" s="30" t="str">
        <x:v>候选输入schema</x:v>
      </x:c>
      <x:c r="E5524" s="30" t="str">
        <x:v>按执行角色权限读取；策略只能使用可访问快照</x:v>
      </x:c>
    </x:row>
    <x:row r="5525" ht="32" customHeight="1">
      <x:c r="A5525" s="30" t="str">
        <x:v>A063</x:v>
      </x:c>
      <x:c r="B5525" s="30" t="str">
        <x:v>F104</x:v>
      </x:c>
      <x:c r="C5525" s="30" t="str">
        <x:v>platform.battery_capacity_Wh</x:v>
      </x:c>
      <x:c r="D5525" s="30" t="str">
        <x:v>候选输入schema</x:v>
      </x:c>
      <x:c r="E5525" s="30" t="str">
        <x:v>按执行角色权限读取；策略只能使用可访问快照</x:v>
      </x:c>
    </x:row>
    <x:row r="5526" ht="32" customHeight="1">
      <x:c r="A5526" s="30" t="str">
        <x:v>A063</x:v>
      </x:c>
      <x:c r="B5526" s="30" t="str">
        <x:v>F105</x:v>
      </x:c>
      <x:c r="C5526" s="30" t="str">
        <x:v>platform.battery_remaining_Wh</x:v>
      </x:c>
      <x:c r="D5526" s="30" t="str">
        <x:v>候选输入schema</x:v>
      </x:c>
      <x:c r="E5526" s="30" t="str">
        <x:v>按执行角色权限读取；策略只能使用可访问快照</x:v>
      </x:c>
    </x:row>
    <x:row r="5527" ht="32" customHeight="1">
      <x:c r="A5527" s="30" t="str">
        <x:v>A063</x:v>
      </x:c>
      <x:c r="B5527" s="30" t="str">
        <x:v>F106</x:v>
      </x:c>
      <x:c r="C5527" s="30" t="str">
        <x:v>platform.reserve_Wh</x:v>
      </x:c>
      <x:c r="D5527" s="30" t="str">
        <x:v>候选输入schema</x:v>
      </x:c>
      <x:c r="E5527" s="30" t="str">
        <x:v>按执行角色权限读取；策略只能使用可访问快照</x:v>
      </x:c>
    </x:row>
    <x:row r="5528" ht="32" customHeight="1">
      <x:c r="A5528" s="30" t="str">
        <x:v>A063</x:v>
      </x:c>
      <x:c r="B5528" s="30" t="str">
        <x:v>F107</x:v>
      </x:c>
      <x:c r="C5528" s="30" t="str">
        <x:v>platform.speed_limit_mps</x:v>
      </x:c>
      <x:c r="D5528" s="30" t="str">
        <x:v>候选输入schema</x:v>
      </x:c>
      <x:c r="E5528" s="30" t="str">
        <x:v>按执行角色权限读取；策略只能使用可访问快照</x:v>
      </x:c>
    </x:row>
    <x:row r="5529" ht="32" customHeight="1">
      <x:c r="A5529" s="30" t="str">
        <x:v>A063</x:v>
      </x:c>
      <x:c r="B5529" s="30" t="str">
        <x:v>F108</x:v>
      </x:c>
      <x:c r="C5529" s="30" t="str">
        <x:v>platform.energy_model</x:v>
      </x:c>
      <x:c r="D5529" s="30" t="str">
        <x:v>候选输入schema</x:v>
      </x:c>
      <x:c r="E5529" s="30" t="str">
        <x:v>按执行角色权限读取；策略只能使用可访问快照</x:v>
      </x:c>
    </x:row>
    <x:row r="5530" ht="32" customHeight="1">
      <x:c r="A5530" s="30" t="str">
        <x:v>A063</x:v>
      </x:c>
      <x:c r="B5530" s="30" t="str">
        <x:v>F109</x:v>
      </x:c>
      <x:c r="C5530" s="30" t="str">
        <x:v>platform.motion_state</x:v>
      </x:c>
      <x:c r="D5530" s="30" t="str">
        <x:v>候选输入schema</x:v>
      </x:c>
      <x:c r="E5530" s="30" t="str">
        <x:v>按执行角色权限读取；策略只能使用可访问快照</x:v>
      </x:c>
    </x:row>
    <x:row r="5531" ht="32" customHeight="1">
      <x:c r="A5531" s="30" t="str">
        <x:v>A063</x:v>
      </x:c>
      <x:c r="B5531" s="30" t="str">
        <x:v>F110</x:v>
      </x:c>
      <x:c r="C5531" s="30" t="str">
        <x:v>platform.health_state</x:v>
      </x:c>
      <x:c r="D5531" s="30" t="str">
        <x:v>候选输入schema</x:v>
      </x:c>
      <x:c r="E5531" s="30" t="str">
        <x:v>按执行角色权限读取；策略只能使用可访问快照</x:v>
      </x:c>
    </x:row>
    <x:row r="5532" ht="32" customHeight="1">
      <x:c r="A5532" s="30" t="str">
        <x:v>A063</x:v>
      </x:c>
      <x:c r="B5532" s="30" t="str">
        <x:v>F111</x:v>
      </x:c>
      <x:c r="C5532" s="30" t="str">
        <x:v>platform.current_action_id</x:v>
      </x:c>
      <x:c r="D5532" s="30" t="str">
        <x:v>候选输入schema</x:v>
      </x:c>
      <x:c r="E5532" s="30" t="str">
        <x:v>按执行角色权限读取；策略只能使用可访问快照</x:v>
      </x:c>
    </x:row>
    <x:row r="5533" ht="32" customHeight="1">
      <x:c r="A5533" s="30" t="str">
        <x:v>A063</x:v>
      </x:c>
      <x:c r="B5533" s="30" t="str">
        <x:v>F112</x:v>
      </x:c>
      <x:c r="C5533" s="30" t="str">
        <x:v>platform.busy_until_est_s</x:v>
      </x:c>
      <x:c r="D5533" s="30" t="str">
        <x:v>候选输入schema</x:v>
      </x:c>
      <x:c r="E5533" s="30" t="str">
        <x:v>按执行角色权限读取；策略只能使用可访问快照</x:v>
      </x:c>
    </x:row>
    <x:row r="5534" ht="32" customHeight="1">
      <x:c r="A5534" s="30" t="str">
        <x:v>A063</x:v>
      </x:c>
      <x:c r="B5534" s="30" t="str">
        <x:v>F113</x:v>
      </x:c>
      <x:c r="C5534" s="30" t="str">
        <x:v>platform.return_site_id</x:v>
      </x:c>
      <x:c r="D5534" s="30" t="str">
        <x:v>候选输入schema</x:v>
      </x:c>
      <x:c r="E5534" s="30" t="str">
        <x:v>按执行角色权限读取；策略只能使用可访问快照</x:v>
      </x:c>
    </x:row>
    <x:row r="5535" ht="32" customHeight="1">
      <x:c r="A5535" s="30" t="str">
        <x:v>A063</x:v>
      </x:c>
      <x:c r="B5535" s="30" t="str">
        <x:v>F114</x:v>
      </x:c>
      <x:c r="C5535" s="30" t="str">
        <x:v>platform.water_tolerance_m</x:v>
      </x:c>
      <x:c r="D5535" s="30" t="str">
        <x:v>候选输入schema</x:v>
      </x:c>
      <x:c r="E5535" s="30" t="str">
        <x:v>按执行角色权限读取；策略只能使用可访问快照</x:v>
      </x:c>
    </x:row>
    <x:row r="5536" ht="32" customHeight="1">
      <x:c r="A5536" s="30" t="str">
        <x:v>A063</x:v>
      </x:c>
      <x:c r="B5536" s="30" t="str">
        <x:v>F115</x:v>
      </x:c>
      <x:c r="C5536" s="30" t="str">
        <x:v>platform.concurrency_policy</x:v>
      </x:c>
      <x:c r="D5536" s="30" t="str">
        <x:v>候选输入schema</x:v>
      </x:c>
      <x:c r="E5536" s="30" t="str">
        <x:v>按执行角色权限读取；策略只能使用可访问快照</x:v>
      </x:c>
    </x:row>
    <x:row r="5537" ht="32" customHeight="1">
      <x:c r="A5537" s="30" t="str">
        <x:v>A063</x:v>
      </x:c>
      <x:c r="B5537" s="30" t="str">
        <x:v>F116</x:v>
      </x:c>
      <x:c r="C5537" s="30" t="str">
        <x:v>equipment.kind</x:v>
      </x:c>
      <x:c r="D5537" s="30" t="str">
        <x:v>候选输入schema</x:v>
      </x:c>
      <x:c r="E5537" s="30" t="str">
        <x:v>按执行角色权限读取；策略只能使用可访问快照</x:v>
      </x:c>
    </x:row>
    <x:row r="5538" ht="32" customHeight="1">
      <x:c r="A5538" s="30" t="str">
        <x:v>A063</x:v>
      </x:c>
      <x:c r="B5538" s="30" t="str">
        <x:v>F117</x:v>
      </x:c>
      <x:c r="C5538" s="30" t="str">
        <x:v>equipment.enabled</x:v>
      </x:c>
      <x:c r="D5538" s="30" t="str">
        <x:v>候选输入schema</x:v>
      </x:c>
      <x:c r="E5538" s="30" t="str">
        <x:v>按执行角色权限读取；策略只能使用可访问快照</x:v>
      </x:c>
    </x:row>
    <x:row r="5539" ht="32" customHeight="1">
      <x:c r="A5539" s="30" t="str">
        <x:v>A063</x:v>
      </x:c>
      <x:c r="B5539" s="30" t="str">
        <x:v>F118</x:v>
      </x:c>
      <x:c r="C5539" s="30" t="str">
        <x:v>equipment.health</x:v>
      </x:c>
      <x:c r="D5539" s="30" t="str">
        <x:v>候选输入schema</x:v>
      </x:c>
      <x:c r="E5539" s="30" t="str">
        <x:v>按执行角色权限读取；策略只能使用可访问快照</x:v>
      </x:c>
    </x:row>
    <x:row r="5540" ht="32" customHeight="1">
      <x:c r="A5540" s="30" t="str">
        <x:v>A063</x:v>
      </x:c>
      <x:c r="B5540" s="30" t="str">
        <x:v>F119</x:v>
      </x:c>
      <x:c r="C5540" s="30" t="str">
        <x:v>equipment.rated_load_kg</x:v>
      </x:c>
      <x:c r="D5540" s="30" t="str">
        <x:v>候选输入schema</x:v>
      </x:c>
      <x:c r="E5540" s="30" t="str">
        <x:v>按执行角色权限读取；策略只能使用可访问快照</x:v>
      </x:c>
    </x:row>
    <x:row r="5541" ht="32" customHeight="1">
      <x:c r="A5541" s="30" t="str">
        <x:v>A063</x:v>
      </x:c>
      <x:c r="B5541" s="30" t="str">
        <x:v>F120</x:v>
      </x:c>
      <x:c r="C5541" s="30" t="str">
        <x:v>equipment.reach_m</x:v>
      </x:c>
      <x:c r="D5541" s="30" t="str">
        <x:v>候选输入schema</x:v>
      </x:c>
      <x:c r="E5541" s="30" t="str">
        <x:v>按执行角色权限读取；策略只能使用可访问快照</x:v>
      </x:c>
    </x:row>
    <x:row r="5542" ht="32" customHeight="1">
      <x:c r="A5542" s="30" t="str">
        <x:v>A063</x:v>
      </x:c>
      <x:c r="B5542" s="30" t="str">
        <x:v>F121</x:v>
      </x:c>
      <x:c r="C5542" s="30" t="str">
        <x:v>equipment.compatible_materials</x:v>
      </x:c>
      <x:c r="D5542" s="30" t="str">
        <x:v>候选输入schema</x:v>
      </x:c>
      <x:c r="E5542" s="30" t="str">
        <x:v>按执行角色权限读取；策略只能使用可访问快照</x:v>
      </x:c>
    </x:row>
    <x:row r="5543" ht="32" customHeight="1">
      <x:c r="A5543" s="30" t="str">
        <x:v>A063</x:v>
      </x:c>
      <x:c r="B5543" s="30" t="str">
        <x:v>F122</x:v>
      </x:c>
      <x:c r="C5543" s="30" t="str">
        <x:v>equipment.tool_size</x:v>
      </x:c>
      <x:c r="D5543" s="30" t="str">
        <x:v>候选输入schema</x:v>
      </x:c>
      <x:c r="E5543" s="30" t="str">
        <x:v>按执行角色权限读取；策略只能使用可访问快照</x:v>
      </x:c>
    </x:row>
    <x:row r="5544" ht="32" customHeight="1">
      <x:c r="A5544" s="30" t="str">
        <x:v>A063</x:v>
      </x:c>
      <x:c r="B5544" s="30" t="str">
        <x:v>F123</x:v>
      </x:c>
      <x:c r="C5544" s="30" t="str">
        <x:v>equipment.consumable_type</x:v>
      </x:c>
      <x:c r="D5544" s="30" t="str">
        <x:v>候选输入schema</x:v>
      </x:c>
      <x:c r="E5544" s="30" t="str">
        <x:v>按执行角色权限读取；策略只能使用可访问快照</x:v>
      </x:c>
    </x:row>
    <x:row r="5545" ht="32" customHeight="1">
      <x:c r="A5545" s="30" t="str">
        <x:v>A063</x:v>
      </x:c>
      <x:c r="B5545" s="30" t="str">
        <x:v>F124</x:v>
      </x:c>
      <x:c r="C5545" s="30" t="str">
        <x:v>equipment.consumable_remaining</x:v>
      </x:c>
      <x:c r="D5545" s="30" t="str">
        <x:v>候选输入schema</x:v>
      </x:c>
      <x:c r="E5545" s="30" t="str">
        <x:v>按执行角色权限读取；策略只能使用可访问快照</x:v>
      </x:c>
    </x:row>
    <x:row r="5546" ht="32" customHeight="1">
      <x:c r="A5546" s="30" t="str">
        <x:v>A063</x:v>
      </x:c>
      <x:c r="B5546" s="30" t="str">
        <x:v>F125</x:v>
      </x:c>
      <x:c r="C5546" s="30" t="str">
        <x:v>equipment.operator_authority</x:v>
      </x:c>
      <x:c r="D5546" s="30" t="str">
        <x:v>候选输入schema</x:v>
      </x:c>
      <x:c r="E5546" s="30" t="str">
        <x:v>按执行角色权限读取；策略只能使用可访问快照</x:v>
      </x:c>
    </x:row>
    <x:row r="5547" ht="32" customHeight="1">
      <x:c r="A5547" s="30" t="str">
        <x:v>A063</x:v>
      </x:c>
      <x:c r="B5547" s="30" t="str">
        <x:v>F126</x:v>
      </x:c>
      <x:c r="C5547" s="30" t="str">
        <x:v>equipment.setup_state</x:v>
      </x:c>
      <x:c r="D5547" s="30" t="str">
        <x:v>候选输入schema</x:v>
      </x:c>
      <x:c r="E5547" s="30" t="str">
        <x:v>按执行角色权限读取；策略只能使用可访问快照</x:v>
      </x:c>
    </x:row>
    <x:row r="5548" ht="32" customHeight="1">
      <x:c r="A5548" s="30" t="str">
        <x:v>A063</x:v>
      </x:c>
      <x:c r="B5548" s="30" t="str">
        <x:v>F127</x:v>
      </x:c>
      <x:c r="C5548" s="30" t="str">
        <x:v>equipment.busy_action_id</x:v>
      </x:c>
      <x:c r="D5548" s="30" t="str">
        <x:v>候选输入schema</x:v>
      </x:c>
      <x:c r="E5548" s="30" t="str">
        <x:v>按执行角色权限读取；策略只能使用可访问快照</x:v>
      </x:c>
    </x:row>
    <x:row r="5549" ht="32" customHeight="1">
      <x:c r="A5549" s="30" t="str">
        <x:v>A063</x:v>
      </x:c>
      <x:c r="B5549" s="30" t="str">
        <x:v>F230</x:v>
      </x:c>
      <x:c r="C5549" s="30" t="str">
        <x:v>action.type</x:v>
      </x:c>
      <x:c r="D5549" s="30" t="str">
        <x:v>候选输入schema</x:v>
      </x:c>
      <x:c r="E5549" s="30" t="str">
        <x:v>按执行角色权限读取；策略只能使用可访问快照</x:v>
      </x:c>
    </x:row>
    <x:row r="5550" ht="32" customHeight="1">
      <x:c r="A5550" s="30" t="str">
        <x:v>A063</x:v>
      </x:c>
      <x:c r="B5550" s="30" t="str">
        <x:v>F231</x:v>
      </x:c>
      <x:c r="C5550" s="30" t="str">
        <x:v>action.executor_id</x:v>
      </x:c>
      <x:c r="D5550" s="30" t="str">
        <x:v>候选输入schema</x:v>
      </x:c>
      <x:c r="E5550" s="30" t="str">
        <x:v>按执行角色权限读取；策略只能使用可访问快照</x:v>
      </x:c>
    </x:row>
    <x:row r="5551" ht="32" customHeight="1">
      <x:c r="A5551" s="30" t="str">
        <x:v>A063</x:v>
      </x:c>
      <x:c r="B5551" s="30" t="str">
        <x:v>F232</x:v>
      </x:c>
      <x:c r="C5551" s="30" t="str">
        <x:v>action.task_ref</x:v>
      </x:c>
      <x:c r="D5551" s="30" t="str">
        <x:v>候选输入schema</x:v>
      </x:c>
      <x:c r="E5551" s="30" t="str">
        <x:v>按执行角色权限读取；策略只能使用可访问快照</x:v>
      </x:c>
    </x:row>
    <x:row r="5552" ht="32" customHeight="1">
      <x:c r="A5552" s="30" t="str">
        <x:v>A063</x:v>
      </x:c>
      <x:c r="B5552" s="30" t="str">
        <x:v>F233</x:v>
      </x:c>
      <x:c r="C5552" s="30" t="str">
        <x:v>action.target_ref</x:v>
      </x:c>
      <x:c r="D5552" s="30" t="str">
        <x:v>候选输入schema</x:v>
      </x:c>
      <x:c r="E5552" s="30" t="str">
        <x:v>按执行角色权限读取；策略只能使用可访问快照</x:v>
      </x:c>
    </x:row>
    <x:row r="5553" ht="32" customHeight="1">
      <x:c r="A5553" s="30" t="str">
        <x:v>A063</x:v>
      </x:c>
      <x:c r="B5553" s="30" t="str">
        <x:v>F234</x:v>
      </x:c>
      <x:c r="C5553" s="30" t="str">
        <x:v>action.parameters</x:v>
      </x:c>
      <x:c r="D5553" s="30" t="str">
        <x:v>候选输入schema</x:v>
      </x:c>
      <x:c r="E5553" s="30" t="str">
        <x:v>按执行角色权限读取；策略只能使用可访问快照</x:v>
      </x:c>
    </x:row>
    <x:row r="5554" ht="32" customHeight="1">
      <x:c r="A5554" s="30" t="str">
        <x:v>A063</x:v>
      </x:c>
      <x:c r="B5554" s="30" t="str">
        <x:v>F235</x:v>
      </x:c>
      <x:c r="C5554" s="30" t="str">
        <x:v>action.status</x:v>
      </x:c>
      <x:c r="D5554" s="30" t="str">
        <x:v>候选输入schema</x:v>
      </x:c>
      <x:c r="E5554" s="30" t="str">
        <x:v>按执行角色权限读取；策略只能使用可访问快照</x:v>
      </x:c>
    </x:row>
    <x:row r="5555" ht="32" customHeight="1">
      <x:c r="A5555" s="30" t="str">
        <x:v>A063</x:v>
      </x:c>
      <x:c r="B5555" s="30" t="str">
        <x:v>F236</x:v>
      </x:c>
      <x:c r="C5555" s="30" t="str">
        <x:v>action.start_s</x:v>
      </x:c>
      <x:c r="D5555" s="30" t="str">
        <x:v>候选输入schema</x:v>
      </x:c>
      <x:c r="E5555" s="30" t="str">
        <x:v>按执行角色权限读取；策略只能使用可访问快照</x:v>
      </x:c>
    </x:row>
    <x:row r="5556" ht="32" customHeight="1">
      <x:c r="A5556" s="30" t="str">
        <x:v>A063</x:v>
      </x:c>
      <x:c r="B5556" s="30" t="str">
        <x:v>F237</x:v>
      </x:c>
      <x:c r="C5556" s="30" t="str">
        <x:v>action.finish_s</x:v>
      </x:c>
      <x:c r="D5556" s="30" t="str">
        <x:v>候选输入schema</x:v>
      </x:c>
      <x:c r="E5556" s="30" t="str">
        <x:v>按执行角色权限读取；策略只能使用可访问快照</x:v>
      </x:c>
    </x:row>
    <x:row r="5557" ht="32" customHeight="1">
      <x:c r="A5557" s="30" t="str">
        <x:v>A063</x:v>
      </x:c>
      <x:c r="B5557" s="30" t="str">
        <x:v>F238</x:v>
      </x:c>
      <x:c r="C5557" s="30" t="str">
        <x:v>action.reserved_resources</x:v>
      </x:c>
      <x:c r="D5557" s="30" t="str">
        <x:v>候选输入schema</x:v>
      </x:c>
      <x:c r="E5557" s="30" t="str">
        <x:v>按执行角色权限读取；策略只能使用可访问快照</x:v>
      </x:c>
    </x:row>
    <x:row r="5558" ht="32" customHeight="1">
      <x:c r="A5558" s="30" t="str">
        <x:v>A063</x:v>
      </x:c>
      <x:c r="B5558" s="30" t="str">
        <x:v>F239</x:v>
      </x:c>
      <x:c r="C5558" s="30" t="str">
        <x:v>action.consumed_resources</x:v>
      </x:c>
      <x:c r="D5558" s="30" t="str">
        <x:v>候选输入schema</x:v>
      </x:c>
      <x:c r="E5558" s="30" t="str">
        <x:v>按执行角色权限读取；策略只能使用可访问快照</x:v>
      </x:c>
    </x:row>
    <x:row r="5559" ht="32" customHeight="1">
      <x:c r="A5559" s="30" t="str">
        <x:v>A063</x:v>
      </x:c>
      <x:c r="B5559" s="30" t="str">
        <x:v>F240</x:v>
      </x:c>
      <x:c r="C5559" s="30" t="str">
        <x:v>action.feedback</x:v>
      </x:c>
      <x:c r="D5559" s="30" t="str">
        <x:v>候选输入schema</x:v>
      </x:c>
      <x:c r="E5559" s="30" t="str">
        <x:v>按执行角色权限读取；策略只能使用可访问快照</x:v>
      </x:c>
    </x:row>
    <x:row r="5560" ht="32" customHeight="1">
      <x:c r="A5560" s="30" t="str">
        <x:v>A063</x:v>
      </x:c>
      <x:c r="B5560" s="30" t="str">
        <x:v>F241</x:v>
      </x:c>
      <x:c r="C5560" s="30" t="str">
        <x:v>action.result</x:v>
      </x:c>
      <x:c r="D5560" s="30" t="str">
        <x:v>候选输入schema</x:v>
      </x:c>
      <x:c r="E5560" s="30" t="str">
        <x:v>按执行角色权限读取；策略只能使用可访问快照</x:v>
      </x:c>
    </x:row>
    <x:row r="5561" ht="32" customHeight="1">
      <x:c r="A5561" s="30" t="str">
        <x:v>A063</x:v>
      </x:c>
      <x:c r="B5561" s="30" t="str">
        <x:v>F242</x:v>
      </x:c>
      <x:c r="C5561" s="30" t="str">
        <x:v>action.rejection_code</x:v>
      </x:c>
      <x:c r="D5561" s="30" t="str">
        <x:v>候选输入schema</x:v>
      </x:c>
      <x:c r="E5561" s="30" t="str">
        <x:v>按执行角色权限读取；策略只能使用可访问快照</x:v>
      </x:c>
    </x:row>
    <x:row r="5562" ht="32" customHeight="1">
      <x:c r="A5562" s="30" t="str">
        <x:v>A063</x:v>
      </x:c>
      <x:c r="B5562" s="30" t="str">
        <x:v>F243</x:v>
      </x:c>
      <x:c r="C5562" s="30" t="str">
        <x:v>action.failure_code</x:v>
      </x:c>
      <x:c r="D5562" s="30" t="str">
        <x:v>候选输入schema</x:v>
      </x:c>
      <x:c r="E5562" s="30" t="str">
        <x:v>按执行角色权限读取；策略只能使用可访问快照</x:v>
      </x:c>
    </x:row>
    <x:row r="5563" ht="32" customHeight="1">
      <x:c r="A5563" s="30" t="str">
        <x:v>A063</x:v>
      </x:c>
      <x:c r="B5563" s="30" t="str">
        <x:v>F244</x:v>
      </x:c>
      <x:c r="C5563" s="30" t="str">
        <x:v>action.cancel_requested</x:v>
      </x:c>
      <x:c r="D5563" s="30" t="str">
        <x:v>候选输入schema</x:v>
      </x:c>
      <x:c r="E5563" s="30" t="str">
        <x:v>按执行角色权限读取；策略只能使用可访问快照</x:v>
      </x:c>
    </x:row>
    <x:row r="5564" ht="32" customHeight="1">
      <x:c r="A5564" s="30" t="str">
        <x:v>A063</x:v>
      </x:c>
      <x:c r="B5564" s="30" t="str">
        <x:v>F245</x:v>
      </x:c>
      <x:c r="C5564" s="30" t="str">
        <x:v>action.backend_mode</x:v>
      </x:c>
      <x:c r="D5564" s="30" t="str">
        <x:v>候选输入schema</x:v>
      </x:c>
      <x:c r="E5564" s="30" t="str">
        <x:v>按执行角色权限读取；策略只能使用可访问快照</x:v>
      </x:c>
    </x:row>
    <x:row r="5565" ht="32" customHeight="1">
      <x:c r="A5565" s="30" t="str">
        <x:v>A063</x:v>
      </x:c>
      <x:c r="B5565" s="30" t="str">
        <x:v>F024</x:v>
      </x:c>
      <x:c r="C5565" s="30" t="str">
        <x:v>hazard.exclusion_zone</x:v>
      </x:c>
      <x:c r="D5565" s="30" t="str">
        <x:v>直接效果</x:v>
      </x:c>
      <x:c r="E5565" s="30" t="str">
        <x:v>经实际执行/回执提交；不是规划时提前修改</x:v>
      </x:c>
    </x:row>
    <x:row r="5566" ht="32" customHeight="1">
      <x:c r="A5566" s="30" t="str">
        <x:v>A063</x:v>
      </x:c>
      <x:c r="B5566" s="30" t="str">
        <x:v>F013</x:v>
      </x:c>
      <x:c r="C5566" s="30" t="str">
        <x:v>hazard.active</x:v>
      </x:c>
      <x:c r="D5566" s="30" t="str">
        <x:v>直接效果</x:v>
      </x:c>
      <x:c r="E5566" s="30" t="str">
        <x:v>经实际执行/回执提交；不是规划时提前修改</x:v>
      </x:c>
    </x:row>
    <x:row r="5567" ht="32" customHeight="1">
      <x:c r="A5567" s="30" t="str">
        <x:v>A064</x:v>
      </x:c>
      <x:c r="B5567" s="30" t="str">
        <x:v>F166</x:v>
      </x:c>
      <x:c r="C5567" s="30" t="str">
        <x:v>observation.observer_id</x:v>
      </x:c>
      <x:c r="D5567" s="30" t="str">
        <x:v>候选输入schema</x:v>
      </x:c>
      <x:c r="E5567" s="30" t="str">
        <x:v>按执行角色权限读取；策略只能使用可访问快照</x:v>
      </x:c>
    </x:row>
    <x:row r="5568" ht="32" customHeight="1">
      <x:c r="A5568" s="30" t="str">
        <x:v>A064</x:v>
      </x:c>
      <x:c r="B5568" s="30" t="str">
        <x:v>F167</x:v>
      </x:c>
      <x:c r="C5568" s="30" t="str">
        <x:v>observation.sensor_id</x:v>
      </x:c>
      <x:c r="D5568" s="30" t="str">
        <x:v>候选输入schema</x:v>
      </x:c>
      <x:c r="E5568" s="30" t="str">
        <x:v>按执行角色权限读取；策略只能使用可访问快照</x:v>
      </x:c>
    </x:row>
    <x:row r="5569" ht="32" customHeight="1">
      <x:c r="A5569" s="30" t="str">
        <x:v>A064</x:v>
      </x:c>
      <x:c r="B5569" s="30" t="str">
        <x:v>F168</x:v>
      </x:c>
      <x:c r="C5569" s="30" t="str">
        <x:v>observation.captured_at_s</x:v>
      </x:c>
      <x:c r="D5569" s="30" t="str">
        <x:v>候选输入schema</x:v>
      </x:c>
      <x:c r="E5569" s="30" t="str">
        <x:v>按执行角色权限读取；策略只能使用可访问快照</x:v>
      </x:c>
    </x:row>
    <x:row r="5570" ht="32" customHeight="1">
      <x:c r="A5570" s="30" t="str">
        <x:v>A064</x:v>
      </x:c>
      <x:c r="B5570" s="30" t="str">
        <x:v>F169</x:v>
      </x:c>
      <x:c r="C5570" s="30" t="str">
        <x:v>observation.pose_estimate</x:v>
      </x:c>
      <x:c r="D5570" s="30" t="str">
        <x:v>候选输入schema</x:v>
      </x:c>
      <x:c r="E5570" s="30" t="str">
        <x:v>按执行角色权限读取；策略只能使用可访问快照</x:v>
      </x:c>
    </x:row>
    <x:row r="5571" ht="32" customHeight="1">
      <x:c r="A5571" s="30" t="str">
        <x:v>A064</x:v>
      </x:c>
      <x:c r="B5571" s="30" t="str">
        <x:v>F170</x:v>
      </x:c>
      <x:c r="C5571" s="30" t="str">
        <x:v>observation.payload_ref</x:v>
      </x:c>
      <x:c r="D5571" s="30" t="str">
        <x:v>候选输入schema</x:v>
      </x:c>
      <x:c r="E5571" s="30" t="str">
        <x:v>按执行角色权限读取；策略只能使用可访问快照</x:v>
      </x:c>
    </x:row>
    <x:row r="5572" ht="32" customHeight="1">
      <x:c r="A5572" s="30" t="str">
        <x:v>A064</x:v>
      </x:c>
      <x:c r="B5572" s="30" t="str">
        <x:v>F171</x:v>
      </x:c>
      <x:c r="C5572" s="30" t="str">
        <x:v>observation.payload_bytes</x:v>
      </x:c>
      <x:c r="D5572" s="30" t="str">
        <x:v>候选输入schema</x:v>
      </x:c>
      <x:c r="E5572" s="30" t="str">
        <x:v>按执行角色权限读取；策略只能使用可访问快照</x:v>
      </x:c>
    </x:row>
    <x:row r="5573" ht="32" customHeight="1">
      <x:c r="A5573" s="30" t="str">
        <x:v>A064</x:v>
      </x:c>
      <x:c r="B5573" s="30" t="str">
        <x:v>F172</x:v>
      </x:c>
      <x:c r="C5573" s="30" t="str">
        <x:v>observation.content_hash</x:v>
      </x:c>
      <x:c r="D5573" s="30" t="str">
        <x:v>候选输入schema</x:v>
      </x:c>
      <x:c r="E5573" s="30" t="str">
        <x:v>按执行角色权限读取；策略只能使用可访问快照</x:v>
      </x:c>
    </x:row>
    <x:row r="5574" ht="32" customHeight="1">
      <x:c r="A5574" s="30" t="str">
        <x:v>A064</x:v>
      </x:c>
      <x:c r="B5574" s="30" t="str">
        <x:v>F173</x:v>
      </x:c>
      <x:c r="C5574" s="30" t="str">
        <x:v>observation.modality</x:v>
      </x:c>
      <x:c r="D5574" s="30" t="str">
        <x:v>候选输入schema</x:v>
      </x:c>
      <x:c r="E5574" s="30" t="str">
        <x:v>按执行角色权限读取；策略只能使用可访问快照</x:v>
      </x:c>
    </x:row>
    <x:row r="5575" ht="32" customHeight="1">
      <x:c r="A5575" s="30" t="str">
        <x:v>A064</x:v>
      </x:c>
      <x:c r="B5575" s="30" t="str">
        <x:v>F174</x:v>
      </x:c>
      <x:c r="C5575" s="30" t="str">
        <x:v>observation.detections</x:v>
      </x:c>
      <x:c r="D5575" s="30" t="str">
        <x:v>候选输入schema</x:v>
      </x:c>
      <x:c r="E5575" s="30" t="str">
        <x:v>按执行角色权限读取；策略只能使用可访问快照</x:v>
      </x:c>
    </x:row>
    <x:row r="5576" ht="32" customHeight="1">
      <x:c r="A5576" s="30" t="str">
        <x:v>A064</x:v>
      </x:c>
      <x:c r="B5576" s="30" t="str">
        <x:v>F175</x:v>
      </x:c>
      <x:c r="C5576" s="30" t="str">
        <x:v>observation.confidence</x:v>
      </x:c>
      <x:c r="D5576" s="30" t="str">
        <x:v>候选输入schema</x:v>
      </x:c>
      <x:c r="E5576" s="30" t="str">
        <x:v>按执行角色权限读取；策略只能使用可访问快照</x:v>
      </x:c>
    </x:row>
    <x:row r="5577" ht="32" customHeight="1">
      <x:c r="A5577" s="30" t="str">
        <x:v>A064</x:v>
      </x:c>
      <x:c r="B5577" s="30" t="str">
        <x:v>F176</x:v>
      </x:c>
      <x:c r="C5577" s="30" t="str">
        <x:v>observation.coverage_estimate</x:v>
      </x:c>
      <x:c r="D5577" s="30" t="str">
        <x:v>候选输入schema</x:v>
      </x:c>
      <x:c r="E5577" s="30" t="str">
        <x:v>按执行角色权限读取；策略只能使用可访问快照</x:v>
      </x:c>
    </x:row>
    <x:row r="5578" ht="32" customHeight="1">
      <x:c r="A5578" s="30" t="str">
        <x:v>A064</x:v>
      </x:c>
      <x:c r="B5578" s="30" t="str">
        <x:v>F177</x:v>
      </x:c>
      <x:c r="C5578" s="30" t="str">
        <x:v>observation.processing_job_id</x:v>
      </x:c>
      <x:c r="D5578" s="30" t="str">
        <x:v>候选输入schema</x:v>
      </x:c>
      <x:c r="E5578" s="30" t="str">
        <x:v>按执行角色权限读取；策略只能使用可访问快照</x:v>
      </x:c>
    </x:row>
    <x:row r="5579" ht="32" customHeight="1">
      <x:c r="A5579" s="30" t="str">
        <x:v>A064</x:v>
      </x:c>
      <x:c r="B5579" s="30" t="str">
        <x:v>F178</x:v>
      </x:c>
      <x:c r="C5579" s="30" t="str">
        <x:v>observation.parent_evidence_ids</x:v>
      </x:c>
      <x:c r="D5579" s="30" t="str">
        <x:v>候选输入schema</x:v>
      </x:c>
      <x:c r="E5579" s="30" t="str">
        <x:v>按执行角色权限读取；策略只能使用可访问快照</x:v>
      </x:c>
    </x:row>
    <x:row r="5580" ht="32" customHeight="1">
      <x:c r="A5580" s="30" t="str">
        <x:v>A064</x:v>
      </x:c>
      <x:c r="B5580" s="30" t="str">
        <x:v>F179</x:v>
      </x:c>
      <x:c r="C5580" s="30" t="str">
        <x:v>observation.valid_until_s</x:v>
      </x:c>
      <x:c r="D5580" s="30" t="str">
        <x:v>候选输入schema</x:v>
      </x:c>
      <x:c r="E5580" s="30" t="str">
        <x:v>按执行角色权限读取；策略只能使用可访问快照</x:v>
      </x:c>
    </x:row>
    <x:row r="5581" ht="32" customHeight="1">
      <x:c r="A5581" s="30" t="str">
        <x:v>A064</x:v>
      </x:c>
      <x:c r="B5581" s="30" t="str">
        <x:v>F180</x:v>
      </x:c>
      <x:c r="C5581" s="30" t="str">
        <x:v>observation.mode</x:v>
      </x:c>
      <x:c r="D5581" s="30" t="str">
        <x:v>候选输入schema</x:v>
      </x:c>
      <x:c r="E5581" s="30" t="str">
        <x:v>按执行角色权限读取；策略只能使用可访问快照</x:v>
      </x:c>
    </x:row>
    <x:row r="5582" ht="32" customHeight="1">
      <x:c r="A5582" s="30" t="str">
        <x:v>A064</x:v>
      </x:c>
      <x:c r="B5582" s="30" t="str">
        <x:v>F293</x:v>
      </x:c>
      <x:c r="C5582" s="30" t="str">
        <x:v>compute.node_id</x:v>
      </x:c>
      <x:c r="D5582" s="30" t="str">
        <x:v>候选输入schema</x:v>
      </x:c>
      <x:c r="E5582" s="30" t="str">
        <x:v>按执行角色权限读取；策略只能使用可访问快照</x:v>
      </x:c>
    </x:row>
    <x:row r="5583" ht="32" customHeight="1">
      <x:c r="A5583" s="30" t="str">
        <x:v>A064</x:v>
      </x:c>
      <x:c r="B5583" s="30" t="str">
        <x:v>F294</x:v>
      </x:c>
      <x:c r="C5583" s="30" t="str">
        <x:v>compute.device_kind</x:v>
      </x:c>
      <x:c r="D5583" s="30" t="str">
        <x:v>候选输入schema</x:v>
      </x:c>
      <x:c r="E5583" s="30" t="str">
        <x:v>按执行角色权限读取；策略只能使用可访问快照</x:v>
      </x:c>
    </x:row>
    <x:row r="5584" ht="32" customHeight="1">
      <x:c r="A5584" s="30" t="str">
        <x:v>A064</x:v>
      </x:c>
      <x:c r="B5584" s="30" t="str">
        <x:v>F295</x:v>
      </x:c>
      <x:c r="C5584" s="30" t="str">
        <x:v>compute.cpu_capacity</x:v>
      </x:c>
      <x:c r="D5584" s="30" t="str">
        <x:v>候选输入schema</x:v>
      </x:c>
      <x:c r="E5584" s="30" t="str">
        <x:v>按执行角色权限读取；策略只能使用可访问快照</x:v>
      </x:c>
    </x:row>
    <x:row r="5585" ht="32" customHeight="1">
      <x:c r="A5585" s="30" t="str">
        <x:v>A064</x:v>
      </x:c>
      <x:c r="B5585" s="30" t="str">
        <x:v>F296</x:v>
      </x:c>
      <x:c r="C5585" s="30" t="str">
        <x:v>compute.accelerator_capacity</x:v>
      </x:c>
      <x:c r="D5585" s="30" t="str">
        <x:v>候选输入schema</x:v>
      </x:c>
      <x:c r="E5585" s="30" t="str">
        <x:v>按执行角色权限读取；策略只能使用可访问快照</x:v>
      </x:c>
    </x:row>
    <x:row r="5586" ht="32" customHeight="1">
      <x:c r="A5586" s="30" t="str">
        <x:v>A064</x:v>
      </x:c>
      <x:c r="B5586" s="30" t="str">
        <x:v>F297</x:v>
      </x:c>
      <x:c r="C5586" s="30" t="str">
        <x:v>compute.memory_capacity_bytes</x:v>
      </x:c>
      <x:c r="D5586" s="30" t="str">
        <x:v>候选输入schema</x:v>
      </x:c>
      <x:c r="E5586" s="30" t="str">
        <x:v>按执行角色权限读取；策略只能使用可访问快照</x:v>
      </x:c>
    </x:row>
    <x:row r="5587" ht="32" customHeight="1">
      <x:c r="A5587" s="30" t="str">
        <x:v>A064</x:v>
      </x:c>
      <x:c r="B5587" s="30" t="str">
        <x:v>F298</x:v>
      </x:c>
      <x:c r="C5587" s="30" t="str">
        <x:v>compute.memory_used_bytes</x:v>
      </x:c>
      <x:c r="D5587" s="30" t="str">
        <x:v>候选输入schema</x:v>
      </x:c>
      <x:c r="E5587" s="30" t="str">
        <x:v>按执行角色权限读取；策略只能使用可访问快照</x:v>
      </x:c>
    </x:row>
    <x:row r="5588" ht="32" customHeight="1">
      <x:c r="A5588" s="30" t="str">
        <x:v>A064</x:v>
      </x:c>
      <x:c r="B5588" s="30" t="str">
        <x:v>F299</x:v>
      </x:c>
      <x:c r="C5588" s="30" t="str">
        <x:v>compute.cpu_allocated</x:v>
      </x:c>
      <x:c r="D5588" s="30" t="str">
        <x:v>候选输入schema</x:v>
      </x:c>
      <x:c r="E5588" s="30" t="str">
        <x:v>按执行角色权限读取；策略只能使用可访问快照</x:v>
      </x:c>
    </x:row>
    <x:row r="5589" ht="32" customHeight="1">
      <x:c r="A5589" s="30" t="str">
        <x:v>A064</x:v>
      </x:c>
      <x:c r="B5589" s="30" t="str">
        <x:v>F300</x:v>
      </x:c>
      <x:c r="C5589" s="30" t="str">
        <x:v>compute.accelerator_allocated</x:v>
      </x:c>
      <x:c r="D5589" s="30" t="str">
        <x:v>候选输入schema</x:v>
      </x:c>
      <x:c r="E5589" s="30" t="str">
        <x:v>按执行角色权限读取；策略只能使用可访问快照</x:v>
      </x:c>
    </x:row>
    <x:row r="5590" ht="32" customHeight="1">
      <x:c r="A5590" s="30" t="str">
        <x:v>A064</x:v>
      </x:c>
      <x:c r="B5590" s="30" t="str">
        <x:v>F301</x:v>
      </x:c>
      <x:c r="C5590" s="30" t="str">
        <x:v>compute.max_concurrency</x:v>
      </x:c>
      <x:c r="D5590" s="30" t="str">
        <x:v>候选输入schema</x:v>
      </x:c>
      <x:c r="E5590" s="30" t="str">
        <x:v>按执行角色权限读取；策略只能使用可访问快照</x:v>
      </x:c>
    </x:row>
    <x:row r="5591" ht="32" customHeight="1">
      <x:c r="A5591" s="30" t="str">
        <x:v>A064</x:v>
      </x:c>
      <x:c r="B5591" s="30" t="str">
        <x:v>F302</x:v>
      </x:c>
      <x:c r="C5591" s="30" t="str">
        <x:v>compute.queue_ids</x:v>
      </x:c>
      <x:c r="D5591" s="30" t="str">
        <x:v>候选输入schema</x:v>
      </x:c>
      <x:c r="E5591" s="30" t="str">
        <x:v>按执行角色权限读取；策略只能使用可访问快照</x:v>
      </x:c>
    </x:row>
    <x:row r="5592" ht="32" customHeight="1">
      <x:c r="A5592" s="30" t="str">
        <x:v>A064</x:v>
      </x:c>
      <x:c r="B5592" s="30" t="str">
        <x:v>F303</x:v>
      </x:c>
      <x:c r="C5592" s="30" t="str">
        <x:v>compute.running_job_ids</x:v>
      </x:c>
      <x:c r="D5592" s="30" t="str">
        <x:v>候选输入schema</x:v>
      </x:c>
      <x:c r="E5592" s="30" t="str">
        <x:v>按执行角色权限读取；策略只能使用可访问快照</x:v>
      </x:c>
    </x:row>
    <x:row r="5593" ht="32" customHeight="1">
      <x:c r="A5593" s="30" t="str">
        <x:v>A064</x:v>
      </x:c>
      <x:c r="B5593" s="30" t="str">
        <x:v>F304</x:v>
      </x:c>
      <x:c r="C5593" s="30" t="str">
        <x:v>compute.availability</x:v>
      </x:c>
      <x:c r="D5593" s="30" t="str">
        <x:v>候选输入schema</x:v>
      </x:c>
      <x:c r="E5593" s="30" t="str">
        <x:v>按执行角色权限读取；策略只能使用可访问快照</x:v>
      </x:c>
    </x:row>
    <x:row r="5594" ht="32" customHeight="1">
      <x:c r="A5594" s="30" t="str">
        <x:v>A064</x:v>
      </x:c>
      <x:c r="B5594" s="30" t="str">
        <x:v>F305</x:v>
      </x:c>
      <x:c r="C5594" s="30" t="str">
        <x:v>compute.power_model</x:v>
      </x:c>
      <x:c r="D5594" s="30" t="str">
        <x:v>候选输入schema</x:v>
      </x:c>
      <x:c r="E5594" s="30" t="str">
        <x:v>按执行角色权限读取；策略只能使用可访问快照</x:v>
      </x:c>
    </x:row>
    <x:row r="5595" ht="32" customHeight="1">
      <x:c r="A5595" s="30" t="str">
        <x:v>A064</x:v>
      </x:c>
      <x:c r="B5595" s="30" t="str">
        <x:v>F306</x:v>
      </x:c>
      <x:c r="C5595" s="30" t="str">
        <x:v>compute.energy_Wh</x:v>
      </x:c>
      <x:c r="D5595" s="30" t="str">
        <x:v>候选输入schema</x:v>
      </x:c>
      <x:c r="E5595" s="30" t="str">
        <x:v>按执行角色权限读取；策略只能使用可访问快照</x:v>
      </x:c>
    </x:row>
    <x:row r="5596" ht="32" customHeight="1">
      <x:c r="A5596" s="30" t="str">
        <x:v>A064</x:v>
      </x:c>
      <x:c r="B5596" s="30" t="str">
        <x:v>F307</x:v>
      </x:c>
      <x:c r="C5596" s="30" t="str">
        <x:v>compute.service_ids</x:v>
      </x:c>
      <x:c r="D5596" s="30" t="str">
        <x:v>候选输入schema</x:v>
      </x:c>
      <x:c r="E5596" s="30" t="str">
        <x:v>按执行角色权限读取；策略只能使用可访问快照</x:v>
      </x:c>
    </x:row>
    <x:row r="5597" ht="32" customHeight="1">
      <x:c r="A5597" s="30" t="str">
        <x:v>A064</x:v>
      </x:c>
      <x:c r="B5597" s="30" t="str">
        <x:v>F308</x:v>
      </x:c>
      <x:c r="C5597" s="30" t="str">
        <x:v>compute.storage_free_bytes</x:v>
      </x:c>
      <x:c r="D5597" s="30" t="str">
        <x:v>候选输入schema</x:v>
      </x:c>
      <x:c r="E5597" s="30" t="str">
        <x:v>按执行角色权限读取；策略只能使用可访问快照</x:v>
      </x:c>
    </x:row>
    <x:row r="5598" ht="32" customHeight="1">
      <x:c r="A5598" s="30" t="str">
        <x:v>A064</x:v>
      </x:c>
      <x:c r="B5598" s="30" t="str">
        <x:v>F309</x:v>
      </x:c>
      <x:c r="C5598" s="30" t="str">
        <x:v>compute.clock_policy</x:v>
      </x:c>
      <x:c r="D5598" s="30" t="str">
        <x:v>候选输入schema</x:v>
      </x:c>
      <x:c r="E5598" s="30" t="str">
        <x:v>按执行角色权限读取；策略只能使用可访问快照</x:v>
      </x:c>
    </x:row>
    <x:row r="5599" ht="32" customHeight="1">
      <x:c r="A5599" s="30" t="str">
        <x:v>A064</x:v>
      </x:c>
      <x:c r="B5599" s="30" t="str">
        <x:v>F310</x:v>
      </x:c>
      <x:c r="C5599" s="30" t="str">
        <x:v>compute.timing_profile_id</x:v>
      </x:c>
      <x:c r="D5599" s="30" t="str">
        <x:v>候选输入schema</x:v>
      </x:c>
      <x:c r="E5599" s="30" t="str">
        <x:v>按执行角色权限读取；策略只能使用可访问快照</x:v>
      </x:c>
    </x:row>
    <x:row r="5600" ht="32" customHeight="1">
      <x:c r="A5600" s="30" t="str">
        <x:v>A064</x:v>
      </x:c>
      <x:c r="B5600" s="30" t="str">
        <x:v>F311</x:v>
      </x:c>
      <x:c r="C5600" s="30" t="str">
        <x:v>compute.temperature_state</x:v>
      </x:c>
      <x:c r="D5600" s="30" t="str">
        <x:v>候选输入schema</x:v>
      </x:c>
      <x:c r="E5600" s="30" t="str">
        <x:v>按执行角色权限读取；策略只能使用可访问快照</x:v>
      </x:c>
    </x:row>
    <x:row r="5601" ht="32" customHeight="1">
      <x:c r="A5601" s="30" t="str">
        <x:v>A064</x:v>
      </x:c>
      <x:c r="B5601" s="30" t="str">
        <x:v>F312</x:v>
      </x:c>
      <x:c r="C5601" s="30" t="str">
        <x:v>compute.network_endpoint</x:v>
      </x:c>
      <x:c r="D5601" s="30" t="str">
        <x:v>候选输入schema</x:v>
      </x:c>
      <x:c r="E5601" s="30" t="str">
        <x:v>按执行角色权限读取；策略只能使用可访问快照</x:v>
      </x:c>
    </x:row>
    <x:row r="5602" ht="32" customHeight="1">
      <x:c r="A5602" s="30" t="str">
        <x:v>A064</x:v>
      </x:c>
      <x:c r="B5602" s="30" t="str">
        <x:v>F313</x:v>
      </x:c>
      <x:c r="C5602" s="30" t="str">
        <x:v>service.kind</x:v>
      </x:c>
      <x:c r="D5602" s="30" t="str">
        <x:v>候选输入schema</x:v>
      </x:c>
      <x:c r="E5602" s="30" t="str">
        <x:v>按执行角色权限读取；策略只能使用可访问快照</x:v>
      </x:c>
    </x:row>
    <x:row r="5603" ht="32" customHeight="1">
      <x:c r="A5603" s="30" t="str">
        <x:v>A064</x:v>
      </x:c>
      <x:c r="B5603" s="30" t="str">
        <x:v>F314</x:v>
      </x:c>
      <x:c r="C5603" s="30" t="str">
        <x:v>service.model_id</x:v>
      </x:c>
      <x:c r="D5603" s="30" t="str">
        <x:v>候选输入schema</x:v>
      </x:c>
      <x:c r="E5603" s="30" t="str">
        <x:v>按执行角色权限读取；策略只能使用可访问快照</x:v>
      </x:c>
    </x:row>
    <x:row r="5604" ht="32" customHeight="1">
      <x:c r="A5604" s="30" t="str">
        <x:v>A064</x:v>
      </x:c>
      <x:c r="B5604" s="30" t="str">
        <x:v>F315</x:v>
      </x:c>
      <x:c r="C5604" s="30" t="str">
        <x:v>service.version</x:v>
      </x:c>
      <x:c r="D5604" s="30" t="str">
        <x:v>候选输入schema</x:v>
      </x:c>
      <x:c r="E5604" s="30" t="str">
        <x:v>按执行角色权限读取；策略只能使用可访问快照</x:v>
      </x:c>
    </x:row>
    <x:row r="5605" ht="32" customHeight="1">
      <x:c r="A5605" s="30" t="str">
        <x:v>A064</x:v>
      </x:c>
      <x:c r="B5605" s="30" t="str">
        <x:v>F316</x:v>
      </x:c>
      <x:c r="C5605" s="30" t="str">
        <x:v>service.host_id</x:v>
      </x:c>
      <x:c r="D5605" s="30" t="str">
        <x:v>候选输入schema</x:v>
      </x:c>
      <x:c r="E5605" s="30" t="str">
        <x:v>按执行角色权限读取；策略只能使用可访问快照</x:v>
      </x:c>
    </x:row>
    <x:row r="5606" ht="32" customHeight="1">
      <x:c r="A5606" s="30" t="str">
        <x:v>A064</x:v>
      </x:c>
      <x:c r="B5606" s="30" t="str">
        <x:v>F317</x:v>
      </x:c>
      <x:c r="C5606" s="30" t="str">
        <x:v>service.status</x:v>
      </x:c>
      <x:c r="D5606" s="30" t="str">
        <x:v>候选输入schema</x:v>
      </x:c>
      <x:c r="E5606" s="30" t="str">
        <x:v>按执行角色权限读取；策略只能使用可访问快照</x:v>
      </x:c>
    </x:row>
    <x:row r="5607" ht="32" customHeight="1">
      <x:c r="A5607" s="30" t="str">
        <x:v>A064</x:v>
      </x:c>
      <x:c r="B5607" s="30" t="str">
        <x:v>F318</x:v>
      </x:c>
      <x:c r="C5607" s="30" t="str">
        <x:v>service.input_schema</x:v>
      </x:c>
      <x:c r="D5607" s="30" t="str">
        <x:v>候选输入schema</x:v>
      </x:c>
      <x:c r="E5607" s="30" t="str">
        <x:v>按执行角色权限读取；策略只能使用可访问快照</x:v>
      </x:c>
    </x:row>
    <x:row r="5608" ht="32" customHeight="1">
      <x:c r="A5608" s="30" t="str">
        <x:v>A064</x:v>
      </x:c>
      <x:c r="B5608" s="30" t="str">
        <x:v>F319</x:v>
      </x:c>
      <x:c r="C5608" s="30" t="str">
        <x:v>service.output_schema</x:v>
      </x:c>
      <x:c r="D5608" s="30" t="str">
        <x:v>候选输入schema</x:v>
      </x:c>
      <x:c r="E5608" s="30" t="str">
        <x:v>按执行角色权限读取；策略只能使用可访问快照</x:v>
      </x:c>
    </x:row>
    <x:row r="5609" ht="32" customHeight="1">
      <x:c r="A5609" s="30" t="str">
        <x:v>A064</x:v>
      </x:c>
      <x:c r="B5609" s="30" t="str">
        <x:v>F320</x:v>
      </x:c>
      <x:c r="C5609" s="30" t="str">
        <x:v>service.precision</x:v>
      </x:c>
      <x:c r="D5609" s="30" t="str">
        <x:v>候选输入schema</x:v>
      </x:c>
      <x:c r="E5609" s="30" t="str">
        <x:v>按执行角色权限读取；策略只能使用可访问快照</x:v>
      </x:c>
    </x:row>
    <x:row r="5610" ht="32" customHeight="1">
      <x:c r="A5610" s="30" t="str">
        <x:v>A064</x:v>
      </x:c>
      <x:c r="B5610" s="30" t="str">
        <x:v>F321</x:v>
      </x:c>
      <x:c r="C5610" s="30" t="str">
        <x:v>service.weights_bytes</x:v>
      </x:c>
      <x:c r="D5610" s="30" t="str">
        <x:v>候选输入schema</x:v>
      </x:c>
      <x:c r="E5610" s="30" t="str">
        <x:v>按执行角色权限读取；策略只能使用可访问快照</x:v>
      </x:c>
    </x:row>
    <x:row r="5611" ht="32" customHeight="1">
      <x:c r="A5611" s="30" t="str">
        <x:v>A064</x:v>
      </x:c>
      <x:c r="B5611" s="30" t="str">
        <x:v>F322</x:v>
      </x:c>
      <x:c r="C5611" s="30" t="str">
        <x:v>service.working_memory_bytes</x:v>
      </x:c>
      <x:c r="D5611" s="30" t="str">
        <x:v>候选输入schema</x:v>
      </x:c>
      <x:c r="E5611" s="30" t="str">
        <x:v>按执行角色权限读取；策略只能使用可访问快照</x:v>
      </x:c>
    </x:row>
    <x:row r="5612" ht="32" customHeight="1">
      <x:c r="A5612" s="30" t="str">
        <x:v>A064</x:v>
      </x:c>
      <x:c r="B5612" s="30" t="str">
        <x:v>F323</x:v>
      </x:c>
      <x:c r="C5612" s="30" t="str">
        <x:v>service.load_latency_profile</x:v>
      </x:c>
      <x:c r="D5612" s="30" t="str">
        <x:v>候选输入schema</x:v>
      </x:c>
      <x:c r="E5612" s="30" t="str">
        <x:v>按执行角色权限读取；策略只能使用可访问快照</x:v>
      </x:c>
    </x:row>
    <x:row r="5613" ht="32" customHeight="1">
      <x:c r="A5613" s="30" t="str">
        <x:v>A064</x:v>
      </x:c>
      <x:c r="B5613" s="30" t="str">
        <x:v>F324</x:v>
      </x:c>
      <x:c r="C5613" s="30" t="str">
        <x:v>service.batch_policy</x:v>
      </x:c>
      <x:c r="D5613" s="30" t="str">
        <x:v>候选输入schema</x:v>
      </x:c>
      <x:c r="E5613" s="30" t="str">
        <x:v>按执行角色权限读取；策略只能使用可访问快照</x:v>
      </x:c>
    </x:row>
    <x:row r="5614" ht="32" customHeight="1">
      <x:c r="A5614" s="30" t="str">
        <x:v>A064</x:v>
      </x:c>
      <x:c r="B5614" s="30" t="str">
        <x:v>F325</x:v>
      </x:c>
      <x:c r="C5614" s="30" t="str">
        <x:v>service.context_limit</x:v>
      </x:c>
      <x:c r="D5614" s="30" t="str">
        <x:v>候选输入schema</x:v>
      </x:c>
      <x:c r="E5614" s="30" t="str">
        <x:v>按执行角色权限读取；策略只能使用可访问快照</x:v>
      </x:c>
    </x:row>
    <x:row r="5615" ht="32" customHeight="1">
      <x:c r="A5615" s="30" t="str">
        <x:v>A064</x:v>
      </x:c>
      <x:c r="B5615" s="30" t="str">
        <x:v>F326</x:v>
      </x:c>
      <x:c r="C5615" s="30" t="str">
        <x:v>service.quality_profile</x:v>
      </x:c>
      <x:c r="D5615" s="30" t="str">
        <x:v>候选输入schema</x:v>
      </x:c>
      <x:c r="E5615" s="30" t="str">
        <x:v>按执行角色权限读取；策略只能使用可访问快照</x:v>
      </x:c>
    </x:row>
    <x:row r="5616" ht="32" customHeight="1">
      <x:c r="A5616" s="30" t="str">
        <x:v>A064</x:v>
      </x:c>
      <x:c r="B5616" s="30" t="str">
        <x:v>F327</x:v>
      </x:c>
      <x:c r="C5616" s="30" t="str">
        <x:v>service.compatible_representations</x:v>
      </x:c>
      <x:c r="D5616" s="30" t="str">
        <x:v>候选输入schema</x:v>
      </x:c>
      <x:c r="E5616" s="30" t="str">
        <x:v>按执行角色权限读取；策略只能使用可访问快照</x:v>
      </x:c>
    </x:row>
    <x:row r="5617" ht="32" customHeight="1">
      <x:c r="A5617" s="30" t="str">
        <x:v>A064</x:v>
      </x:c>
      <x:c r="B5617" s="30" t="str">
        <x:v>F328</x:v>
      </x:c>
      <x:c r="C5617" s="30" t="str">
        <x:v>service.licence_scope</x:v>
      </x:c>
      <x:c r="D5617" s="30" t="str">
        <x:v>候选输入schema</x:v>
      </x:c>
      <x:c r="E5617" s="30" t="str">
        <x:v>按执行角色权限读取；策略只能使用可访问快照</x:v>
      </x:c>
    </x:row>
    <x:row r="5618" ht="32" customHeight="1">
      <x:c r="A5618" s="30" t="str">
        <x:v>A064</x:v>
      </x:c>
      <x:c r="B5618" s="30" t="str">
        <x:v>F329</x:v>
      </x:c>
      <x:c r="C5618" s="30" t="str">
        <x:v>job.requester_id</x:v>
      </x:c>
      <x:c r="D5618" s="30" t="str">
        <x:v>候选输入schema</x:v>
      </x:c>
      <x:c r="E5618" s="30" t="str">
        <x:v>按执行角色权限读取；策略只能使用可访问快照</x:v>
      </x:c>
    </x:row>
    <x:row r="5619" ht="32" customHeight="1">
      <x:c r="A5619" s="30" t="str">
        <x:v>A064</x:v>
      </x:c>
      <x:c r="B5619" s="30" t="str">
        <x:v>F330</x:v>
      </x:c>
      <x:c r="C5619" s="30" t="str">
        <x:v>job.task_ref</x:v>
      </x:c>
      <x:c r="D5619" s="30" t="str">
        <x:v>候选输入schema</x:v>
      </x:c>
      <x:c r="E5619" s="30" t="str">
        <x:v>按执行角色权限读取；策略只能使用可访问快照</x:v>
      </x:c>
    </x:row>
    <x:row r="5620" ht="32" customHeight="1">
      <x:c r="A5620" s="30" t="str">
        <x:v>A064</x:v>
      </x:c>
      <x:c r="B5620" s="30" t="str">
        <x:v>F331</x:v>
      </x:c>
      <x:c r="C5620" s="30" t="str">
        <x:v>job.service_id</x:v>
      </x:c>
      <x:c r="D5620" s="30" t="str">
        <x:v>候选输入schema</x:v>
      </x:c>
      <x:c r="E5620" s="30" t="str">
        <x:v>按执行角色权限读取；策略只能使用可访问快照</x:v>
      </x:c>
    </x:row>
    <x:row r="5621" ht="32" customHeight="1">
      <x:c r="A5621" s="30" t="str">
        <x:v>A064</x:v>
      </x:c>
      <x:c r="B5621" s="30" t="str">
        <x:v>F332</x:v>
      </x:c>
      <x:c r="C5621" s="30" t="str">
        <x:v>job.input_evidence_ids</x:v>
      </x:c>
      <x:c r="D5621" s="30" t="str">
        <x:v>候选输入schema</x:v>
      </x:c>
      <x:c r="E5621" s="30" t="str">
        <x:v>按执行角色权限读取；策略只能使用可访问快照</x:v>
      </x:c>
    </x:row>
    <x:row r="5622" ht="32" customHeight="1">
      <x:c r="A5622" s="30" t="str">
        <x:v>A064</x:v>
      </x:c>
      <x:c r="B5622" s="30" t="str">
        <x:v>F333</x:v>
      </x:c>
      <x:c r="C5622" s="30" t="str">
        <x:v>job.input_bytes</x:v>
      </x:c>
      <x:c r="D5622" s="30" t="str">
        <x:v>候选输入schema</x:v>
      </x:c>
      <x:c r="E5622" s="30" t="str">
        <x:v>按执行角色权限读取；策略只能使用可访问快照</x:v>
      </x:c>
    </x:row>
    <x:row r="5623" ht="32" customHeight="1">
      <x:c r="A5623" s="30" t="str">
        <x:v>A064</x:v>
      </x:c>
      <x:c r="B5623" s="30" t="str">
        <x:v>F334</x:v>
      </x:c>
      <x:c r="C5623" s="30" t="str">
        <x:v>job.input_tokens</x:v>
      </x:c>
      <x:c r="D5623" s="30" t="str">
        <x:v>候选输入schema</x:v>
      </x:c>
      <x:c r="E5623" s="30" t="str">
        <x:v>按执行角色权限读取；策略只能使用可访问快照</x:v>
      </x:c>
    </x:row>
    <x:row r="5624" ht="32" customHeight="1">
      <x:c r="A5624" s="30" t="str">
        <x:v>A064</x:v>
      </x:c>
      <x:c r="B5624" s="30" t="str">
        <x:v>F335</x:v>
      </x:c>
      <x:c r="C5624" s="30" t="str">
        <x:v>job.output_tokens</x:v>
      </x:c>
      <x:c r="D5624" s="30" t="str">
        <x:v>候选输入schema</x:v>
      </x:c>
      <x:c r="E5624" s="30" t="str">
        <x:v>按执行角色权限读取；策略只能使用可访问快照</x:v>
      </x:c>
    </x:row>
    <x:row r="5625" ht="32" customHeight="1">
      <x:c r="A5625" s="30" t="str">
        <x:v>A064</x:v>
      </x:c>
      <x:c r="B5625" s="30" t="str">
        <x:v>F336</x:v>
      </x:c>
      <x:c r="C5625" s="30" t="str">
        <x:v>job.status</x:v>
      </x:c>
      <x:c r="D5625" s="30" t="str">
        <x:v>候选输入schema</x:v>
      </x:c>
      <x:c r="E5625" s="30" t="str">
        <x:v>按执行角色权限读取；策略只能使用可访问快照</x:v>
      </x:c>
    </x:row>
    <x:row r="5626" ht="32" customHeight="1">
      <x:c r="A5626" s="30" t="str">
        <x:v>A064</x:v>
      </x:c>
      <x:c r="B5626" s="30" t="str">
        <x:v>F337</x:v>
      </x:c>
      <x:c r="C5626" s="30" t="str">
        <x:v>job.queue_enter_s</x:v>
      </x:c>
      <x:c r="D5626" s="30" t="str">
        <x:v>候选输入schema</x:v>
      </x:c>
      <x:c r="E5626" s="30" t="str">
        <x:v>按执行角色权限读取；策略只能使用可访问快照</x:v>
      </x:c>
    </x:row>
    <x:row r="5627" ht="32" customHeight="1">
      <x:c r="A5627" s="30" t="str">
        <x:v>A064</x:v>
      </x:c>
      <x:c r="B5627" s="30" t="str">
        <x:v>F338</x:v>
      </x:c>
      <x:c r="C5627" s="30" t="str">
        <x:v>job.start_s</x:v>
      </x:c>
      <x:c r="D5627" s="30" t="str">
        <x:v>候选输入schema</x:v>
      </x:c>
      <x:c r="E5627" s="30" t="str">
        <x:v>按执行角色权限读取；策略只能使用可访问快照</x:v>
      </x:c>
    </x:row>
    <x:row r="5628" ht="32" customHeight="1">
      <x:c r="A5628" s="30" t="str">
        <x:v>A064</x:v>
      </x:c>
      <x:c r="B5628" s="30" t="str">
        <x:v>F339</x:v>
      </x:c>
      <x:c r="C5628" s="30" t="str">
        <x:v>job.finish_s</x:v>
      </x:c>
      <x:c r="D5628" s="30" t="str">
        <x:v>候选输入schema</x:v>
      </x:c>
      <x:c r="E5628" s="30" t="str">
        <x:v>按执行角色权限读取；策略只能使用可访问快照</x:v>
      </x:c>
    </x:row>
    <x:row r="5629" ht="32" customHeight="1">
      <x:c r="A5629" s="30" t="str">
        <x:v>A064</x:v>
      </x:c>
      <x:c r="B5629" s="30" t="str">
        <x:v>F340</x:v>
      </x:c>
      <x:c r="C5629" s="30" t="str">
        <x:v>job.deadline_s</x:v>
      </x:c>
      <x:c r="D5629" s="30" t="str">
        <x:v>候选输入schema</x:v>
      </x:c>
      <x:c r="E5629" s="30" t="str">
        <x:v>按执行角色权限读取；策略只能使用可访问快照</x:v>
      </x:c>
    </x:row>
    <x:row r="5630" ht="32" customHeight="1">
      <x:c r="A5630" s="30" t="str">
        <x:v>A064</x:v>
      </x:c>
      <x:c r="B5630" s="30" t="str">
        <x:v>F341</x:v>
      </x:c>
      <x:c r="C5630" s="30" t="str">
        <x:v>job.cpu_request</x:v>
      </x:c>
      <x:c r="D5630" s="30" t="str">
        <x:v>候选输入schema</x:v>
      </x:c>
      <x:c r="E5630" s="30" t="str">
        <x:v>按执行角色权限读取；策略只能使用可访问快照</x:v>
      </x:c>
    </x:row>
    <x:row r="5631" ht="32" customHeight="1">
      <x:c r="A5631" s="30" t="str">
        <x:v>A064</x:v>
      </x:c>
      <x:c r="B5631" s="30" t="str">
        <x:v>F342</x:v>
      </x:c>
      <x:c r="C5631" s="30" t="str">
        <x:v>job.memory_request_bytes</x:v>
      </x:c>
      <x:c r="D5631" s="30" t="str">
        <x:v>候选输入schema</x:v>
      </x:c>
      <x:c r="E5631" s="30" t="str">
        <x:v>按执行角色权限读取；策略只能使用可访问快照</x:v>
      </x:c>
    </x:row>
    <x:row r="5632" ht="32" customHeight="1">
      <x:c r="A5632" s="30" t="str">
        <x:v>A064</x:v>
      </x:c>
      <x:c r="B5632" s="30" t="str">
        <x:v>F343</x:v>
      </x:c>
      <x:c r="C5632" s="30" t="str">
        <x:v>job.prefill_s</x:v>
      </x:c>
      <x:c r="D5632" s="30" t="str">
        <x:v>候选输入schema</x:v>
      </x:c>
      <x:c r="E5632" s="30" t="str">
        <x:v>按执行角色权限读取；策略只能使用可访问快照</x:v>
      </x:c>
    </x:row>
    <x:row r="5633" ht="32" customHeight="1">
      <x:c r="A5633" s="30" t="str">
        <x:v>A064</x:v>
      </x:c>
      <x:c r="B5633" s="30" t="str">
        <x:v>F344</x:v>
      </x:c>
      <x:c r="C5633" s="30" t="str">
        <x:v>job.decode_s</x:v>
      </x:c>
      <x:c r="D5633" s="30" t="str">
        <x:v>候选输入schema</x:v>
      </x:c>
      <x:c r="E5633" s="30" t="str">
        <x:v>按执行角色权限读取；策略只能使用可访问快照</x:v>
      </x:c>
    </x:row>
    <x:row r="5634" ht="32" customHeight="1">
      <x:c r="A5634" s="30" t="str">
        <x:v>A064</x:v>
      </x:c>
      <x:c r="B5634" s="30" t="str">
        <x:v>F345</x:v>
      </x:c>
      <x:c r="C5634" s="30" t="str">
        <x:v>job.wall_time_s</x:v>
      </x:c>
      <x:c r="D5634" s="30" t="str">
        <x:v>候选输入schema</x:v>
      </x:c>
      <x:c r="E5634" s="30" t="str">
        <x:v>按执行角色权限读取；策略只能使用可访问快照</x:v>
      </x:c>
    </x:row>
    <x:row r="5635" ht="32" customHeight="1">
      <x:c r="A5635" s="30" t="str">
        <x:v>A064</x:v>
      </x:c>
      <x:c r="B5635" s="30" t="str">
        <x:v>F346</x:v>
      </x:c>
      <x:c r="C5635" s="30" t="str">
        <x:v>job.result_ref</x:v>
      </x:c>
      <x:c r="D5635" s="30" t="str">
        <x:v>候选输入schema</x:v>
      </x:c>
      <x:c r="E5635" s="30" t="str">
        <x:v>按执行角色权限读取；策略只能使用可访问快照</x:v>
      </x:c>
    </x:row>
    <x:row r="5636" ht="32" customHeight="1">
      <x:c r="A5636" s="30" t="str">
        <x:v>A064</x:v>
      </x:c>
      <x:c r="B5636" s="30" t="str">
        <x:v>F347</x:v>
      </x:c>
      <x:c r="C5636" s="30" t="str">
        <x:v>job.checkpoint_ref</x:v>
      </x:c>
      <x:c r="D5636" s="30" t="str">
        <x:v>候选输入schema</x:v>
      </x:c>
      <x:c r="E5636" s="30" t="str">
        <x:v>按执行角色权限读取；策略只能使用可访问快照</x:v>
      </x:c>
    </x:row>
    <x:row r="5637" ht="32" customHeight="1">
      <x:c r="A5637" s="30" t="str">
        <x:v>A064</x:v>
      </x:c>
      <x:c r="B5637" s="30" t="str">
        <x:v>F348</x:v>
      </x:c>
      <x:c r="C5637" s="30" t="str">
        <x:v>job.failure_reason</x:v>
      </x:c>
      <x:c r="D5637" s="30" t="str">
        <x:v>候选输入schema</x:v>
      </x:c>
      <x:c r="E5637" s="30" t="str">
        <x:v>按执行角色权限读取；策略只能使用可访问快照</x:v>
      </x:c>
    </x:row>
    <x:row r="5638" ht="32" customHeight="1">
      <x:c r="A5638" s="30" t="str">
        <x:v>A064</x:v>
      </x:c>
      <x:c r="B5638" s="30" t="str">
        <x:v>F349</x:v>
      </x:c>
      <x:c r="C5638" s="30" t="str">
        <x:v>cache.owner_id</x:v>
      </x:c>
      <x:c r="D5638" s="30" t="str">
        <x:v>候选输入schema</x:v>
      </x:c>
      <x:c r="E5638" s="30" t="str">
        <x:v>按执行角色权限读取；策略只能使用可访问快照</x:v>
      </x:c>
    </x:row>
    <x:row r="5639" ht="32" customHeight="1">
      <x:c r="A5639" s="30" t="str">
        <x:v>A064</x:v>
      </x:c>
      <x:c r="B5639" s="30" t="str">
        <x:v>F350</x:v>
      </x:c>
      <x:c r="C5639" s="30" t="str">
        <x:v>cache.kind</x:v>
      </x:c>
      <x:c r="D5639" s="30" t="str">
        <x:v>候选输入schema</x:v>
      </x:c>
      <x:c r="E5639" s="30" t="str">
        <x:v>按执行角色权限读取；策略只能使用可访问快照</x:v>
      </x:c>
    </x:row>
    <x:row r="5640" ht="32" customHeight="1">
      <x:c r="A5640" s="30" t="str">
        <x:v>A064</x:v>
      </x:c>
      <x:c r="B5640" s="30" t="str">
        <x:v>F351</x:v>
      </x:c>
      <x:c r="C5640" s="30" t="str">
        <x:v>cache.model_version</x:v>
      </x:c>
      <x:c r="D5640" s="30" t="str">
        <x:v>候选输入schema</x:v>
      </x:c>
      <x:c r="E5640" s="30" t="str">
        <x:v>按执行角色权限读取；策略只能使用可访问快照</x:v>
      </x:c>
    </x:row>
    <x:row r="5641" ht="32" customHeight="1">
      <x:c r="A5641" s="30" t="str">
        <x:v>A064</x:v>
      </x:c>
      <x:c r="B5641" s="30" t="str">
        <x:v>F352</x:v>
      </x:c>
      <x:c r="C5641" s="30" t="str">
        <x:v>cache.content_ids</x:v>
      </x:c>
      <x:c r="D5641" s="30" t="str">
        <x:v>候选输入schema</x:v>
      </x:c>
      <x:c r="E5641" s="30" t="str">
        <x:v>按执行角色权限读取；策略只能使用可访问快照</x:v>
      </x:c>
    </x:row>
    <x:row r="5642" ht="32" customHeight="1">
      <x:c r="A5642" s="30" t="str">
        <x:v>A064</x:v>
      </x:c>
      <x:c r="B5642" s="30" t="str">
        <x:v>F353</x:v>
      </x:c>
      <x:c r="C5642" s="30" t="str">
        <x:v>cache.size_bytes</x:v>
      </x:c>
      <x:c r="D5642" s="30" t="str">
        <x:v>候选输入schema</x:v>
      </x:c>
      <x:c r="E5642" s="30" t="str">
        <x:v>按执行角色权限读取；策略只能使用可访问快照</x:v>
      </x:c>
    </x:row>
    <x:row r="5643" ht="32" customHeight="1">
      <x:c r="A5643" s="30" t="str">
        <x:v>A064</x:v>
      </x:c>
      <x:c r="B5643" s="30" t="str">
        <x:v>F354</x:v>
      </x:c>
      <x:c r="C5643" s="30" t="str">
        <x:v>cache.location</x:v>
      </x:c>
      <x:c r="D5643" s="30" t="str">
        <x:v>候选输入schema</x:v>
      </x:c>
      <x:c r="E5643" s="30" t="str">
        <x:v>按执行角色权限读取；策略只能使用可访问快照</x:v>
      </x:c>
    </x:row>
    <x:row r="5644" ht="32" customHeight="1">
      <x:c r="A5644" s="30" t="str">
        <x:v>A064</x:v>
      </x:c>
      <x:c r="B5644" s="30" t="str">
        <x:v>F355</x:v>
      </x:c>
      <x:c r="C5644" s="30" t="str">
        <x:v>cache.valid_until_s</x:v>
      </x:c>
      <x:c r="D5644" s="30" t="str">
        <x:v>候选输入schema</x:v>
      </x:c>
      <x:c r="E5644" s="30" t="str">
        <x:v>按执行角色权限读取；策略只能使用可访问快照</x:v>
      </x:c>
    </x:row>
    <x:row r="5645" ht="32" customHeight="1">
      <x:c r="A5645" s="30" t="str">
        <x:v>A064</x:v>
      </x:c>
      <x:c r="B5645" s="30" t="str">
        <x:v>F356</x:v>
      </x:c>
      <x:c r="C5645" s="30" t="str">
        <x:v>cache.reuse_compatible</x:v>
      </x:c>
      <x:c r="D5645" s="30" t="str">
        <x:v>候选输入schema</x:v>
      </x:c>
      <x:c r="E5645" s="30" t="str">
        <x:v>按执行角色权限读取；策略只能使用可访问快照</x:v>
      </x:c>
    </x:row>
    <x:row r="5646" ht="32" customHeight="1">
      <x:c r="A5646" s="30" t="str">
        <x:v>A064</x:v>
      </x:c>
      <x:c r="B5646" s="30" t="str">
        <x:v>F357</x:v>
      </x:c>
      <x:c r="C5646" s="30" t="str">
        <x:v>cache.hit_count</x:v>
      </x:c>
      <x:c r="D5646" s="30" t="str">
        <x:v>候选输入schema</x:v>
      </x:c>
      <x:c r="E5646" s="30" t="str">
        <x:v>按执行角色权限读取；策略只能使用可访问快照</x:v>
      </x:c>
    </x:row>
    <x:row r="5647" ht="32" customHeight="1">
      <x:c r="A5647" s="30" t="str">
        <x:v>A064</x:v>
      </x:c>
      <x:c r="B5647" s="30" t="str">
        <x:v>F358</x:v>
      </x:c>
      <x:c r="C5647" s="30" t="str">
        <x:v>cache.eviction_state</x:v>
      </x:c>
      <x:c r="D5647" s="30" t="str">
        <x:v>候选输入schema</x:v>
      </x:c>
      <x:c r="E5647" s="30" t="str">
        <x:v>按执行角色权限读取；策略只能使用可访问快照</x:v>
      </x:c>
    </x:row>
    <x:row r="5648" ht="32" customHeight="1">
      <x:c r="A5648" s="30" t="str">
        <x:v>A064</x:v>
      </x:c>
      <x:c r="B5648" s="30" t="str">
        <x:v>F351</x:v>
      </x:c>
      <x:c r="C5648" s="30" t="str">
        <x:v>cache.model_version</x:v>
      </x:c>
      <x:c r="D5648" s="30" t="str">
        <x:v>直接效果</x:v>
      </x:c>
      <x:c r="E5648" s="30" t="str">
        <x:v>经实际执行/回执提交；不是规划时提前修改</x:v>
      </x:c>
    </x:row>
    <x:row r="5649" ht="32" customHeight="1">
      <x:c r="A5649" s="30" t="str">
        <x:v>A064</x:v>
      </x:c>
      <x:c r="B5649" s="30" t="str">
        <x:v>F356</x:v>
      </x:c>
      <x:c r="C5649" s="30" t="str">
        <x:v>cache.reuse_compatible</x:v>
      </x:c>
      <x:c r="D5649" s="30" t="str">
        <x:v>直接效果</x:v>
      </x:c>
      <x:c r="E5649" s="30" t="str">
        <x:v>经实际执行/回执提交；不是规划时提前修改</x:v>
      </x:c>
    </x:row>
    <x:row r="5650" ht="32" customHeight="1">
      <x:c r="A5650" s="30" t="str">
        <x:v>A064</x:v>
      </x:c>
      <x:c r="B5650" s="30" t="str">
        <x:v>F170</x:v>
      </x:c>
      <x:c r="C5650" s="30" t="str">
        <x:v>observation.payload_ref</x:v>
      </x:c>
      <x:c r="D5650" s="30" t="str">
        <x:v>直接效果</x:v>
      </x:c>
      <x:c r="E5650" s="30" t="str">
        <x:v>经实际执行/回执提交；不是规划时提前修改</x:v>
      </x:c>
    </x:row>
    <x:row r="5651" ht="32" customHeight="1">
      <x:c r="A5651" s="30" t="str">
        <x:v>A065</x:v>
      </x:c>
      <x:c r="B5651" s="30" t="str">
        <x:v>F166</x:v>
      </x:c>
      <x:c r="C5651" s="30" t="str">
        <x:v>observation.observer_id</x:v>
      </x:c>
      <x:c r="D5651" s="30" t="str">
        <x:v>候选输入schema</x:v>
      </x:c>
      <x:c r="E5651" s="30" t="str">
        <x:v>按执行角色权限读取；策略只能使用可访问快照</x:v>
      </x:c>
    </x:row>
    <x:row r="5652" ht="32" customHeight="1">
      <x:c r="A5652" s="30" t="str">
        <x:v>A065</x:v>
      </x:c>
      <x:c r="B5652" s="30" t="str">
        <x:v>F167</x:v>
      </x:c>
      <x:c r="C5652" s="30" t="str">
        <x:v>observation.sensor_id</x:v>
      </x:c>
      <x:c r="D5652" s="30" t="str">
        <x:v>候选输入schema</x:v>
      </x:c>
      <x:c r="E5652" s="30" t="str">
        <x:v>按执行角色权限读取；策略只能使用可访问快照</x:v>
      </x:c>
    </x:row>
    <x:row r="5653" ht="32" customHeight="1">
      <x:c r="A5653" s="30" t="str">
        <x:v>A065</x:v>
      </x:c>
      <x:c r="B5653" s="30" t="str">
        <x:v>F168</x:v>
      </x:c>
      <x:c r="C5653" s="30" t="str">
        <x:v>observation.captured_at_s</x:v>
      </x:c>
      <x:c r="D5653" s="30" t="str">
        <x:v>候选输入schema</x:v>
      </x:c>
      <x:c r="E5653" s="30" t="str">
        <x:v>按执行角色权限读取；策略只能使用可访问快照</x:v>
      </x:c>
    </x:row>
    <x:row r="5654" ht="32" customHeight="1">
      <x:c r="A5654" s="30" t="str">
        <x:v>A065</x:v>
      </x:c>
      <x:c r="B5654" s="30" t="str">
        <x:v>F169</x:v>
      </x:c>
      <x:c r="C5654" s="30" t="str">
        <x:v>observation.pose_estimate</x:v>
      </x:c>
      <x:c r="D5654" s="30" t="str">
        <x:v>候选输入schema</x:v>
      </x:c>
      <x:c r="E5654" s="30" t="str">
        <x:v>按执行角色权限读取；策略只能使用可访问快照</x:v>
      </x:c>
    </x:row>
    <x:row r="5655" ht="32" customHeight="1">
      <x:c r="A5655" s="30" t="str">
        <x:v>A065</x:v>
      </x:c>
      <x:c r="B5655" s="30" t="str">
        <x:v>F170</x:v>
      </x:c>
      <x:c r="C5655" s="30" t="str">
        <x:v>observation.payload_ref</x:v>
      </x:c>
      <x:c r="D5655" s="30" t="str">
        <x:v>候选输入schema</x:v>
      </x:c>
      <x:c r="E5655" s="30" t="str">
        <x:v>按执行角色权限读取；策略只能使用可访问快照</x:v>
      </x:c>
    </x:row>
    <x:row r="5656" ht="32" customHeight="1">
      <x:c r="A5656" s="30" t="str">
        <x:v>A065</x:v>
      </x:c>
      <x:c r="B5656" s="30" t="str">
        <x:v>F171</x:v>
      </x:c>
      <x:c r="C5656" s="30" t="str">
        <x:v>observation.payload_bytes</x:v>
      </x:c>
      <x:c r="D5656" s="30" t="str">
        <x:v>候选输入schema</x:v>
      </x:c>
      <x:c r="E5656" s="30" t="str">
        <x:v>按执行角色权限读取；策略只能使用可访问快照</x:v>
      </x:c>
    </x:row>
    <x:row r="5657" ht="32" customHeight="1">
      <x:c r="A5657" s="30" t="str">
        <x:v>A065</x:v>
      </x:c>
      <x:c r="B5657" s="30" t="str">
        <x:v>F172</x:v>
      </x:c>
      <x:c r="C5657" s="30" t="str">
        <x:v>observation.content_hash</x:v>
      </x:c>
      <x:c r="D5657" s="30" t="str">
        <x:v>候选输入schema</x:v>
      </x:c>
      <x:c r="E5657" s="30" t="str">
        <x:v>按执行角色权限读取；策略只能使用可访问快照</x:v>
      </x:c>
    </x:row>
    <x:row r="5658" ht="32" customHeight="1">
      <x:c r="A5658" s="30" t="str">
        <x:v>A065</x:v>
      </x:c>
      <x:c r="B5658" s="30" t="str">
        <x:v>F173</x:v>
      </x:c>
      <x:c r="C5658" s="30" t="str">
        <x:v>observation.modality</x:v>
      </x:c>
      <x:c r="D5658" s="30" t="str">
        <x:v>候选输入schema</x:v>
      </x:c>
      <x:c r="E5658" s="30" t="str">
        <x:v>按执行角色权限读取；策略只能使用可访问快照</x:v>
      </x:c>
    </x:row>
    <x:row r="5659" ht="32" customHeight="1">
      <x:c r="A5659" s="30" t="str">
        <x:v>A065</x:v>
      </x:c>
      <x:c r="B5659" s="30" t="str">
        <x:v>F174</x:v>
      </x:c>
      <x:c r="C5659" s="30" t="str">
        <x:v>observation.detections</x:v>
      </x:c>
      <x:c r="D5659" s="30" t="str">
        <x:v>候选输入schema</x:v>
      </x:c>
      <x:c r="E5659" s="30" t="str">
        <x:v>按执行角色权限读取；策略只能使用可访问快照</x:v>
      </x:c>
    </x:row>
    <x:row r="5660" ht="32" customHeight="1">
      <x:c r="A5660" s="30" t="str">
        <x:v>A065</x:v>
      </x:c>
      <x:c r="B5660" s="30" t="str">
        <x:v>F175</x:v>
      </x:c>
      <x:c r="C5660" s="30" t="str">
        <x:v>observation.confidence</x:v>
      </x:c>
      <x:c r="D5660" s="30" t="str">
        <x:v>候选输入schema</x:v>
      </x:c>
      <x:c r="E5660" s="30" t="str">
        <x:v>按执行角色权限读取；策略只能使用可访问快照</x:v>
      </x:c>
    </x:row>
    <x:row r="5661" ht="32" customHeight="1">
      <x:c r="A5661" s="30" t="str">
        <x:v>A065</x:v>
      </x:c>
      <x:c r="B5661" s="30" t="str">
        <x:v>F176</x:v>
      </x:c>
      <x:c r="C5661" s="30" t="str">
        <x:v>observation.coverage_estimate</x:v>
      </x:c>
      <x:c r="D5661" s="30" t="str">
        <x:v>候选输入schema</x:v>
      </x:c>
      <x:c r="E5661" s="30" t="str">
        <x:v>按执行角色权限读取；策略只能使用可访问快照</x:v>
      </x:c>
    </x:row>
    <x:row r="5662" ht="32" customHeight="1">
      <x:c r="A5662" s="30" t="str">
        <x:v>A065</x:v>
      </x:c>
      <x:c r="B5662" s="30" t="str">
        <x:v>F177</x:v>
      </x:c>
      <x:c r="C5662" s="30" t="str">
        <x:v>observation.processing_job_id</x:v>
      </x:c>
      <x:c r="D5662" s="30" t="str">
        <x:v>候选输入schema</x:v>
      </x:c>
      <x:c r="E5662" s="30" t="str">
        <x:v>按执行角色权限读取；策略只能使用可访问快照</x:v>
      </x:c>
    </x:row>
    <x:row r="5663" ht="32" customHeight="1">
      <x:c r="A5663" s="30" t="str">
        <x:v>A065</x:v>
      </x:c>
      <x:c r="B5663" s="30" t="str">
        <x:v>F178</x:v>
      </x:c>
      <x:c r="C5663" s="30" t="str">
        <x:v>observation.parent_evidence_ids</x:v>
      </x:c>
      <x:c r="D5663" s="30" t="str">
        <x:v>候选输入schema</x:v>
      </x:c>
      <x:c r="E5663" s="30" t="str">
        <x:v>按执行角色权限读取；策略只能使用可访问快照</x:v>
      </x:c>
    </x:row>
    <x:row r="5664" ht="32" customHeight="1">
      <x:c r="A5664" s="30" t="str">
        <x:v>A065</x:v>
      </x:c>
      <x:c r="B5664" s="30" t="str">
        <x:v>F179</x:v>
      </x:c>
      <x:c r="C5664" s="30" t="str">
        <x:v>observation.valid_until_s</x:v>
      </x:c>
      <x:c r="D5664" s="30" t="str">
        <x:v>候选输入schema</x:v>
      </x:c>
      <x:c r="E5664" s="30" t="str">
        <x:v>按执行角色权限读取；策略只能使用可访问快照</x:v>
      </x:c>
    </x:row>
    <x:row r="5665" ht="32" customHeight="1">
      <x:c r="A5665" s="30" t="str">
        <x:v>A065</x:v>
      </x:c>
      <x:c r="B5665" s="30" t="str">
        <x:v>F180</x:v>
      </x:c>
      <x:c r="C5665" s="30" t="str">
        <x:v>observation.mode</x:v>
      </x:c>
      <x:c r="D5665" s="30" t="str">
        <x:v>候选输入schema</x:v>
      </x:c>
      <x:c r="E5665" s="30" t="str">
        <x:v>按执行角色权限读取；策略只能使用可访问快照</x:v>
      </x:c>
    </x:row>
    <x:row r="5666" ht="32" customHeight="1">
      <x:c r="A5666" s="30" t="str">
        <x:v>A065</x:v>
      </x:c>
      <x:c r="B5666" s="30" t="str">
        <x:v>F196</x:v>
      </x:c>
      <x:c r="C5666" s="30" t="str">
        <x:v>task.type</x:v>
      </x:c>
      <x:c r="D5666" s="30" t="str">
        <x:v>候选输入schema</x:v>
      </x:c>
      <x:c r="E5666" s="30" t="str">
        <x:v>按执行角色权限读取；策略只能使用可访问快照</x:v>
      </x:c>
    </x:row>
    <x:row r="5667" ht="32" customHeight="1">
      <x:c r="A5667" s="30" t="str">
        <x:v>A065</x:v>
      </x:c>
      <x:c r="B5667" s="30" t="str">
        <x:v>F197</x:v>
      </x:c>
      <x:c r="C5667" s="30" t="str">
        <x:v>task.creator_id</x:v>
      </x:c>
      <x:c r="D5667" s="30" t="str">
        <x:v>候选输入schema</x:v>
      </x:c>
      <x:c r="E5667" s="30" t="str">
        <x:v>按执行角色权限读取；策略只能使用可访问快照</x:v>
      </x:c>
    </x:row>
    <x:row r="5668" ht="32" customHeight="1">
      <x:c r="A5668" s="30" t="str">
        <x:v>A065</x:v>
      </x:c>
      <x:c r="B5668" s="30" t="str">
        <x:v>F198</x:v>
      </x:c>
      <x:c r="C5668" s="30" t="str">
        <x:v>task.target_ref</x:v>
      </x:c>
      <x:c r="D5668" s="30" t="str">
        <x:v>候选输入schema</x:v>
      </x:c>
      <x:c r="E5668" s="30" t="str">
        <x:v>按执行角色权限读取；策略只能使用可访问快照</x:v>
      </x:c>
    </x:row>
    <x:row r="5669" ht="32" customHeight="1">
      <x:c r="A5669" s="30" t="str">
        <x:v>A065</x:v>
      </x:c>
      <x:c r="B5669" s="30" t="str">
        <x:v>F199</x:v>
      </x:c>
      <x:c r="C5669" s="30" t="str">
        <x:v>task.goal_predicate</x:v>
      </x:c>
      <x:c r="D5669" s="30" t="str">
        <x:v>候选输入schema</x:v>
      </x:c>
      <x:c r="E5669" s="30" t="str">
        <x:v>按执行角色权限读取；策略只能使用可访问快照</x:v>
      </x:c>
    </x:row>
    <x:row r="5670" ht="32" customHeight="1">
      <x:c r="A5670" s="30" t="str">
        <x:v>A065</x:v>
      </x:c>
      <x:c r="B5670" s="30" t="str">
        <x:v>F200</x:v>
      </x:c>
      <x:c r="C5670" s="30" t="str">
        <x:v>task.revision</x:v>
      </x:c>
      <x:c r="D5670" s="30" t="str">
        <x:v>候选输入schema</x:v>
      </x:c>
      <x:c r="E5670" s="30" t="str">
        <x:v>按执行角色权限读取；策略只能使用可访问快照</x:v>
      </x:c>
    </x:row>
    <x:row r="5671" ht="32" customHeight="1">
      <x:c r="A5671" s="30" t="str">
        <x:v>A065</x:v>
      </x:c>
      <x:c r="B5671" s="30" t="str">
        <x:v>F201</x:v>
      </x:c>
      <x:c r="C5671" s="30" t="str">
        <x:v>task.status</x:v>
      </x:c>
      <x:c r="D5671" s="30" t="str">
        <x:v>候选输入schema</x:v>
      </x:c>
      <x:c r="E5671" s="30" t="str">
        <x:v>按执行角色权限读取；策略只能使用可访问快照</x:v>
      </x:c>
    </x:row>
    <x:row r="5672" ht="32" customHeight="1">
      <x:c r="A5672" s="30" t="str">
        <x:v>A065</x:v>
      </x:c>
      <x:c r="B5672" s="30" t="str">
        <x:v>F202</x:v>
      </x:c>
      <x:c r="C5672" s="30" t="str">
        <x:v>task.priority</x:v>
      </x:c>
      <x:c r="D5672" s="30" t="str">
        <x:v>候选输入schema</x:v>
      </x:c>
      <x:c r="E5672" s="30" t="str">
        <x:v>按执行角色权限读取；策略只能使用可访问快照</x:v>
      </x:c>
    </x:row>
    <x:row r="5673" ht="32" customHeight="1">
      <x:c r="A5673" s="30" t="str">
        <x:v>A065</x:v>
      </x:c>
      <x:c r="B5673" s="30" t="str">
        <x:v>F203</x:v>
      </x:c>
      <x:c r="C5673" s="30" t="str">
        <x:v>task.deadline_s</x:v>
      </x:c>
      <x:c r="D5673" s="30" t="str">
        <x:v>候选输入schema</x:v>
      </x:c>
      <x:c r="E5673" s="30" t="str">
        <x:v>按执行角色权限读取；策略只能使用可访问快照</x:v>
      </x:c>
    </x:row>
    <x:row r="5674" ht="32" customHeight="1">
      <x:c r="A5674" s="30" t="str">
        <x:v>A065</x:v>
      </x:c>
      <x:c r="B5674" s="30" t="str">
        <x:v>F204</x:v>
      </x:c>
      <x:c r="C5674" s="30" t="str">
        <x:v>task.dependency_ids</x:v>
      </x:c>
      <x:c r="D5674" s="30" t="str">
        <x:v>候选输入schema</x:v>
      </x:c>
      <x:c r="E5674" s="30" t="str">
        <x:v>按执行角色权限读取；策略只能使用可访问快照</x:v>
      </x:c>
    </x:row>
    <x:row r="5675" ht="32" customHeight="1">
      <x:c r="A5675" s="30" t="str">
        <x:v>A065</x:v>
      </x:c>
      <x:c r="B5675" s="30" t="str">
        <x:v>F205</x:v>
      </x:c>
      <x:c r="C5675" s="30" t="str">
        <x:v>task.required_capability_ids</x:v>
      </x:c>
      <x:c r="D5675" s="30" t="str">
        <x:v>候选输入schema</x:v>
      </x:c>
      <x:c r="E5675" s="30" t="str">
        <x:v>按执行角色权限读取；策略只能使用可访问快照</x:v>
      </x:c>
    </x:row>
    <x:row r="5676" ht="32" customHeight="1">
      <x:c r="A5676" s="30" t="str">
        <x:v>A065</x:v>
      </x:c>
      <x:c r="B5676" s="30" t="str">
        <x:v>F206</x:v>
      </x:c>
      <x:c r="C5676" s="30" t="str">
        <x:v>task.resource_budget</x:v>
      </x:c>
      <x:c r="D5676" s="30" t="str">
        <x:v>候选输入schema</x:v>
      </x:c>
      <x:c r="E5676" s="30" t="str">
        <x:v>按执行角色权限读取；策略只能使用可访问快照</x:v>
      </x:c>
    </x:row>
    <x:row r="5677" ht="32" customHeight="1">
      <x:c r="A5677" s="30" t="str">
        <x:v>A065</x:v>
      </x:c>
      <x:c r="B5677" s="30" t="str">
        <x:v>F207</x:v>
      </x:c>
      <x:c r="C5677" s="30" t="str">
        <x:v>task.assigned_to</x:v>
      </x:c>
      <x:c r="D5677" s="30" t="str">
        <x:v>候选输入schema</x:v>
      </x:c>
      <x:c r="E5677" s="30" t="str">
        <x:v>按执行角色权限读取；策略只能使用可访问快照</x:v>
      </x:c>
    </x:row>
    <x:row r="5678" ht="32" customHeight="1">
      <x:c r="A5678" s="30" t="str">
        <x:v>A065</x:v>
      </x:c>
      <x:c r="B5678" s="30" t="str">
        <x:v>F208</x:v>
      </x:c>
      <x:c r="C5678" s="30" t="str">
        <x:v>task.accepted_by</x:v>
      </x:c>
      <x:c r="D5678" s="30" t="str">
        <x:v>候选输入schema</x:v>
      </x:c>
      <x:c r="E5678" s="30" t="str">
        <x:v>按执行角色权限读取；策略只能使用可访问快照</x:v>
      </x:c>
    </x:row>
    <x:row r="5679" ht="32" customHeight="1">
      <x:c r="A5679" s="30" t="str">
        <x:v>A065</x:v>
      </x:c>
      <x:c r="B5679" s="30" t="str">
        <x:v>F209</x:v>
      </x:c>
      <x:c r="C5679" s="30" t="str">
        <x:v>task.commitment_window</x:v>
      </x:c>
      <x:c r="D5679" s="30" t="str">
        <x:v>候选输入schema</x:v>
      </x:c>
      <x:c r="E5679" s="30" t="str">
        <x:v>按执行角色权限读取；策略只能使用可访问快照</x:v>
      </x:c>
    </x:row>
    <x:row r="5680" ht="32" customHeight="1">
      <x:c r="A5680" s="30" t="str">
        <x:v>A065</x:v>
      </x:c>
      <x:c r="B5680" s="30" t="str">
        <x:v>F210</x:v>
      </x:c>
      <x:c r="C5680" s="30" t="str">
        <x:v>task.progress</x:v>
      </x:c>
      <x:c r="D5680" s="30" t="str">
        <x:v>候选输入schema</x:v>
      </x:c>
      <x:c r="E5680" s="30" t="str">
        <x:v>按执行角色权限读取；策略只能使用可访问快照</x:v>
      </x:c>
    </x:row>
    <x:row r="5681" ht="32" customHeight="1">
      <x:c r="A5681" s="30" t="str">
        <x:v>A065</x:v>
      </x:c>
      <x:c r="B5681" s="30" t="str">
        <x:v>F211</x:v>
      </x:c>
      <x:c r="C5681" s="30" t="str">
        <x:v>task.active_action_ids</x:v>
      </x:c>
      <x:c r="D5681" s="30" t="str">
        <x:v>候选输入schema</x:v>
      </x:c>
      <x:c r="E5681" s="30" t="str">
        <x:v>按执行角色权限读取；策略只能使用可访问快照</x:v>
      </x:c>
    </x:row>
    <x:row r="5682" ht="32" customHeight="1">
      <x:c r="A5682" s="30" t="str">
        <x:v>A065</x:v>
      </x:c>
      <x:c r="B5682" s="30" t="str">
        <x:v>F212</x:v>
      </x:c>
      <x:c r="C5682" s="30" t="str">
        <x:v>task.interruptibility</x:v>
      </x:c>
      <x:c r="D5682" s="30" t="str">
        <x:v>候选输入schema</x:v>
      </x:c>
      <x:c r="E5682" s="30" t="str">
        <x:v>按执行角色权限读取；策略只能使用可访问快照</x:v>
      </x:c>
    </x:row>
    <x:row r="5683" ht="32" customHeight="1">
      <x:c r="A5683" s="30" t="str">
        <x:v>A065</x:v>
      </x:c>
      <x:c r="B5683" s="30" t="str">
        <x:v>F213</x:v>
      </x:c>
      <x:c r="C5683" s="30" t="str">
        <x:v>task.original_task_id</x:v>
      </x:c>
      <x:c r="D5683" s="30" t="str">
        <x:v>候选输入schema</x:v>
      </x:c>
      <x:c r="E5683" s="30" t="str">
        <x:v>按执行角色权限读取；策略只能使用可访问快照</x:v>
      </x:c>
    </x:row>
    <x:row r="5684" ht="32" customHeight="1">
      <x:c r="A5684" s="30" t="str">
        <x:v>A065</x:v>
      </x:c>
      <x:c r="B5684" s="30" t="str">
        <x:v>F214</x:v>
      </x:c>
      <x:c r="C5684" s="30" t="str">
        <x:v>task.resume_checkpoint</x:v>
      </x:c>
      <x:c r="D5684" s="30" t="str">
        <x:v>候选输入schema</x:v>
      </x:c>
      <x:c r="E5684" s="30" t="str">
        <x:v>按执行角色权限读取；策略只能使用可访问快照</x:v>
      </x:c>
    </x:row>
    <x:row r="5685" ht="32" customHeight="1">
      <x:c r="A5685" s="30" t="str">
        <x:v>A065</x:v>
      </x:c>
      <x:c r="B5685" s="30" t="str">
        <x:v>F215</x:v>
      </x:c>
      <x:c r="C5685" s="30" t="str">
        <x:v>task.handoff_target_id</x:v>
      </x:c>
      <x:c r="D5685" s="30" t="str">
        <x:v>候选输入schema</x:v>
      </x:c>
      <x:c r="E5685" s="30" t="str">
        <x:v>按执行角色权限读取；策略只能使用可访问快照</x:v>
      </x:c>
    </x:row>
    <x:row r="5686" ht="32" customHeight="1">
      <x:c r="A5686" s="30" t="str">
        <x:v>A065</x:v>
      </x:c>
      <x:c r="B5686" s="30" t="str">
        <x:v>F216</x:v>
      </x:c>
      <x:c r="C5686" s="30" t="str">
        <x:v>task.result_evidence_ids</x:v>
      </x:c>
      <x:c r="D5686" s="30" t="str">
        <x:v>候选输入schema</x:v>
      </x:c>
      <x:c r="E5686" s="30" t="str">
        <x:v>按执行角色权限读取；策略只能使用可访问快照</x:v>
      </x:c>
    </x:row>
    <x:row r="5687" ht="32" customHeight="1">
      <x:c r="A5687" s="30" t="str">
        <x:v>A065</x:v>
      </x:c>
      <x:c r="B5687" s="30" t="str">
        <x:v>F217</x:v>
      </x:c>
      <x:c r="C5687" s="30" t="str">
        <x:v>task.failure_reason</x:v>
      </x:c>
      <x:c r="D5687" s="30" t="str">
        <x:v>候选输入schema</x:v>
      </x:c>
      <x:c r="E5687" s="30" t="str">
        <x:v>按执行角色权限读取；策略只能使用可访问快照</x:v>
      </x:c>
    </x:row>
    <x:row r="5688" ht="32" customHeight="1">
      <x:c r="A5688" s="30" t="str">
        <x:v>A065</x:v>
      </x:c>
      <x:c r="B5688" s="30" t="str">
        <x:v>F218</x:v>
      </x:c>
      <x:c r="C5688" s="30" t="str">
        <x:v>task.last_event_s</x:v>
      </x:c>
      <x:c r="D5688" s="30" t="str">
        <x:v>候选输入schema</x:v>
      </x:c>
      <x:c r="E5688" s="30" t="str">
        <x:v>按执行角色权限读取；策略只能使用可访问快照</x:v>
      </x:c>
    </x:row>
    <x:row r="5689" ht="32" customHeight="1">
      <x:c r="A5689" s="30" t="str">
        <x:v>A065</x:v>
      </x:c>
      <x:c r="B5689" s="30" t="str">
        <x:v>F219</x:v>
      </x:c>
      <x:c r="C5689" s="30" t="str">
        <x:v>task.opportunity_cost</x:v>
      </x:c>
      <x:c r="D5689" s="30" t="str">
        <x:v>候选输入schema</x:v>
      </x:c>
      <x:c r="E5689" s="30" t="str">
        <x:v>按执行角色权限读取；策略只能使用可访问快照</x:v>
      </x:c>
    </x:row>
    <x:row r="5690" ht="32" customHeight="1">
      <x:c r="A5690" s="30" t="str">
        <x:v>A065</x:v>
      </x:c>
      <x:c r="B5690" s="30" t="str">
        <x:v>F220</x:v>
      </x:c>
      <x:c r="C5690" s="30" t="str">
        <x:v>assignment.task_ref</x:v>
      </x:c>
      <x:c r="D5690" s="30" t="str">
        <x:v>候选输入schema</x:v>
      </x:c>
      <x:c r="E5690" s="30" t="str">
        <x:v>按执行角色权限读取；策略只能使用可访问快照</x:v>
      </x:c>
    </x:row>
    <x:row r="5691" ht="32" customHeight="1">
      <x:c r="A5691" s="30" t="str">
        <x:v>A065</x:v>
      </x:c>
      <x:c r="B5691" s="30" t="str">
        <x:v>F221</x:v>
      </x:c>
      <x:c r="C5691" s="30" t="str">
        <x:v>assignment.sender_id</x:v>
      </x:c>
      <x:c r="D5691" s="30" t="str">
        <x:v>候选输入schema</x:v>
      </x:c>
      <x:c r="E5691" s="30" t="str">
        <x:v>按执行角色权限读取；策略只能使用可访问快照</x:v>
      </x:c>
    </x:row>
    <x:row r="5692" ht="32" customHeight="1">
      <x:c r="A5692" s="30" t="str">
        <x:v>A065</x:v>
      </x:c>
      <x:c r="B5692" s="30" t="str">
        <x:v>F222</x:v>
      </x:c>
      <x:c r="C5692" s="30" t="str">
        <x:v>assignment.receiver_id</x:v>
      </x:c>
      <x:c r="D5692" s="30" t="str">
        <x:v>候选输入schema</x:v>
      </x:c>
      <x:c r="E5692" s="30" t="str">
        <x:v>按执行角色权限读取；策略只能使用可访问快照</x:v>
      </x:c>
    </x:row>
    <x:row r="5693" ht="32" customHeight="1">
      <x:c r="A5693" s="30" t="str">
        <x:v>A065</x:v>
      </x:c>
      <x:c r="B5693" s="30" t="str">
        <x:v>F223</x:v>
      </x:c>
      <x:c r="C5693" s="30" t="str">
        <x:v>assignment.bid</x:v>
      </x:c>
      <x:c r="D5693" s="30" t="str">
        <x:v>候选输入schema</x:v>
      </x:c>
      <x:c r="E5693" s="30" t="str">
        <x:v>按执行角色权限读取；策略只能使用可访问快照</x:v>
      </x:c>
    </x:row>
    <x:row r="5694" ht="32" customHeight="1">
      <x:c r="A5694" s="30" t="str">
        <x:v>A065</x:v>
      </x:c>
      <x:c r="B5694" s="30" t="str">
        <x:v>F224</x:v>
      </x:c>
      <x:c r="C5694" s="30" t="str">
        <x:v>assignment.message_id</x:v>
      </x:c>
      <x:c r="D5694" s="30" t="str">
        <x:v>候选输入schema</x:v>
      </x:c>
      <x:c r="E5694" s="30" t="str">
        <x:v>按执行角色权限读取；策略只能使用可访问快照</x:v>
      </x:c>
    </x:row>
    <x:row r="5695" ht="32" customHeight="1">
      <x:c r="A5695" s="30" t="str">
        <x:v>A065</x:v>
      </x:c>
      <x:c r="B5695" s="30" t="str">
        <x:v>F225</x:v>
      </x:c>
      <x:c r="C5695" s="30" t="str">
        <x:v>assignment.delivery_state</x:v>
      </x:c>
      <x:c r="D5695" s="30" t="str">
        <x:v>候选输入schema</x:v>
      </x:c>
      <x:c r="E5695" s="30" t="str">
        <x:v>按执行角色权限读取；策略只能使用可访问快照</x:v>
      </x:c>
    </x:row>
    <x:row r="5696" ht="32" customHeight="1">
      <x:c r="A5696" s="30" t="str">
        <x:v>A065</x:v>
      </x:c>
      <x:c r="B5696" s="30" t="str">
        <x:v>F226</x:v>
      </x:c>
      <x:c r="C5696" s="30" t="str">
        <x:v>assignment.decision</x:v>
      </x:c>
      <x:c r="D5696" s="30" t="str">
        <x:v>候选输入schema</x:v>
      </x:c>
      <x:c r="E5696" s="30" t="str">
        <x:v>按执行角色权限读取；策略只能使用可访问快照</x:v>
      </x:c>
    </x:row>
    <x:row r="5697" ht="32" customHeight="1">
      <x:c r="A5697" s="30" t="str">
        <x:v>A065</x:v>
      </x:c>
      <x:c r="B5697" s="30" t="str">
        <x:v>F227</x:v>
      </x:c>
      <x:c r="C5697" s="30" t="str">
        <x:v>assignment.decision_reason</x:v>
      </x:c>
      <x:c r="D5697" s="30" t="str">
        <x:v>候选输入schema</x:v>
      </x:c>
      <x:c r="E5697" s="30" t="str">
        <x:v>按执行角色权限读取；策略只能使用可访问快照</x:v>
      </x:c>
    </x:row>
    <x:row r="5698" ht="32" customHeight="1">
      <x:c r="A5698" s="30" t="str">
        <x:v>A065</x:v>
      </x:c>
      <x:c r="B5698" s="30" t="str">
        <x:v>F228</x:v>
      </x:c>
      <x:c r="C5698" s="30" t="str">
        <x:v>assignment.lease_end_s</x:v>
      </x:c>
      <x:c r="D5698" s="30" t="str">
        <x:v>候选输入schema</x:v>
      </x:c>
      <x:c r="E5698" s="30" t="str">
        <x:v>按执行角色权限读取；策略只能使用可访问快照</x:v>
      </x:c>
    </x:row>
    <x:row r="5699" ht="32" customHeight="1">
      <x:c r="A5699" s="30" t="str">
        <x:v>A065</x:v>
      </x:c>
      <x:c r="B5699" s="30" t="str">
        <x:v>F229</x:v>
      </x:c>
      <x:c r="C5699" s="30" t="str">
        <x:v>assignment.acknowledged_revision</x:v>
      </x:c>
      <x:c r="D5699" s="30" t="str">
        <x:v>候选输入schema</x:v>
      </x:c>
      <x:c r="E5699" s="30" t="str">
        <x:v>按执行角色权限读取；策略只能使用可访问快照</x:v>
      </x:c>
    </x:row>
    <x:row r="5700" ht="32" customHeight="1">
      <x:c r="A5700" s="30" t="str">
        <x:v>A065</x:v>
      </x:c>
      <x:c r="B5700" s="30" t="str">
        <x:v>F246</x:v>
      </x:c>
      <x:c r="C5700" s="30" t="str">
        <x:v>radio.interface_id</x:v>
      </x:c>
      <x:c r="D5700" s="30" t="str">
        <x:v>候选输入schema</x:v>
      </x:c>
      <x:c r="E5700" s="30" t="str">
        <x:v>按执行角色权限读取；策略只能使用可访问快照</x:v>
      </x:c>
    </x:row>
    <x:row r="5701" ht="32" customHeight="1">
      <x:c r="A5701" s="30" t="str">
        <x:v>A065</x:v>
      </x:c>
      <x:c r="B5701" s="30" t="str">
        <x:v>F247</x:v>
      </x:c>
      <x:c r="C5701" s="30" t="str">
        <x:v>radio.protocol</x:v>
      </x:c>
      <x:c r="D5701" s="30" t="str">
        <x:v>候选输入schema</x:v>
      </x:c>
      <x:c r="E5701" s="30" t="str">
        <x:v>按执行角色权限读取；策略只能使用可访问快照</x:v>
      </x:c>
    </x:row>
    <x:row r="5702" ht="32" customHeight="1">
      <x:c r="A5702" s="30" t="str">
        <x:v>A065</x:v>
      </x:c>
      <x:c r="B5702" s="30" t="str">
        <x:v>F248</x:v>
      </x:c>
      <x:c r="C5702" s="30" t="str">
        <x:v>radio.channel</x:v>
      </x:c>
      <x:c r="D5702" s="30" t="str">
        <x:v>候选输入schema</x:v>
      </x:c>
      <x:c r="E5702" s="30" t="str">
        <x:v>按执行角色权限读取；策略只能使用可访问快照</x:v>
      </x:c>
    </x:row>
    <x:row r="5703" ht="32" customHeight="1">
      <x:c r="A5703" s="30" t="str">
        <x:v>A065</x:v>
      </x:c>
      <x:c r="B5703" s="30" t="str">
        <x:v>F249</x:v>
      </x:c>
      <x:c r="C5703" s="30" t="str">
        <x:v>radio.tx_power_dbm</x:v>
      </x:c>
      <x:c r="D5703" s="30" t="str">
        <x:v>候选输入schema</x:v>
      </x:c>
      <x:c r="E5703" s="30" t="str">
        <x:v>按执行角色权限读取；策略只能使用可访问快照</x:v>
      </x:c>
    </x:row>
    <x:row r="5704" ht="32" customHeight="1">
      <x:c r="A5704" s="30" t="str">
        <x:v>A065</x:v>
      </x:c>
      <x:c r="B5704" s="30" t="str">
        <x:v>F250</x:v>
      </x:c>
      <x:c r="C5704" s="30" t="str">
        <x:v>radio.antenna</x:v>
      </x:c>
      <x:c r="D5704" s="30" t="str">
        <x:v>候选输入schema</x:v>
      </x:c>
      <x:c r="E5704" s="30" t="str">
        <x:v>按执行角色权限读取；策略只能使用可访问快照</x:v>
      </x:c>
    </x:row>
    <x:row r="5705" ht="32" customHeight="1">
      <x:c r="A5705" s="30" t="str">
        <x:v>A065</x:v>
      </x:c>
      <x:c r="B5705" s="30" t="str">
        <x:v>F251</x:v>
      </x:c>
      <x:c r="C5705" s="30" t="str">
        <x:v>radio.enabled</x:v>
      </x:c>
      <x:c r="D5705" s="30" t="str">
        <x:v>候选输入schema</x:v>
      </x:c>
      <x:c r="E5705" s="30" t="str">
        <x:v>按执行角色权限读取；策略只能使用可访问快照</x:v>
      </x:c>
    </x:row>
    <x:row r="5706" ht="32" customHeight="1">
      <x:c r="A5706" s="30" t="str">
        <x:v>A065</x:v>
      </x:c>
      <x:c r="B5706" s="30" t="str">
        <x:v>F252</x:v>
      </x:c>
      <x:c r="C5706" s="30" t="str">
        <x:v>radio.phy_state</x:v>
      </x:c>
      <x:c r="D5706" s="30" t="str">
        <x:v>候选输入schema</x:v>
      </x:c>
      <x:c r="E5706" s="30" t="str">
        <x:v>按执行角色权限读取；策略只能使用可访问快照</x:v>
      </x:c>
    </x:row>
    <x:row r="5707" ht="32" customHeight="1">
      <x:c r="A5707" s="30" t="str">
        <x:v>A065</x:v>
      </x:c>
      <x:c r="B5707" s="30" t="str">
        <x:v>F253</x:v>
      </x:c>
      <x:c r="C5707" s="30" t="str">
        <x:v>radio.queue_bytes</x:v>
      </x:c>
      <x:c r="D5707" s="30" t="str">
        <x:v>候选输入schema</x:v>
      </x:c>
      <x:c r="E5707" s="30" t="str">
        <x:v>按执行角色权限读取；策略只能使用可访问快照</x:v>
      </x:c>
    </x:row>
    <x:row r="5708" ht="32" customHeight="1">
      <x:c r="A5708" s="30" t="str">
        <x:v>A065</x:v>
      </x:c>
      <x:c r="B5708" s="30" t="str">
        <x:v>F254</x:v>
      </x:c>
      <x:c r="C5708" s="30" t="str">
        <x:v>radio.queue_limit_bytes</x:v>
      </x:c>
      <x:c r="D5708" s="30" t="str">
        <x:v>候选输入schema</x:v>
      </x:c>
      <x:c r="E5708" s="30" t="str">
        <x:v>按执行角色权限读取；策略只能使用可访问快照</x:v>
      </x:c>
    </x:row>
    <x:row r="5709" ht="32" customHeight="1">
      <x:c r="A5709" s="30" t="str">
        <x:v>A065</x:v>
      </x:c>
      <x:c r="B5709" s="30" t="str">
        <x:v>F255</x:v>
      </x:c>
      <x:c r="C5709" s="30" t="str">
        <x:v>radio.mtu_bytes</x:v>
      </x:c>
      <x:c r="D5709" s="30" t="str">
        <x:v>候选输入schema</x:v>
      </x:c>
      <x:c r="E5709" s="30" t="str">
        <x:v>按执行角色权限读取；策略只能使用可访问快照</x:v>
      </x:c>
    </x:row>
    <x:row r="5710" ht="32" customHeight="1">
      <x:c r="A5710" s="30" t="str">
        <x:v>A065</x:v>
      </x:c>
      <x:c r="B5710" s="30" t="str">
        <x:v>F256</x:v>
      </x:c>
      <x:c r="C5710" s="30" t="str">
        <x:v>radio.retry_limit</x:v>
      </x:c>
      <x:c r="D5710" s="30" t="str">
        <x:v>候选输入schema</x:v>
      </x:c>
      <x:c r="E5710" s="30" t="str">
        <x:v>按执行角色权限读取；策略只能使用可访问快照</x:v>
      </x:c>
    </x:row>
    <x:row r="5711" ht="32" customHeight="1">
      <x:c r="A5711" s="30" t="str">
        <x:v>A065</x:v>
      </x:c>
      <x:c r="B5711" s="30" t="str">
        <x:v>F257</x:v>
      </x:c>
      <x:c r="C5711" s="30" t="str">
        <x:v>radio.routing_mode</x:v>
      </x:c>
      <x:c r="D5711" s="30" t="str">
        <x:v>候选输入schema</x:v>
      </x:c>
      <x:c r="E5711" s="30" t="str">
        <x:v>按执行角色权限读取；策略只能使用可访问快照</x:v>
      </x:c>
    </x:row>
    <x:row r="5712" ht="32" customHeight="1">
      <x:c r="A5712" s="30" t="str">
        <x:v>A065</x:v>
      </x:c>
      <x:c r="B5712" s="30" t="str">
        <x:v>F258</x:v>
      </x:c>
      <x:c r="C5712" s="30" t="str">
        <x:v>radio.energy_Wh</x:v>
      </x:c>
      <x:c r="D5712" s="30" t="str">
        <x:v>候选输入schema</x:v>
      </x:c>
      <x:c r="E5712" s="30" t="str">
        <x:v>按执行角色权限读取；策略只能使用可访问快照</x:v>
      </x:c>
    </x:row>
    <x:row r="5713" ht="32" customHeight="1">
      <x:c r="A5713" s="30" t="str">
        <x:v>A065</x:v>
      </x:c>
      <x:c r="B5713" s="30" t="str">
        <x:v>F259</x:v>
      </x:c>
      <x:c r="C5713" s="30" t="str">
        <x:v>radio.position_source</x:v>
      </x:c>
      <x:c r="D5713" s="30" t="str">
        <x:v>候选输入schema</x:v>
      </x:c>
      <x:c r="E5713" s="30" t="str">
        <x:v>按执行角色权限读取；策略只能使用可访问快照</x:v>
      </x:c>
    </x:row>
    <x:row r="5714" ht="32" customHeight="1">
      <x:c r="A5714" s="30" t="str">
        <x:v>A065</x:v>
      </x:c>
      <x:c r="B5714" s="30" t="str">
        <x:v>F260</x:v>
      </x:c>
      <x:c r="C5714" s="30" t="str">
        <x:v>radio.last_contact_s</x:v>
      </x:c>
      <x:c r="D5714" s="30" t="str">
        <x:v>候选输入schema</x:v>
      </x:c>
      <x:c r="E5714" s="30" t="str">
        <x:v>按执行角色权限读取；策略只能使用可访问快照</x:v>
      </x:c>
    </x:row>
    <x:row r="5715" ht="32" customHeight="1">
      <x:c r="A5715" s="30" t="str">
        <x:v>A065</x:v>
      </x:c>
      <x:c r="B5715" s="30" t="str">
        <x:v>F261</x:v>
      </x:c>
      <x:c r="C5715" s="30" t="str">
        <x:v>radio.relay_enabled</x:v>
      </x:c>
      <x:c r="D5715" s="30" t="str">
        <x:v>候选输入schema</x:v>
      </x:c>
      <x:c r="E5715" s="30" t="str">
        <x:v>按执行角色权限读取；策略只能使用可访问快照</x:v>
      </x:c>
    </x:row>
    <x:row r="5716" ht="32" customHeight="1">
      <x:c r="A5716" s="30" t="str">
        <x:v>A065</x:v>
      </x:c>
      <x:c r="B5716" s="30" t="str">
        <x:v>F262</x:v>
      </x:c>
      <x:c r="C5716" s="30" t="str">
        <x:v>link.sender_id</x:v>
      </x:c>
      <x:c r="D5716" s="30" t="str">
        <x:v>候选输入schema</x:v>
      </x:c>
      <x:c r="E5716" s="30" t="str">
        <x:v>按执行角色权限读取；策略只能使用可访问快照</x:v>
      </x:c>
    </x:row>
    <x:row r="5717" ht="32" customHeight="1">
      <x:c r="A5717" s="30" t="str">
        <x:v>A065</x:v>
      </x:c>
      <x:c r="B5717" s="30" t="str">
        <x:v>F263</x:v>
      </x:c>
      <x:c r="C5717" s="30" t="str">
        <x:v>link.receiver_id</x:v>
      </x:c>
      <x:c r="D5717" s="30" t="str">
        <x:v>候选输入schema</x:v>
      </x:c>
      <x:c r="E5717" s="30" t="str">
        <x:v>按执行角色权限读取；策略只能使用可访问快照</x:v>
      </x:c>
    </x:row>
    <x:row r="5718" ht="32" customHeight="1">
      <x:c r="A5718" s="30" t="str">
        <x:v>A065</x:v>
      </x:c>
      <x:c r="B5718" s="30" t="str">
        <x:v>F264</x:v>
      </x:c>
      <x:c r="C5718" s="30" t="str">
        <x:v>link.state</x:v>
      </x:c>
      <x:c r="D5718" s="30" t="str">
        <x:v>候选输入schema</x:v>
      </x:c>
      <x:c r="E5718" s="30" t="str">
        <x:v>按执行角色权限读取；策略只能使用可访问快照</x:v>
      </x:c>
    </x:row>
    <x:row r="5719" ht="32" customHeight="1">
      <x:c r="A5719" s="30" t="str">
        <x:v>A065</x:v>
      </x:c>
      <x:c r="B5719" s="30" t="str">
        <x:v>F265</x:v>
      </x:c>
      <x:c r="C5719" s="30" t="str">
        <x:v>link.rssi_dbm</x:v>
      </x:c>
      <x:c r="D5719" s="30" t="str">
        <x:v>候选输入schema</x:v>
      </x:c>
      <x:c r="E5719" s="30" t="str">
        <x:v>按执行角色权限读取；策略只能使用可访问快照</x:v>
      </x:c>
    </x:row>
    <x:row r="5720" ht="32" customHeight="1">
      <x:c r="A5720" s="30" t="str">
        <x:v>A065</x:v>
      </x:c>
      <x:c r="B5720" s="30" t="str">
        <x:v>F266</x:v>
      </x:c>
      <x:c r="C5720" s="30" t="str">
        <x:v>link.sinr_db</x:v>
      </x:c>
      <x:c r="D5720" s="30" t="str">
        <x:v>候选输入schema</x:v>
      </x:c>
      <x:c r="E5720" s="30" t="str">
        <x:v>按执行角色权限读取；策略只能使用可访问快照</x:v>
      </x:c>
    </x:row>
    <x:row r="5721" ht="32" customHeight="1">
      <x:c r="A5721" s="30" t="str">
        <x:v>A065</x:v>
      </x:c>
      <x:c r="B5721" s="30" t="str">
        <x:v>F267</x:v>
      </x:c>
      <x:c r="C5721" s="30" t="str">
        <x:v>link.goodput_bps</x:v>
      </x:c>
      <x:c r="D5721" s="30" t="str">
        <x:v>候选输入schema</x:v>
      </x:c>
      <x:c r="E5721" s="30" t="str">
        <x:v>按执行角色权限读取；策略只能使用可访问快照</x:v>
      </x:c>
    </x:row>
    <x:row r="5722" ht="32" customHeight="1">
      <x:c r="A5722" s="30" t="str">
        <x:v>A065</x:v>
      </x:c>
      <x:c r="B5722" s="30" t="str">
        <x:v>F268</x:v>
      </x:c>
      <x:c r="C5722" s="30" t="str">
        <x:v>link.latency_s</x:v>
      </x:c>
      <x:c r="D5722" s="30" t="str">
        <x:v>候选输入schema</x:v>
      </x:c>
      <x:c r="E5722" s="30" t="str">
        <x:v>按执行角色权限读取；策略只能使用可访问快照</x:v>
      </x:c>
    </x:row>
    <x:row r="5723" ht="32" customHeight="1">
      <x:c r="A5723" s="30" t="str">
        <x:v>A065</x:v>
      </x:c>
      <x:c r="B5723" s="30" t="str">
        <x:v>F269</x:v>
      </x:c>
      <x:c r="C5723" s="30" t="str">
        <x:v>link.loss_rate</x:v>
      </x:c>
      <x:c r="D5723" s="30" t="str">
        <x:v>候选输入schema</x:v>
      </x:c>
      <x:c r="E5723" s="30" t="str">
        <x:v>按执行角色权限读取；策略只能使用可访问快照</x:v>
      </x:c>
    </x:row>
    <x:row r="5724" ht="32" customHeight="1">
      <x:c r="A5724" s="30" t="str">
        <x:v>A065</x:v>
      </x:c>
      <x:c r="B5724" s="30" t="str">
        <x:v>F270</x:v>
      </x:c>
      <x:c r="C5724" s="30" t="str">
        <x:v>link.sample_count</x:v>
      </x:c>
      <x:c r="D5724" s="30" t="str">
        <x:v>候选输入schema</x:v>
      </x:c>
      <x:c r="E5724" s="30" t="str">
        <x:v>按执行角色权限读取；策略只能使用可访问快照</x:v>
      </x:c>
    </x:row>
    <x:row r="5725" ht="32" customHeight="1">
      <x:c r="A5725" s="30" t="str">
        <x:v>A065</x:v>
      </x:c>
      <x:c r="B5725" s="30" t="str">
        <x:v>F271</x:v>
      </x:c>
      <x:c r="C5725" s="30" t="str">
        <x:v>link.sampled_at_s</x:v>
      </x:c>
      <x:c r="D5725" s="30" t="str">
        <x:v>候选输入schema</x:v>
      </x:c>
      <x:c r="E5725" s="30" t="str">
        <x:v>按执行角色权限读取；策略只能使用可访问快照</x:v>
      </x:c>
    </x:row>
    <x:row r="5726" ht="32" customHeight="1">
      <x:c r="A5726" s="30" t="str">
        <x:v>A065</x:v>
      </x:c>
      <x:c r="B5726" s="30" t="str">
        <x:v>F272</x:v>
      </x:c>
      <x:c r="C5726" s="30" t="str">
        <x:v>link.route</x:v>
      </x:c>
      <x:c r="D5726" s="30" t="str">
        <x:v>候选输入schema</x:v>
      </x:c>
      <x:c r="E5726" s="30" t="str">
        <x:v>按执行角色权限读取；策略只能使用可访问快照</x:v>
      </x:c>
    </x:row>
    <x:row r="5727" ht="32" customHeight="1">
      <x:c r="A5727" s="30" t="str">
        <x:v>A065</x:v>
      </x:c>
      <x:c r="B5727" s="30" t="str">
        <x:v>F273</x:v>
      </x:c>
      <x:c r="C5727" s="30" t="str">
        <x:v>link.outage_duration_s</x:v>
      </x:c>
      <x:c r="D5727" s="30" t="str">
        <x:v>候选输入schema</x:v>
      </x:c>
      <x:c r="E5727" s="30" t="str">
        <x:v>按执行角色权限读取；策略只能使用可访问快照</x:v>
      </x:c>
    </x:row>
    <x:row r="5728" ht="32" customHeight="1">
      <x:c r="A5728" s="30" t="str">
        <x:v>A065</x:v>
      </x:c>
      <x:c r="B5728" s="30" t="str">
        <x:v>F274</x:v>
      </x:c>
      <x:c r="C5728" s="30" t="str">
        <x:v>link.quality_source</x:v>
      </x:c>
      <x:c r="D5728" s="30" t="str">
        <x:v>候选输入schema</x:v>
      </x:c>
      <x:c r="E5728" s="30" t="str">
        <x:v>按执行角色权限读取；策略只能使用可访问快照</x:v>
      </x:c>
    </x:row>
    <x:row r="5729" ht="32" customHeight="1">
      <x:c r="A5729" s="30" t="str">
        <x:v>A065</x:v>
      </x:c>
      <x:c r="B5729" s="30" t="str">
        <x:v>F275</x:v>
      </x:c>
      <x:c r="C5729" s="30" t="str">
        <x:v>message.kind</x:v>
      </x:c>
      <x:c r="D5729" s="30" t="str">
        <x:v>候选输入schema</x:v>
      </x:c>
      <x:c r="E5729" s="30" t="str">
        <x:v>按执行角色权限读取；策略只能使用可访问快照</x:v>
      </x:c>
    </x:row>
    <x:row r="5730" ht="32" customHeight="1">
      <x:c r="A5730" s="30" t="str">
        <x:v>A065</x:v>
      </x:c>
      <x:c r="B5730" s="30" t="str">
        <x:v>F276</x:v>
      </x:c>
      <x:c r="C5730" s="30" t="str">
        <x:v>message.sender_id</x:v>
      </x:c>
      <x:c r="D5730" s="30" t="str">
        <x:v>候选输入schema</x:v>
      </x:c>
      <x:c r="E5730" s="30" t="str">
        <x:v>按执行角色权限读取；策略只能使用可访问快照</x:v>
      </x:c>
    </x:row>
    <x:row r="5731" ht="32" customHeight="1">
      <x:c r="A5731" s="30" t="str">
        <x:v>A065</x:v>
      </x:c>
      <x:c r="B5731" s="30" t="str">
        <x:v>F277</x:v>
      </x:c>
      <x:c r="C5731" s="30" t="str">
        <x:v>message.receiver_ids</x:v>
      </x:c>
      <x:c r="D5731" s="30" t="str">
        <x:v>候选输入schema</x:v>
      </x:c>
      <x:c r="E5731" s="30" t="str">
        <x:v>按执行角色权限读取；策略只能使用可访问快照</x:v>
      </x:c>
    </x:row>
    <x:row r="5732" ht="32" customHeight="1">
      <x:c r="A5732" s="30" t="str">
        <x:v>A065</x:v>
      </x:c>
      <x:c r="B5732" s="30" t="str">
        <x:v>F278</x:v>
      </x:c>
      <x:c r="C5732" s="30" t="str">
        <x:v>message.payload_ref</x:v>
      </x:c>
      <x:c r="D5732" s="30" t="str">
        <x:v>候选输入schema</x:v>
      </x:c>
      <x:c r="E5732" s="30" t="str">
        <x:v>按执行角色权限读取；策略只能使用可访问快照</x:v>
      </x:c>
    </x:row>
    <x:row r="5733" ht="32" customHeight="1">
      <x:c r="A5733" s="30" t="str">
        <x:v>A065</x:v>
      </x:c>
      <x:c r="B5733" s="30" t="str">
        <x:v>F279</x:v>
      </x:c>
      <x:c r="C5733" s="30" t="str">
        <x:v>message.size_bytes</x:v>
      </x:c>
      <x:c r="D5733" s="30" t="str">
        <x:v>候选输入schema</x:v>
      </x:c>
      <x:c r="E5733" s="30" t="str">
        <x:v>按执行角色权限读取；策略只能使用可访问快照</x:v>
      </x:c>
    </x:row>
    <x:row r="5734" ht="32" customHeight="1">
      <x:c r="A5734" s="30" t="str">
        <x:v>A065</x:v>
      </x:c>
      <x:c r="B5734" s="30" t="str">
        <x:v>F280</x:v>
      </x:c>
      <x:c r="C5734" s="30" t="str">
        <x:v>message.fragment_count</x:v>
      </x:c>
      <x:c r="D5734" s="30" t="str">
        <x:v>候选输入schema</x:v>
      </x:c>
      <x:c r="E5734" s="30" t="str">
        <x:v>按执行角色权限读取；策略只能使用可访问快照</x:v>
      </x:c>
    </x:row>
    <x:row r="5735" ht="32" customHeight="1">
      <x:c r="A5735" s="30" t="str">
        <x:v>A065</x:v>
      </x:c>
      <x:c r="B5735" s="30" t="str">
        <x:v>F281</x:v>
      </x:c>
      <x:c r="C5735" s="30" t="str">
        <x:v>message.received_fragments</x:v>
      </x:c>
      <x:c r="D5735" s="30" t="str">
        <x:v>候选输入schema</x:v>
      </x:c>
      <x:c r="E5735" s="30" t="str">
        <x:v>按执行角色权限读取；策略只能使用可访问快照</x:v>
      </x:c>
    </x:row>
    <x:row r="5736" ht="32" customHeight="1">
      <x:c r="A5736" s="30" t="str">
        <x:v>A065</x:v>
      </x:c>
      <x:c r="B5736" s="30" t="str">
        <x:v>F282</x:v>
      </x:c>
      <x:c r="C5736" s="30" t="str">
        <x:v>message.content_hash</x:v>
      </x:c>
      <x:c r="D5736" s="30" t="str">
        <x:v>候选输入schema</x:v>
      </x:c>
      <x:c r="E5736" s="30" t="str">
        <x:v>按执行角色权限读取；策略只能使用可访问快照</x:v>
      </x:c>
    </x:row>
    <x:row r="5737" ht="32" customHeight="1">
      <x:c r="A5737" s="30" t="str">
        <x:v>A065</x:v>
      </x:c>
      <x:c r="B5737" s="30" t="str">
        <x:v>F283</x:v>
      </x:c>
      <x:c r="C5737" s="30" t="str">
        <x:v>message.priority</x:v>
      </x:c>
      <x:c r="D5737" s="30" t="str">
        <x:v>候选输入schema</x:v>
      </x:c>
      <x:c r="E5737" s="30" t="str">
        <x:v>按执行角色权限读取；策略只能使用可访问快照</x:v>
      </x:c>
    </x:row>
    <x:row r="5738" ht="32" customHeight="1">
      <x:c r="A5738" s="30" t="str">
        <x:v>A065</x:v>
      </x:c>
      <x:c r="B5738" s="30" t="str">
        <x:v>F284</x:v>
      </x:c>
      <x:c r="C5738" s="30" t="str">
        <x:v>message.ttl_s</x:v>
      </x:c>
      <x:c r="D5738" s="30" t="str">
        <x:v>候选输入schema</x:v>
      </x:c>
      <x:c r="E5738" s="30" t="str">
        <x:v>按执行角色权限读取；策略只能使用可访问快照</x:v>
      </x:c>
    </x:row>
    <x:row r="5739" ht="32" customHeight="1">
      <x:c r="A5739" s="30" t="str">
        <x:v>A065</x:v>
      </x:c>
      <x:c r="B5739" s="30" t="str">
        <x:v>F285</x:v>
      </x:c>
      <x:c r="C5739" s="30" t="str">
        <x:v>message.status</x:v>
      </x:c>
      <x:c r="D5739" s="30" t="str">
        <x:v>候选输入schema</x:v>
      </x:c>
      <x:c r="E5739" s="30" t="str">
        <x:v>按执行角色权限读取；策略只能使用可访问快照</x:v>
      </x:c>
    </x:row>
    <x:row r="5740" ht="32" customHeight="1">
      <x:c r="A5740" s="30" t="str">
        <x:v>A065</x:v>
      </x:c>
      <x:c r="B5740" s="30" t="str">
        <x:v>F286</x:v>
      </x:c>
      <x:c r="C5740" s="30" t="str">
        <x:v>message.sent_s</x:v>
      </x:c>
      <x:c r="D5740" s="30" t="str">
        <x:v>候选输入schema</x:v>
      </x:c>
      <x:c r="E5740" s="30" t="str">
        <x:v>按执行角色权限读取；策略只能使用可访问快照</x:v>
      </x:c>
    </x:row>
    <x:row r="5741" ht="32" customHeight="1">
      <x:c r="A5741" s="30" t="str">
        <x:v>A065</x:v>
      </x:c>
      <x:c r="B5741" s="30" t="str">
        <x:v>F287</x:v>
      </x:c>
      <x:c r="C5741" s="30" t="str">
        <x:v>message.delivered_s</x:v>
      </x:c>
      <x:c r="D5741" s="30" t="str">
        <x:v>候选输入schema</x:v>
      </x:c>
      <x:c r="E5741" s="30" t="str">
        <x:v>按执行角色权限读取；策略只能使用可访问快照</x:v>
      </x:c>
    </x:row>
    <x:row r="5742" ht="32" customHeight="1">
      <x:c r="A5742" s="30" t="str">
        <x:v>A065</x:v>
      </x:c>
      <x:c r="B5742" s="30" t="str">
        <x:v>F288</x:v>
      </x:c>
      <x:c r="C5742" s="30" t="str">
        <x:v>message.ack_state</x:v>
      </x:c>
      <x:c r="D5742" s="30" t="str">
        <x:v>候选输入schema</x:v>
      </x:c>
      <x:c r="E5742" s="30" t="str">
        <x:v>按执行角色权限读取；策略只能使用可访问快照</x:v>
      </x:c>
    </x:row>
    <x:row r="5743" ht="32" customHeight="1">
      <x:c r="A5743" s="30" t="str">
        <x:v>A065</x:v>
      </x:c>
      <x:c r="B5743" s="30" t="str">
        <x:v>F289</x:v>
      </x:c>
      <x:c r="C5743" s="30" t="str">
        <x:v>message.retry_count</x:v>
      </x:c>
      <x:c r="D5743" s="30" t="str">
        <x:v>候选输入schema</x:v>
      </x:c>
      <x:c r="E5743" s="30" t="str">
        <x:v>按执行角色权限读取；策略只能使用可访问快照</x:v>
      </x:c>
    </x:row>
    <x:row r="5744" ht="32" customHeight="1">
      <x:c r="A5744" s="30" t="str">
        <x:v>A065</x:v>
      </x:c>
      <x:c r="B5744" s="30" t="str">
        <x:v>F290</x:v>
      </x:c>
      <x:c r="C5744" s="30" t="str">
        <x:v>message.hop_trace</x:v>
      </x:c>
      <x:c r="D5744" s="30" t="str">
        <x:v>候选输入schema</x:v>
      </x:c>
      <x:c r="E5744" s="30" t="str">
        <x:v>按执行角色权限读取；策略只能使用可访问快照</x:v>
      </x:c>
    </x:row>
    <x:row r="5745" ht="32" customHeight="1">
      <x:c r="A5745" s="30" t="str">
        <x:v>A065</x:v>
      </x:c>
      <x:c r="B5745" s="30" t="str">
        <x:v>F291</x:v>
      </x:c>
      <x:c r="C5745" s="30" t="str">
        <x:v>message.correlation_id</x:v>
      </x:c>
      <x:c r="D5745" s="30" t="str">
        <x:v>候选输入schema</x:v>
      </x:c>
      <x:c r="E5745" s="30" t="str">
        <x:v>按执行角色权限读取；策略只能使用可访问快照</x:v>
      </x:c>
    </x:row>
    <x:row r="5746" ht="32" customHeight="1">
      <x:c r="A5746" s="30" t="str">
        <x:v>A065</x:v>
      </x:c>
      <x:c r="B5746" s="30" t="str">
        <x:v>F292</x:v>
      </x:c>
      <x:c r="C5746" s="30" t="str">
        <x:v>message.local_availability</x:v>
      </x:c>
      <x:c r="D5746" s="30" t="str">
        <x:v>候选输入schema</x:v>
      </x:c>
      <x:c r="E5746" s="30" t="str">
        <x:v>按执行角色权限读取；策略只能使用可访问快照</x:v>
      </x:c>
    </x:row>
    <x:row r="5747" ht="32" customHeight="1">
      <x:c r="A5747" s="30" t="str">
        <x:v>A065</x:v>
      </x:c>
      <x:c r="B5747" s="30" t="str">
        <x:v>F349</x:v>
      </x:c>
      <x:c r="C5747" s="30" t="str">
        <x:v>cache.owner_id</x:v>
      </x:c>
      <x:c r="D5747" s="30" t="str">
        <x:v>候选输入schema</x:v>
      </x:c>
      <x:c r="E5747" s="30" t="str">
        <x:v>按执行角色权限读取；策略只能使用可访问快照</x:v>
      </x:c>
    </x:row>
    <x:row r="5748" ht="32" customHeight="1">
      <x:c r="A5748" s="30" t="str">
        <x:v>A065</x:v>
      </x:c>
      <x:c r="B5748" s="30" t="str">
        <x:v>F350</x:v>
      </x:c>
      <x:c r="C5748" s="30" t="str">
        <x:v>cache.kind</x:v>
      </x:c>
      <x:c r="D5748" s="30" t="str">
        <x:v>候选输入schema</x:v>
      </x:c>
      <x:c r="E5748" s="30" t="str">
        <x:v>按执行角色权限读取；策略只能使用可访问快照</x:v>
      </x:c>
    </x:row>
    <x:row r="5749" ht="32" customHeight="1">
      <x:c r="A5749" s="30" t="str">
        <x:v>A065</x:v>
      </x:c>
      <x:c r="B5749" s="30" t="str">
        <x:v>F351</x:v>
      </x:c>
      <x:c r="C5749" s="30" t="str">
        <x:v>cache.model_version</x:v>
      </x:c>
      <x:c r="D5749" s="30" t="str">
        <x:v>候选输入schema</x:v>
      </x:c>
      <x:c r="E5749" s="30" t="str">
        <x:v>按执行角色权限读取；策略只能使用可访问快照</x:v>
      </x:c>
    </x:row>
    <x:row r="5750" ht="32" customHeight="1">
      <x:c r="A5750" s="30" t="str">
        <x:v>A065</x:v>
      </x:c>
      <x:c r="B5750" s="30" t="str">
        <x:v>F352</x:v>
      </x:c>
      <x:c r="C5750" s="30" t="str">
        <x:v>cache.content_ids</x:v>
      </x:c>
      <x:c r="D5750" s="30" t="str">
        <x:v>候选输入schema</x:v>
      </x:c>
      <x:c r="E5750" s="30" t="str">
        <x:v>按执行角色权限读取；策略只能使用可访问快照</x:v>
      </x:c>
    </x:row>
    <x:row r="5751" ht="32" customHeight="1">
      <x:c r="A5751" s="30" t="str">
        <x:v>A065</x:v>
      </x:c>
      <x:c r="B5751" s="30" t="str">
        <x:v>F353</x:v>
      </x:c>
      <x:c r="C5751" s="30" t="str">
        <x:v>cache.size_bytes</x:v>
      </x:c>
      <x:c r="D5751" s="30" t="str">
        <x:v>候选输入schema</x:v>
      </x:c>
      <x:c r="E5751" s="30" t="str">
        <x:v>按执行角色权限读取；策略只能使用可访问快照</x:v>
      </x:c>
    </x:row>
    <x:row r="5752" ht="32" customHeight="1">
      <x:c r="A5752" s="30" t="str">
        <x:v>A065</x:v>
      </x:c>
      <x:c r="B5752" s="30" t="str">
        <x:v>F354</x:v>
      </x:c>
      <x:c r="C5752" s="30" t="str">
        <x:v>cache.location</x:v>
      </x:c>
      <x:c r="D5752" s="30" t="str">
        <x:v>候选输入schema</x:v>
      </x:c>
      <x:c r="E5752" s="30" t="str">
        <x:v>按执行角色权限读取；策略只能使用可访问快照</x:v>
      </x:c>
    </x:row>
    <x:row r="5753" ht="32" customHeight="1">
      <x:c r="A5753" s="30" t="str">
        <x:v>A065</x:v>
      </x:c>
      <x:c r="B5753" s="30" t="str">
        <x:v>F355</x:v>
      </x:c>
      <x:c r="C5753" s="30" t="str">
        <x:v>cache.valid_until_s</x:v>
      </x:c>
      <x:c r="D5753" s="30" t="str">
        <x:v>候选输入schema</x:v>
      </x:c>
      <x:c r="E5753" s="30" t="str">
        <x:v>按执行角色权限读取；策略只能使用可访问快照</x:v>
      </x:c>
    </x:row>
    <x:row r="5754" ht="32" customHeight="1">
      <x:c r="A5754" s="30" t="str">
        <x:v>A065</x:v>
      </x:c>
      <x:c r="B5754" s="30" t="str">
        <x:v>F356</x:v>
      </x:c>
      <x:c r="C5754" s="30" t="str">
        <x:v>cache.reuse_compatible</x:v>
      </x:c>
      <x:c r="D5754" s="30" t="str">
        <x:v>候选输入schema</x:v>
      </x:c>
      <x:c r="E5754" s="30" t="str">
        <x:v>按执行角色权限读取；策略只能使用可访问快照</x:v>
      </x:c>
    </x:row>
    <x:row r="5755" ht="32" customHeight="1">
      <x:c r="A5755" s="30" t="str">
        <x:v>A065</x:v>
      </x:c>
      <x:c r="B5755" s="30" t="str">
        <x:v>F357</x:v>
      </x:c>
      <x:c r="C5755" s="30" t="str">
        <x:v>cache.hit_count</x:v>
      </x:c>
      <x:c r="D5755" s="30" t="str">
        <x:v>候选输入schema</x:v>
      </x:c>
      <x:c r="E5755" s="30" t="str">
        <x:v>按执行角色权限读取；策略只能使用可访问快照</x:v>
      </x:c>
    </x:row>
    <x:row r="5756" ht="32" customHeight="1">
      <x:c r="A5756" s="30" t="str">
        <x:v>A065</x:v>
      </x:c>
      <x:c r="B5756" s="30" t="str">
        <x:v>F358</x:v>
      </x:c>
      <x:c r="C5756" s="30" t="str">
        <x:v>cache.eviction_state</x:v>
      </x:c>
      <x:c r="D5756" s="30" t="str">
        <x:v>候选输入schema</x:v>
      </x:c>
      <x:c r="E5756" s="30" t="str">
        <x:v>按执行角色权限读取；策略只能使用可访问快照</x:v>
      </x:c>
    </x:row>
    <x:row r="5757" ht="32" customHeight="1">
      <x:c r="A5757" s="30" t="str">
        <x:v>A065</x:v>
      </x:c>
      <x:c r="B5757" s="30" t="str">
        <x:v>F281</x:v>
      </x:c>
      <x:c r="C5757" s="30" t="str">
        <x:v>message.received_fragments</x:v>
      </x:c>
      <x:c r="D5757" s="30" t="str">
        <x:v>直接效果</x:v>
      </x:c>
      <x:c r="E5757" s="30" t="str">
        <x:v>经实际执行/回执提交；不是规划时提前修改</x:v>
      </x:c>
    </x:row>
    <x:row r="5758" ht="32" customHeight="1">
      <x:c r="A5758" s="30" t="str">
        <x:v>A065</x:v>
      </x:c>
      <x:c r="B5758" s="30" t="str">
        <x:v>F285</x:v>
      </x:c>
      <x:c r="C5758" s="30" t="str">
        <x:v>message.status</x:v>
      </x:c>
      <x:c r="D5758" s="30" t="str">
        <x:v>直接效果</x:v>
      </x:c>
      <x:c r="E5758" s="30" t="str">
        <x:v>经实际执行/回执提交；不是规划时提前修改</x:v>
      </x:c>
    </x:row>
    <x:row r="5759" ht="32" customHeight="1">
      <x:c r="A5759" s="30" t="str">
        <x:v>A065</x:v>
      </x:c>
      <x:c r="B5759" s="30" t="str">
        <x:v>F287</x:v>
      </x:c>
      <x:c r="C5759" s="30" t="str">
        <x:v>message.delivered_s</x:v>
      </x:c>
      <x:c r="D5759" s="30" t="str">
        <x:v>直接效果</x:v>
      </x:c>
      <x:c r="E5759" s="30" t="str">
        <x:v>经实际执行/回执提交；不是规划时提前修改</x:v>
      </x:c>
    </x:row>
    <x:row r="5760" ht="32" customHeight="1">
      <x:c r="A5760" s="30" t="str">
        <x:v>A065</x:v>
      </x:c>
      <x:c r="B5760" s="30" t="str">
        <x:v>F292</x:v>
      </x:c>
      <x:c r="C5760" s="30" t="str">
        <x:v>message.local_availability</x:v>
      </x:c>
      <x:c r="D5760" s="30" t="str">
        <x:v>直接效果</x:v>
      </x:c>
      <x:c r="E5760" s="30" t="str">
        <x:v>经实际执行/回执提交；不是规划时提前修改</x:v>
      </x:c>
    </x:row>
    <x:row r="5761" ht="32" customHeight="1">
      <x:c r="A5761" s="30" t="str">
        <x:v>A065</x:v>
      </x:c>
      <x:c r="B5761" s="30" t="str">
        <x:v>F225</x:v>
      </x:c>
      <x:c r="C5761" s="30" t="str">
        <x:v>assignment.delivery_state</x:v>
      </x:c>
      <x:c r="D5761" s="30" t="str">
        <x:v>直接效果</x:v>
      </x:c>
      <x:c r="E5761" s="30" t="str">
        <x:v>经实际执行/回执提交；不是规划时提前修改</x:v>
      </x:c>
    </x:row>
    <x:row r="5762" ht="32" customHeight="1">
      <x:c r="A5762" s="30" t="str">
        <x:v>A065</x:v>
      </x:c>
      <x:c r="B5762" s="30" t="str">
        <x:v>F201</x:v>
      </x:c>
      <x:c r="C5762" s="30" t="str">
        <x:v>task.status</x:v>
      </x:c>
      <x:c r="D5762" s="30" t="str">
        <x:v>直接效果</x:v>
      </x:c>
      <x:c r="E5762" s="30" t="str">
        <x:v>经实际执行/回执提交；不是规划时提前修改</x:v>
      </x:c>
    </x:row>
    <x:row r="5763" ht="32" customHeight="1">
      <x:c r="A5763" s="30" t="str">
        <x:v>A066</x:v>
      </x:c>
      <x:c r="B5763" s="30" t="str">
        <x:v>F044</x:v>
      </x:c>
      <x:c r="C5763" s="30" t="str">
        <x:v>road.centerline</x:v>
      </x:c>
      <x:c r="D5763" s="30" t="str">
        <x:v>候选输入schema</x:v>
      </x:c>
      <x:c r="E5763" s="30" t="str">
        <x:v>按执行角色权限读取；策略只能使用可访问快照</x:v>
      </x:c>
    </x:row>
    <x:row r="5764" ht="32" customHeight="1">
      <x:c r="A5764" s="30" t="str">
        <x:v>A066</x:v>
      </x:c>
      <x:c r="B5764" s="30" t="str">
        <x:v>F045</x:v>
      </x:c>
      <x:c r="C5764" s="30" t="str">
        <x:v>road.width_m</x:v>
      </x:c>
      <x:c r="D5764" s="30" t="str">
        <x:v>候选输入schema</x:v>
      </x:c>
      <x:c r="E5764" s="30" t="str">
        <x:v>按执行角色权限读取；策略只能使用可访问快照</x:v>
      </x:c>
    </x:row>
    <x:row r="5765" ht="32" customHeight="1">
      <x:c r="A5765" s="30" t="str">
        <x:v>A066</x:v>
      </x:c>
      <x:c r="B5765" s="30" t="str">
        <x:v>F047</x:v>
      </x:c>
      <x:c r="C5765" s="30" t="str">
        <x:v>road.from_node</x:v>
      </x:c>
      <x:c r="D5765" s="30" t="str">
        <x:v>候选输入schema</x:v>
      </x:c>
      <x:c r="E5765" s="30" t="str">
        <x:v>按执行角色权限读取；策略只能使用可访问快照</x:v>
      </x:c>
    </x:row>
    <x:row r="5766" ht="32" customHeight="1">
      <x:c r="A5766" s="30" t="str">
        <x:v>A066</x:v>
      </x:c>
      <x:c r="B5766" s="30" t="str">
        <x:v>F048</x:v>
      </x:c>
      <x:c r="C5766" s="30" t="str">
        <x:v>road.to_node</x:v>
      </x:c>
      <x:c r="D5766" s="30" t="str">
        <x:v>候选输入schema</x:v>
      </x:c>
      <x:c r="E5766" s="30" t="str">
        <x:v>按执行角色权限读取；策略只能使用可访问快照</x:v>
      </x:c>
    </x:row>
    <x:row r="5767" ht="32" customHeight="1">
      <x:c r="A5767" s="30" t="str">
        <x:v>A066</x:v>
      </x:c>
      <x:c r="B5767" s="30" t="str">
        <x:v>F095</x:v>
      </x:c>
      <x:c r="C5767" s="30" t="str">
        <x:v>platform.kind</x:v>
      </x:c>
      <x:c r="D5767" s="30" t="str">
        <x:v>候选输入schema</x:v>
      </x:c>
      <x:c r="E5767" s="30" t="str">
        <x:v>按执行角色权限读取；策略只能使用可访问快照</x:v>
      </x:c>
    </x:row>
    <x:row r="5768" ht="32" customHeight="1">
      <x:c r="A5768" s="30" t="str">
        <x:v>A066</x:v>
      </x:c>
      <x:c r="B5768" s="30" t="str">
        <x:v>F096</x:v>
      </x:c>
      <x:c r="C5768" s="30" t="str">
        <x:v>platform.capability_ids</x:v>
      </x:c>
      <x:c r="D5768" s="30" t="str">
        <x:v>候选输入schema</x:v>
      </x:c>
      <x:c r="E5768" s="30" t="str">
        <x:v>按执行角色权限读取；策略只能使用可访问快照</x:v>
      </x:c>
    </x:row>
    <x:row r="5769" ht="32" customHeight="1">
      <x:c r="A5769" s="30" t="str">
        <x:v>A066</x:v>
      </x:c>
      <x:c r="B5769" s="30" t="str">
        <x:v>F097</x:v>
      </x:c>
      <x:c r="C5769" s="30" t="str">
        <x:v>platform.equipment_ids</x:v>
      </x:c>
      <x:c r="D5769" s="30" t="str">
        <x:v>候选输入schema</x:v>
      </x:c>
      <x:c r="E5769" s="30" t="str">
        <x:v>按执行角色权限读取；策略只能使用可访问快照</x:v>
      </x:c>
    </x:row>
    <x:row r="5770" ht="32" customHeight="1">
      <x:c r="A5770" s="30" t="str">
        <x:v>A066</x:v>
      </x:c>
      <x:c r="B5770" s="30" t="str">
        <x:v>F098</x:v>
      </x:c>
      <x:c r="C5770" s="30" t="str">
        <x:v>platform.width_m</x:v>
      </x:c>
      <x:c r="D5770" s="30" t="str">
        <x:v>候选输入schema</x:v>
      </x:c>
      <x:c r="E5770" s="30" t="str">
        <x:v>按执行角色权限读取；策略只能使用可访问快照</x:v>
      </x:c>
    </x:row>
    <x:row r="5771" ht="32" customHeight="1">
      <x:c r="A5771" s="30" t="str">
        <x:v>A066</x:v>
      </x:c>
      <x:c r="B5771" s="30" t="str">
        <x:v>F099</x:v>
      </x:c>
      <x:c r="C5771" s="30" t="str">
        <x:v>platform.height_m</x:v>
      </x:c>
      <x:c r="D5771" s="30" t="str">
        <x:v>候选输入schema</x:v>
      </x:c>
      <x:c r="E5771" s="30" t="str">
        <x:v>按执行角色权限读取；策略只能使用可访问快照</x:v>
      </x:c>
    </x:row>
    <x:row r="5772" ht="32" customHeight="1">
      <x:c r="A5772" s="30" t="str">
        <x:v>A066</x:v>
      </x:c>
      <x:c r="B5772" s="30" t="str">
        <x:v>F100</x:v>
      </x:c>
      <x:c r="C5772" s="30" t="str">
        <x:v>platform.swept_radius_m</x:v>
      </x:c>
      <x:c r="D5772" s="30" t="str">
        <x:v>候选输入schema</x:v>
      </x:c>
      <x:c r="E5772" s="30" t="str">
        <x:v>按执行角色权限读取；策略只能使用可访问快照</x:v>
      </x:c>
    </x:row>
    <x:row r="5773" ht="32" customHeight="1">
      <x:c r="A5773" s="30" t="str">
        <x:v>A066</x:v>
      </x:c>
      <x:c r="B5773" s="30" t="str">
        <x:v>F101</x:v>
      </x:c>
      <x:c r="C5773" s="30" t="str">
        <x:v>platform.payload_capacity_kg</x:v>
      </x:c>
      <x:c r="D5773" s="30" t="str">
        <x:v>候选输入schema</x:v>
      </x:c>
      <x:c r="E5773" s="30" t="str">
        <x:v>按执行角色权限读取；策略只能使用可访问快照</x:v>
      </x:c>
    </x:row>
    <x:row r="5774" ht="32" customHeight="1">
      <x:c r="A5774" s="30" t="str">
        <x:v>A066</x:v>
      </x:c>
      <x:c r="B5774" s="30" t="str">
        <x:v>F102</x:v>
      </x:c>
      <x:c r="C5774" s="30" t="str">
        <x:v>platform.payload_used_kg</x:v>
      </x:c>
      <x:c r="D5774" s="30" t="str">
        <x:v>候选输入schema</x:v>
      </x:c>
      <x:c r="E5774" s="30" t="str">
        <x:v>按执行角色权限读取；策略只能使用可访问快照</x:v>
      </x:c>
    </x:row>
    <x:row r="5775" ht="32" customHeight="1">
      <x:c r="A5775" s="30" t="str">
        <x:v>A066</x:v>
      </x:c>
      <x:c r="B5775" s="30" t="str">
        <x:v>F103</x:v>
      </x:c>
      <x:c r="C5775" s="30" t="str">
        <x:v>platform.payload_item_ids</x:v>
      </x:c>
      <x:c r="D5775" s="30" t="str">
        <x:v>候选输入schema</x:v>
      </x:c>
      <x:c r="E5775" s="30" t="str">
        <x:v>按执行角色权限读取；策略只能使用可访问快照</x:v>
      </x:c>
    </x:row>
    <x:row r="5776" ht="32" customHeight="1">
      <x:c r="A5776" s="30" t="str">
        <x:v>A066</x:v>
      </x:c>
      <x:c r="B5776" s="30" t="str">
        <x:v>F104</x:v>
      </x:c>
      <x:c r="C5776" s="30" t="str">
        <x:v>platform.battery_capacity_Wh</x:v>
      </x:c>
      <x:c r="D5776" s="30" t="str">
        <x:v>候选输入schema</x:v>
      </x:c>
      <x:c r="E5776" s="30" t="str">
        <x:v>按执行角色权限读取；策略只能使用可访问快照</x:v>
      </x:c>
    </x:row>
    <x:row r="5777" ht="32" customHeight="1">
      <x:c r="A5777" s="30" t="str">
        <x:v>A066</x:v>
      </x:c>
      <x:c r="B5777" s="30" t="str">
        <x:v>F105</x:v>
      </x:c>
      <x:c r="C5777" s="30" t="str">
        <x:v>platform.battery_remaining_Wh</x:v>
      </x:c>
      <x:c r="D5777" s="30" t="str">
        <x:v>候选输入schema</x:v>
      </x:c>
      <x:c r="E5777" s="30" t="str">
        <x:v>按执行角色权限读取；策略只能使用可访问快照</x:v>
      </x:c>
    </x:row>
    <x:row r="5778" ht="32" customHeight="1">
      <x:c r="A5778" s="30" t="str">
        <x:v>A066</x:v>
      </x:c>
      <x:c r="B5778" s="30" t="str">
        <x:v>F106</x:v>
      </x:c>
      <x:c r="C5778" s="30" t="str">
        <x:v>platform.reserve_Wh</x:v>
      </x:c>
      <x:c r="D5778" s="30" t="str">
        <x:v>候选输入schema</x:v>
      </x:c>
      <x:c r="E5778" s="30" t="str">
        <x:v>按执行角色权限读取；策略只能使用可访问快照</x:v>
      </x:c>
    </x:row>
    <x:row r="5779" ht="32" customHeight="1">
      <x:c r="A5779" s="30" t="str">
        <x:v>A066</x:v>
      </x:c>
      <x:c r="B5779" s="30" t="str">
        <x:v>F107</x:v>
      </x:c>
      <x:c r="C5779" s="30" t="str">
        <x:v>platform.speed_limit_mps</x:v>
      </x:c>
      <x:c r="D5779" s="30" t="str">
        <x:v>候选输入schema</x:v>
      </x:c>
      <x:c r="E5779" s="30" t="str">
        <x:v>按执行角色权限读取；策略只能使用可访问快照</x:v>
      </x:c>
    </x:row>
    <x:row r="5780" ht="32" customHeight="1">
      <x:c r="A5780" s="30" t="str">
        <x:v>A066</x:v>
      </x:c>
      <x:c r="B5780" s="30" t="str">
        <x:v>F108</x:v>
      </x:c>
      <x:c r="C5780" s="30" t="str">
        <x:v>platform.energy_model</x:v>
      </x:c>
      <x:c r="D5780" s="30" t="str">
        <x:v>候选输入schema</x:v>
      </x:c>
      <x:c r="E5780" s="30" t="str">
        <x:v>按执行角色权限读取；策略只能使用可访问快照</x:v>
      </x:c>
    </x:row>
    <x:row r="5781" ht="32" customHeight="1">
      <x:c r="A5781" s="30" t="str">
        <x:v>A066</x:v>
      </x:c>
      <x:c r="B5781" s="30" t="str">
        <x:v>F109</x:v>
      </x:c>
      <x:c r="C5781" s="30" t="str">
        <x:v>platform.motion_state</x:v>
      </x:c>
      <x:c r="D5781" s="30" t="str">
        <x:v>候选输入schema</x:v>
      </x:c>
      <x:c r="E5781" s="30" t="str">
        <x:v>按执行角色权限读取；策略只能使用可访问快照</x:v>
      </x:c>
    </x:row>
    <x:row r="5782" ht="32" customHeight="1">
      <x:c r="A5782" s="30" t="str">
        <x:v>A066</x:v>
      </x:c>
      <x:c r="B5782" s="30" t="str">
        <x:v>F110</x:v>
      </x:c>
      <x:c r="C5782" s="30" t="str">
        <x:v>platform.health_state</x:v>
      </x:c>
      <x:c r="D5782" s="30" t="str">
        <x:v>候选输入schema</x:v>
      </x:c>
      <x:c r="E5782" s="30" t="str">
        <x:v>按执行角色权限读取；策略只能使用可访问快照</x:v>
      </x:c>
    </x:row>
    <x:row r="5783" ht="32" customHeight="1">
      <x:c r="A5783" s="30" t="str">
        <x:v>A066</x:v>
      </x:c>
      <x:c r="B5783" s="30" t="str">
        <x:v>F111</x:v>
      </x:c>
      <x:c r="C5783" s="30" t="str">
        <x:v>platform.current_action_id</x:v>
      </x:c>
      <x:c r="D5783" s="30" t="str">
        <x:v>候选输入schema</x:v>
      </x:c>
      <x:c r="E5783" s="30" t="str">
        <x:v>按执行角色权限读取；策略只能使用可访问快照</x:v>
      </x:c>
    </x:row>
    <x:row r="5784" ht="32" customHeight="1">
      <x:c r="A5784" s="30" t="str">
        <x:v>A066</x:v>
      </x:c>
      <x:c r="B5784" s="30" t="str">
        <x:v>F112</x:v>
      </x:c>
      <x:c r="C5784" s="30" t="str">
        <x:v>platform.busy_until_est_s</x:v>
      </x:c>
      <x:c r="D5784" s="30" t="str">
        <x:v>候选输入schema</x:v>
      </x:c>
      <x:c r="E5784" s="30" t="str">
        <x:v>按执行角色权限读取；策略只能使用可访问快照</x:v>
      </x:c>
    </x:row>
    <x:row r="5785" ht="32" customHeight="1">
      <x:c r="A5785" s="30" t="str">
        <x:v>A066</x:v>
      </x:c>
      <x:c r="B5785" s="30" t="str">
        <x:v>F113</x:v>
      </x:c>
      <x:c r="C5785" s="30" t="str">
        <x:v>platform.return_site_id</x:v>
      </x:c>
      <x:c r="D5785" s="30" t="str">
        <x:v>候选输入schema</x:v>
      </x:c>
      <x:c r="E5785" s="30" t="str">
        <x:v>按执行角色权限读取；策略只能使用可访问快照</x:v>
      </x:c>
    </x:row>
    <x:row r="5786" ht="32" customHeight="1">
      <x:c r="A5786" s="30" t="str">
        <x:v>A066</x:v>
      </x:c>
      <x:c r="B5786" s="30" t="str">
        <x:v>F114</x:v>
      </x:c>
      <x:c r="C5786" s="30" t="str">
        <x:v>platform.water_tolerance_m</x:v>
      </x:c>
      <x:c r="D5786" s="30" t="str">
        <x:v>候选输入schema</x:v>
      </x:c>
      <x:c r="E5786" s="30" t="str">
        <x:v>按执行角色权限读取；策略只能使用可访问快照</x:v>
      </x:c>
    </x:row>
    <x:row r="5787" ht="32" customHeight="1">
      <x:c r="A5787" s="30" t="str">
        <x:v>A066</x:v>
      </x:c>
      <x:c r="B5787" s="30" t="str">
        <x:v>F115</x:v>
      </x:c>
      <x:c r="C5787" s="30" t="str">
        <x:v>platform.concurrency_policy</x:v>
      </x:c>
      <x:c r="D5787" s="30" t="str">
        <x:v>候选输入schema</x:v>
      </x:c>
      <x:c r="E5787" s="30" t="str">
        <x:v>按执行角色权限读取；策略只能使用可访问快照</x:v>
      </x:c>
    </x:row>
    <x:row r="5788" ht="32" customHeight="1">
      <x:c r="A5788" s="30" t="str">
        <x:v>A066</x:v>
      </x:c>
      <x:c r="B5788" s="30" t="str">
        <x:v>F181</x:v>
      </x:c>
      <x:c r="C5788" s="30" t="str">
        <x:v>belief.agent_id</x:v>
      </x:c>
      <x:c r="D5788" s="30" t="str">
        <x:v>候选输入schema</x:v>
      </x:c>
      <x:c r="E5788" s="30" t="str">
        <x:v>按执行角色权限读取；策略只能使用可访问快照</x:v>
      </x:c>
    </x:row>
    <x:row r="5789" ht="32" customHeight="1">
      <x:c r="A5789" s="30" t="str">
        <x:v>A066</x:v>
      </x:c>
      <x:c r="B5789" s="30" t="str">
        <x:v>F182</x:v>
      </x:c>
      <x:c r="C5789" s="30" t="str">
        <x:v>belief.entity_ref</x:v>
      </x:c>
      <x:c r="D5789" s="30" t="str">
        <x:v>候选输入schema</x:v>
      </x:c>
      <x:c r="E5789" s="30" t="str">
        <x:v>按执行角色权限读取；策略只能使用可访问快照</x:v>
      </x:c>
    </x:row>
    <x:row r="5790" ht="32" customHeight="1">
      <x:c r="A5790" s="30" t="str">
        <x:v>A066</x:v>
      </x:c>
      <x:c r="B5790" s="30" t="str">
        <x:v>F183</x:v>
      </x:c>
      <x:c r="C5790" s="30" t="str">
        <x:v>belief.estimated_damage</x:v>
      </x:c>
      <x:c r="D5790" s="30" t="str">
        <x:v>候选输入schema</x:v>
      </x:c>
      <x:c r="E5790" s="30" t="str">
        <x:v>按执行角色权限读取；策略只能使用可访问快照</x:v>
      </x:c>
    </x:row>
    <x:row r="5791" ht="32" customHeight="1">
      <x:c r="A5791" s="30" t="str">
        <x:v>A066</x:v>
      </x:c>
      <x:c r="B5791" s="30" t="str">
        <x:v>F184</x:v>
      </x:c>
      <x:c r="C5791" s="30" t="str">
        <x:v>belief.human_presence</x:v>
      </x:c>
      <x:c r="D5791" s="30" t="str">
        <x:v>候选输入schema</x:v>
      </x:c>
      <x:c r="E5791" s="30" t="str">
        <x:v>按执行角色权限读取；策略只能使用可访问快照</x:v>
      </x:c>
    </x:row>
    <x:row r="5792" ht="32" customHeight="1">
      <x:c r="A5792" s="30" t="str">
        <x:v>A066</x:v>
      </x:c>
      <x:c r="B5792" s="30" t="str">
        <x:v>F185</x:v>
      </x:c>
      <x:c r="C5792" s="30" t="str">
        <x:v>belief.estimated_pose</x:v>
      </x:c>
      <x:c r="D5792" s="30" t="str">
        <x:v>候选输入schema</x:v>
      </x:c>
      <x:c r="E5792" s="30" t="str">
        <x:v>按执行角色权限读取；策略只能使用可访问快照</x:v>
      </x:c>
    </x:row>
    <x:row r="5793" ht="32" customHeight="1">
      <x:c r="A5793" s="30" t="str">
        <x:v>A066</x:v>
      </x:c>
      <x:c r="B5793" s="30" t="str">
        <x:v>F186</x:v>
      </x:c>
      <x:c r="C5793" s="30" t="str">
        <x:v>belief.estimated_access</x:v>
      </x:c>
      <x:c r="D5793" s="30" t="str">
        <x:v>候选输入schema</x:v>
      </x:c>
      <x:c r="E5793" s="30" t="str">
        <x:v>按执行角色权限读取；策略只能使用可访问快照</x:v>
      </x:c>
    </x:row>
    <x:row r="5794" ht="32" customHeight="1">
      <x:c r="A5794" s="30" t="str">
        <x:v>A066</x:v>
      </x:c>
      <x:c r="B5794" s="30" t="str">
        <x:v>F187</x:v>
      </x:c>
      <x:c r="C5794" s="30" t="str">
        <x:v>belief.estimated_needs</x:v>
      </x:c>
      <x:c r="D5794" s="30" t="str">
        <x:v>候选输入schema</x:v>
      </x:c>
      <x:c r="E5794" s="30" t="str">
        <x:v>按执行角色权限读取；策略只能使用可访问快照</x:v>
      </x:c>
    </x:row>
    <x:row r="5795" ht="32" customHeight="1">
      <x:c r="A5795" s="30" t="str">
        <x:v>A066</x:v>
      </x:c>
      <x:c r="B5795" s="30" t="str">
        <x:v>F188</x:v>
      </x:c>
      <x:c r="C5795" s="30" t="str">
        <x:v>belief.evidence_ids</x:v>
      </x:c>
      <x:c r="D5795" s="30" t="str">
        <x:v>候选输入schema</x:v>
      </x:c>
      <x:c r="E5795" s="30" t="str">
        <x:v>按执行角色权限读取；策略只能使用可访问快照</x:v>
      </x:c>
    </x:row>
    <x:row r="5796" ht="32" customHeight="1">
      <x:c r="A5796" s="30" t="str">
        <x:v>A066</x:v>
      </x:c>
      <x:c r="B5796" s="30" t="str">
        <x:v>F189</x:v>
      </x:c>
      <x:c r="C5796" s="30" t="str">
        <x:v>belief.source_agent_ids</x:v>
      </x:c>
      <x:c r="D5796" s="30" t="str">
        <x:v>候选输入schema</x:v>
      </x:c>
      <x:c r="E5796" s="30" t="str">
        <x:v>按执行角色权限读取；策略只能使用可访问快照</x:v>
      </x:c>
    </x:row>
    <x:row r="5797" ht="32" customHeight="1">
      <x:c r="A5797" s="30" t="str">
        <x:v>A066</x:v>
      </x:c>
      <x:c r="B5797" s="30" t="str">
        <x:v>F190</x:v>
      </x:c>
      <x:c r="C5797" s="30" t="str">
        <x:v>belief.updated_at_s</x:v>
      </x:c>
      <x:c r="D5797" s="30" t="str">
        <x:v>候选输入schema</x:v>
      </x:c>
      <x:c r="E5797" s="30" t="str">
        <x:v>按执行角色权限读取；策略只能使用可访问快照</x:v>
      </x:c>
    </x:row>
    <x:row r="5798" ht="32" customHeight="1">
      <x:c r="A5798" s="30" t="str">
        <x:v>A066</x:v>
      </x:c>
      <x:c r="B5798" s="30" t="str">
        <x:v>F191</x:v>
      </x:c>
      <x:c r="C5798" s="30" t="str">
        <x:v>belief.staleness_s</x:v>
      </x:c>
      <x:c r="D5798" s="30" t="str">
        <x:v>候选输入schema</x:v>
      </x:c>
      <x:c r="E5798" s="30" t="str">
        <x:v>按执行角色权限读取；策略只能使用可访问快照</x:v>
      </x:c>
    </x:row>
    <x:row r="5799" ht="32" customHeight="1">
      <x:c r="A5799" s="30" t="str">
        <x:v>A066</x:v>
      </x:c>
      <x:c r="B5799" s="30" t="str">
        <x:v>F192</x:v>
      </x:c>
      <x:c r="C5799" s="30" t="str">
        <x:v>belief.conflict_state</x:v>
      </x:c>
      <x:c r="D5799" s="30" t="str">
        <x:v>候选输入schema</x:v>
      </x:c>
      <x:c r="E5799" s="30" t="str">
        <x:v>按执行角色权限读取；策略只能使用可访问快照</x:v>
      </x:c>
    </x:row>
    <x:row r="5800" ht="32" customHeight="1">
      <x:c r="A5800" s="30" t="str">
        <x:v>A066</x:v>
      </x:c>
      <x:c r="B5800" s="30" t="str">
        <x:v>F193</x:v>
      </x:c>
      <x:c r="C5800" s="30" t="str">
        <x:v>belief.team_estimates</x:v>
      </x:c>
      <x:c r="D5800" s="30" t="str">
        <x:v>候选输入schema</x:v>
      </x:c>
      <x:c r="E5800" s="30" t="str">
        <x:v>按执行角色权限读取；策略只能使用可访问快照</x:v>
      </x:c>
    </x:row>
    <x:row r="5801" ht="32" customHeight="1">
      <x:c r="A5801" s="30" t="str">
        <x:v>A066</x:v>
      </x:c>
      <x:c r="B5801" s="30" t="str">
        <x:v>F194</x:v>
      </x:c>
      <x:c r="C5801" s="30" t="str">
        <x:v>belief.search_status</x:v>
      </x:c>
      <x:c r="D5801" s="30" t="str">
        <x:v>候选输入schema</x:v>
      </x:c>
      <x:c r="E5801" s="30" t="str">
        <x:v>按执行角色权限读取；策略只能使用可访问快照</x:v>
      </x:c>
    </x:row>
    <x:row r="5802" ht="32" customHeight="1">
      <x:c r="A5802" s="30" t="str">
        <x:v>A066</x:v>
      </x:c>
      <x:c r="B5802" s="30" t="str">
        <x:v>F195</x:v>
      </x:c>
      <x:c r="C5802" s="30" t="str">
        <x:v>belief.current_goal_context</x:v>
      </x:c>
      <x:c r="D5802" s="30" t="str">
        <x:v>候选输入schema</x:v>
      </x:c>
      <x:c r="E5802" s="30" t="str">
        <x:v>按执行角色权限读取；策略只能使用可访问快照</x:v>
      </x:c>
    </x:row>
    <x:row r="5803" ht="32" customHeight="1">
      <x:c r="A5803" s="30" t="str">
        <x:v>A066</x:v>
      </x:c>
      <x:c r="B5803" s="30" t="str">
        <x:v>F196</x:v>
      </x:c>
      <x:c r="C5803" s="30" t="str">
        <x:v>task.type</x:v>
      </x:c>
      <x:c r="D5803" s="30" t="str">
        <x:v>候选输入schema</x:v>
      </x:c>
      <x:c r="E5803" s="30" t="str">
        <x:v>按执行角色权限读取；策略只能使用可访问快照</x:v>
      </x:c>
    </x:row>
    <x:row r="5804" ht="32" customHeight="1">
      <x:c r="A5804" s="30" t="str">
        <x:v>A066</x:v>
      </x:c>
      <x:c r="B5804" s="30" t="str">
        <x:v>F197</x:v>
      </x:c>
      <x:c r="C5804" s="30" t="str">
        <x:v>task.creator_id</x:v>
      </x:c>
      <x:c r="D5804" s="30" t="str">
        <x:v>候选输入schema</x:v>
      </x:c>
      <x:c r="E5804" s="30" t="str">
        <x:v>按执行角色权限读取；策略只能使用可访问快照</x:v>
      </x:c>
    </x:row>
    <x:row r="5805" ht="32" customHeight="1">
      <x:c r="A5805" s="30" t="str">
        <x:v>A066</x:v>
      </x:c>
      <x:c r="B5805" s="30" t="str">
        <x:v>F198</x:v>
      </x:c>
      <x:c r="C5805" s="30" t="str">
        <x:v>task.target_ref</x:v>
      </x:c>
      <x:c r="D5805" s="30" t="str">
        <x:v>候选输入schema</x:v>
      </x:c>
      <x:c r="E5805" s="30" t="str">
        <x:v>按执行角色权限读取；策略只能使用可访问快照</x:v>
      </x:c>
    </x:row>
    <x:row r="5806" ht="32" customHeight="1">
      <x:c r="A5806" s="30" t="str">
        <x:v>A066</x:v>
      </x:c>
      <x:c r="B5806" s="30" t="str">
        <x:v>F199</x:v>
      </x:c>
      <x:c r="C5806" s="30" t="str">
        <x:v>task.goal_predicate</x:v>
      </x:c>
      <x:c r="D5806" s="30" t="str">
        <x:v>候选输入schema</x:v>
      </x:c>
      <x:c r="E5806" s="30" t="str">
        <x:v>按执行角色权限读取；策略只能使用可访问快照</x:v>
      </x:c>
    </x:row>
    <x:row r="5807" ht="32" customHeight="1">
      <x:c r="A5807" s="30" t="str">
        <x:v>A066</x:v>
      </x:c>
      <x:c r="B5807" s="30" t="str">
        <x:v>F200</x:v>
      </x:c>
      <x:c r="C5807" s="30" t="str">
        <x:v>task.revision</x:v>
      </x:c>
      <x:c r="D5807" s="30" t="str">
        <x:v>候选输入schema</x:v>
      </x:c>
      <x:c r="E5807" s="30" t="str">
        <x:v>按执行角色权限读取；策略只能使用可访问快照</x:v>
      </x:c>
    </x:row>
    <x:row r="5808" ht="32" customHeight="1">
      <x:c r="A5808" s="30" t="str">
        <x:v>A066</x:v>
      </x:c>
      <x:c r="B5808" s="30" t="str">
        <x:v>F201</x:v>
      </x:c>
      <x:c r="C5808" s="30" t="str">
        <x:v>task.status</x:v>
      </x:c>
      <x:c r="D5808" s="30" t="str">
        <x:v>候选输入schema</x:v>
      </x:c>
      <x:c r="E5808" s="30" t="str">
        <x:v>按执行角色权限读取；策略只能使用可访问快照</x:v>
      </x:c>
    </x:row>
    <x:row r="5809" ht="32" customHeight="1">
      <x:c r="A5809" s="30" t="str">
        <x:v>A066</x:v>
      </x:c>
      <x:c r="B5809" s="30" t="str">
        <x:v>F202</x:v>
      </x:c>
      <x:c r="C5809" s="30" t="str">
        <x:v>task.priority</x:v>
      </x:c>
      <x:c r="D5809" s="30" t="str">
        <x:v>候选输入schema</x:v>
      </x:c>
      <x:c r="E5809" s="30" t="str">
        <x:v>按执行角色权限读取；策略只能使用可访问快照</x:v>
      </x:c>
    </x:row>
    <x:row r="5810" ht="32" customHeight="1">
      <x:c r="A5810" s="30" t="str">
        <x:v>A066</x:v>
      </x:c>
      <x:c r="B5810" s="30" t="str">
        <x:v>F203</x:v>
      </x:c>
      <x:c r="C5810" s="30" t="str">
        <x:v>task.deadline_s</x:v>
      </x:c>
      <x:c r="D5810" s="30" t="str">
        <x:v>候选输入schema</x:v>
      </x:c>
      <x:c r="E5810" s="30" t="str">
        <x:v>按执行角色权限读取；策略只能使用可访问快照</x:v>
      </x:c>
    </x:row>
    <x:row r="5811" ht="32" customHeight="1">
      <x:c r="A5811" s="30" t="str">
        <x:v>A066</x:v>
      </x:c>
      <x:c r="B5811" s="30" t="str">
        <x:v>F204</x:v>
      </x:c>
      <x:c r="C5811" s="30" t="str">
        <x:v>task.dependency_ids</x:v>
      </x:c>
      <x:c r="D5811" s="30" t="str">
        <x:v>候选输入schema</x:v>
      </x:c>
      <x:c r="E5811" s="30" t="str">
        <x:v>按执行角色权限读取；策略只能使用可访问快照</x:v>
      </x:c>
    </x:row>
    <x:row r="5812" ht="32" customHeight="1">
      <x:c r="A5812" s="30" t="str">
        <x:v>A066</x:v>
      </x:c>
      <x:c r="B5812" s="30" t="str">
        <x:v>F205</x:v>
      </x:c>
      <x:c r="C5812" s="30" t="str">
        <x:v>task.required_capability_ids</x:v>
      </x:c>
      <x:c r="D5812" s="30" t="str">
        <x:v>候选输入schema</x:v>
      </x:c>
      <x:c r="E5812" s="30" t="str">
        <x:v>按执行角色权限读取；策略只能使用可访问快照</x:v>
      </x:c>
    </x:row>
    <x:row r="5813" ht="32" customHeight="1">
      <x:c r="A5813" s="30" t="str">
        <x:v>A066</x:v>
      </x:c>
      <x:c r="B5813" s="30" t="str">
        <x:v>F206</x:v>
      </x:c>
      <x:c r="C5813" s="30" t="str">
        <x:v>task.resource_budget</x:v>
      </x:c>
      <x:c r="D5813" s="30" t="str">
        <x:v>候选输入schema</x:v>
      </x:c>
      <x:c r="E5813" s="30" t="str">
        <x:v>按执行角色权限读取；策略只能使用可访问快照</x:v>
      </x:c>
    </x:row>
    <x:row r="5814" ht="32" customHeight="1">
      <x:c r="A5814" s="30" t="str">
        <x:v>A066</x:v>
      </x:c>
      <x:c r="B5814" s="30" t="str">
        <x:v>F207</x:v>
      </x:c>
      <x:c r="C5814" s="30" t="str">
        <x:v>task.assigned_to</x:v>
      </x:c>
      <x:c r="D5814" s="30" t="str">
        <x:v>候选输入schema</x:v>
      </x:c>
      <x:c r="E5814" s="30" t="str">
        <x:v>按执行角色权限读取；策略只能使用可访问快照</x:v>
      </x:c>
    </x:row>
    <x:row r="5815" ht="32" customHeight="1">
      <x:c r="A5815" s="30" t="str">
        <x:v>A066</x:v>
      </x:c>
      <x:c r="B5815" s="30" t="str">
        <x:v>F208</x:v>
      </x:c>
      <x:c r="C5815" s="30" t="str">
        <x:v>task.accepted_by</x:v>
      </x:c>
      <x:c r="D5815" s="30" t="str">
        <x:v>候选输入schema</x:v>
      </x:c>
      <x:c r="E5815" s="30" t="str">
        <x:v>按执行角色权限读取；策略只能使用可访问快照</x:v>
      </x:c>
    </x:row>
    <x:row r="5816" ht="32" customHeight="1">
      <x:c r="A5816" s="30" t="str">
        <x:v>A066</x:v>
      </x:c>
      <x:c r="B5816" s="30" t="str">
        <x:v>F209</x:v>
      </x:c>
      <x:c r="C5816" s="30" t="str">
        <x:v>task.commitment_window</x:v>
      </x:c>
      <x:c r="D5816" s="30" t="str">
        <x:v>候选输入schema</x:v>
      </x:c>
      <x:c r="E5816" s="30" t="str">
        <x:v>按执行角色权限读取；策略只能使用可访问快照</x:v>
      </x:c>
    </x:row>
    <x:row r="5817" ht="32" customHeight="1">
      <x:c r="A5817" s="30" t="str">
        <x:v>A066</x:v>
      </x:c>
      <x:c r="B5817" s="30" t="str">
        <x:v>F210</x:v>
      </x:c>
      <x:c r="C5817" s="30" t="str">
        <x:v>task.progress</x:v>
      </x:c>
      <x:c r="D5817" s="30" t="str">
        <x:v>候选输入schema</x:v>
      </x:c>
      <x:c r="E5817" s="30" t="str">
        <x:v>按执行角色权限读取；策略只能使用可访问快照</x:v>
      </x:c>
    </x:row>
    <x:row r="5818" ht="32" customHeight="1">
      <x:c r="A5818" s="30" t="str">
        <x:v>A066</x:v>
      </x:c>
      <x:c r="B5818" s="30" t="str">
        <x:v>F211</x:v>
      </x:c>
      <x:c r="C5818" s="30" t="str">
        <x:v>task.active_action_ids</x:v>
      </x:c>
      <x:c r="D5818" s="30" t="str">
        <x:v>候选输入schema</x:v>
      </x:c>
      <x:c r="E5818" s="30" t="str">
        <x:v>按执行角色权限读取；策略只能使用可访问快照</x:v>
      </x:c>
    </x:row>
    <x:row r="5819" ht="32" customHeight="1">
      <x:c r="A5819" s="30" t="str">
        <x:v>A066</x:v>
      </x:c>
      <x:c r="B5819" s="30" t="str">
        <x:v>F212</x:v>
      </x:c>
      <x:c r="C5819" s="30" t="str">
        <x:v>task.interruptibility</x:v>
      </x:c>
      <x:c r="D5819" s="30" t="str">
        <x:v>候选输入schema</x:v>
      </x:c>
      <x:c r="E5819" s="30" t="str">
        <x:v>按执行角色权限读取；策略只能使用可访问快照</x:v>
      </x:c>
    </x:row>
    <x:row r="5820" ht="32" customHeight="1">
      <x:c r="A5820" s="30" t="str">
        <x:v>A066</x:v>
      </x:c>
      <x:c r="B5820" s="30" t="str">
        <x:v>F213</x:v>
      </x:c>
      <x:c r="C5820" s="30" t="str">
        <x:v>task.original_task_id</x:v>
      </x:c>
      <x:c r="D5820" s="30" t="str">
        <x:v>候选输入schema</x:v>
      </x:c>
      <x:c r="E5820" s="30" t="str">
        <x:v>按执行角色权限读取；策略只能使用可访问快照</x:v>
      </x:c>
    </x:row>
    <x:row r="5821" ht="32" customHeight="1">
      <x:c r="A5821" s="30" t="str">
        <x:v>A066</x:v>
      </x:c>
      <x:c r="B5821" s="30" t="str">
        <x:v>F214</x:v>
      </x:c>
      <x:c r="C5821" s="30" t="str">
        <x:v>task.resume_checkpoint</x:v>
      </x:c>
      <x:c r="D5821" s="30" t="str">
        <x:v>候选输入schema</x:v>
      </x:c>
      <x:c r="E5821" s="30" t="str">
        <x:v>按执行角色权限读取；策略只能使用可访问快照</x:v>
      </x:c>
    </x:row>
    <x:row r="5822" ht="32" customHeight="1">
      <x:c r="A5822" s="30" t="str">
        <x:v>A066</x:v>
      </x:c>
      <x:c r="B5822" s="30" t="str">
        <x:v>F215</x:v>
      </x:c>
      <x:c r="C5822" s="30" t="str">
        <x:v>task.handoff_target_id</x:v>
      </x:c>
      <x:c r="D5822" s="30" t="str">
        <x:v>候选输入schema</x:v>
      </x:c>
      <x:c r="E5822" s="30" t="str">
        <x:v>按执行角色权限读取；策略只能使用可访问快照</x:v>
      </x:c>
    </x:row>
    <x:row r="5823" ht="32" customHeight="1">
      <x:c r="A5823" s="30" t="str">
        <x:v>A066</x:v>
      </x:c>
      <x:c r="B5823" s="30" t="str">
        <x:v>F216</x:v>
      </x:c>
      <x:c r="C5823" s="30" t="str">
        <x:v>task.result_evidence_ids</x:v>
      </x:c>
      <x:c r="D5823" s="30" t="str">
        <x:v>候选输入schema</x:v>
      </x:c>
      <x:c r="E5823" s="30" t="str">
        <x:v>按执行角色权限读取；策略只能使用可访问快照</x:v>
      </x:c>
    </x:row>
    <x:row r="5824" ht="32" customHeight="1">
      <x:c r="A5824" s="30" t="str">
        <x:v>A066</x:v>
      </x:c>
      <x:c r="B5824" s="30" t="str">
        <x:v>F217</x:v>
      </x:c>
      <x:c r="C5824" s="30" t="str">
        <x:v>task.failure_reason</x:v>
      </x:c>
      <x:c r="D5824" s="30" t="str">
        <x:v>候选输入schema</x:v>
      </x:c>
      <x:c r="E5824" s="30" t="str">
        <x:v>按执行角色权限读取；策略只能使用可访问快照</x:v>
      </x:c>
    </x:row>
    <x:row r="5825" ht="32" customHeight="1">
      <x:c r="A5825" s="30" t="str">
        <x:v>A066</x:v>
      </x:c>
      <x:c r="B5825" s="30" t="str">
        <x:v>F218</x:v>
      </x:c>
      <x:c r="C5825" s="30" t="str">
        <x:v>task.last_event_s</x:v>
      </x:c>
      <x:c r="D5825" s="30" t="str">
        <x:v>候选输入schema</x:v>
      </x:c>
      <x:c r="E5825" s="30" t="str">
        <x:v>按执行角色权限读取；策略只能使用可访问快照</x:v>
      </x:c>
    </x:row>
    <x:row r="5826" ht="32" customHeight="1">
      <x:c r="A5826" s="30" t="str">
        <x:v>A066</x:v>
      </x:c>
      <x:c r="B5826" s="30" t="str">
        <x:v>F219</x:v>
      </x:c>
      <x:c r="C5826" s="30" t="str">
        <x:v>task.opportunity_cost</x:v>
      </x:c>
      <x:c r="D5826" s="30" t="str">
        <x:v>候选输入schema</x:v>
      </x:c>
      <x:c r="E5826" s="30" t="str">
        <x:v>按执行角色权限读取；策略只能使用可访问快照</x:v>
      </x:c>
    </x:row>
    <x:row r="5827" ht="32" customHeight="1">
      <x:c r="A5827" s="30" t="str">
        <x:v>A066</x:v>
      </x:c>
      <x:c r="B5827" s="30" t="str">
        <x:v>F293</x:v>
      </x:c>
      <x:c r="C5827" s="30" t="str">
        <x:v>compute.node_id</x:v>
      </x:c>
      <x:c r="D5827" s="30" t="str">
        <x:v>候选输入schema</x:v>
      </x:c>
      <x:c r="E5827" s="30" t="str">
        <x:v>按执行角色权限读取；策略只能使用可访问快照</x:v>
      </x:c>
    </x:row>
    <x:row r="5828" ht="32" customHeight="1">
      <x:c r="A5828" s="30" t="str">
        <x:v>A066</x:v>
      </x:c>
      <x:c r="B5828" s="30" t="str">
        <x:v>F294</x:v>
      </x:c>
      <x:c r="C5828" s="30" t="str">
        <x:v>compute.device_kind</x:v>
      </x:c>
      <x:c r="D5828" s="30" t="str">
        <x:v>候选输入schema</x:v>
      </x:c>
      <x:c r="E5828" s="30" t="str">
        <x:v>按执行角色权限读取；策略只能使用可访问快照</x:v>
      </x:c>
    </x:row>
    <x:row r="5829" ht="32" customHeight="1">
      <x:c r="A5829" s="30" t="str">
        <x:v>A066</x:v>
      </x:c>
      <x:c r="B5829" s="30" t="str">
        <x:v>F295</x:v>
      </x:c>
      <x:c r="C5829" s="30" t="str">
        <x:v>compute.cpu_capacity</x:v>
      </x:c>
      <x:c r="D5829" s="30" t="str">
        <x:v>候选输入schema</x:v>
      </x:c>
      <x:c r="E5829" s="30" t="str">
        <x:v>按执行角色权限读取；策略只能使用可访问快照</x:v>
      </x:c>
    </x:row>
    <x:row r="5830" ht="32" customHeight="1">
      <x:c r="A5830" s="30" t="str">
        <x:v>A066</x:v>
      </x:c>
      <x:c r="B5830" s="30" t="str">
        <x:v>F296</x:v>
      </x:c>
      <x:c r="C5830" s="30" t="str">
        <x:v>compute.accelerator_capacity</x:v>
      </x:c>
      <x:c r="D5830" s="30" t="str">
        <x:v>候选输入schema</x:v>
      </x:c>
      <x:c r="E5830" s="30" t="str">
        <x:v>按执行角色权限读取；策略只能使用可访问快照</x:v>
      </x:c>
    </x:row>
    <x:row r="5831" ht="32" customHeight="1">
      <x:c r="A5831" s="30" t="str">
        <x:v>A066</x:v>
      </x:c>
      <x:c r="B5831" s="30" t="str">
        <x:v>F297</x:v>
      </x:c>
      <x:c r="C5831" s="30" t="str">
        <x:v>compute.memory_capacity_bytes</x:v>
      </x:c>
      <x:c r="D5831" s="30" t="str">
        <x:v>候选输入schema</x:v>
      </x:c>
      <x:c r="E5831" s="30" t="str">
        <x:v>按执行角色权限读取；策略只能使用可访问快照</x:v>
      </x:c>
    </x:row>
    <x:row r="5832" ht="32" customHeight="1">
      <x:c r="A5832" s="30" t="str">
        <x:v>A066</x:v>
      </x:c>
      <x:c r="B5832" s="30" t="str">
        <x:v>F298</x:v>
      </x:c>
      <x:c r="C5832" s="30" t="str">
        <x:v>compute.memory_used_bytes</x:v>
      </x:c>
      <x:c r="D5832" s="30" t="str">
        <x:v>候选输入schema</x:v>
      </x:c>
      <x:c r="E5832" s="30" t="str">
        <x:v>按执行角色权限读取；策略只能使用可访问快照</x:v>
      </x:c>
    </x:row>
    <x:row r="5833" ht="32" customHeight="1">
      <x:c r="A5833" s="30" t="str">
        <x:v>A066</x:v>
      </x:c>
      <x:c r="B5833" s="30" t="str">
        <x:v>F299</x:v>
      </x:c>
      <x:c r="C5833" s="30" t="str">
        <x:v>compute.cpu_allocated</x:v>
      </x:c>
      <x:c r="D5833" s="30" t="str">
        <x:v>候选输入schema</x:v>
      </x:c>
      <x:c r="E5833" s="30" t="str">
        <x:v>按执行角色权限读取；策略只能使用可访问快照</x:v>
      </x:c>
    </x:row>
    <x:row r="5834" ht="32" customHeight="1">
      <x:c r="A5834" s="30" t="str">
        <x:v>A066</x:v>
      </x:c>
      <x:c r="B5834" s="30" t="str">
        <x:v>F300</x:v>
      </x:c>
      <x:c r="C5834" s="30" t="str">
        <x:v>compute.accelerator_allocated</x:v>
      </x:c>
      <x:c r="D5834" s="30" t="str">
        <x:v>候选输入schema</x:v>
      </x:c>
      <x:c r="E5834" s="30" t="str">
        <x:v>按执行角色权限读取；策略只能使用可访问快照</x:v>
      </x:c>
    </x:row>
    <x:row r="5835" ht="32" customHeight="1">
      <x:c r="A5835" s="30" t="str">
        <x:v>A066</x:v>
      </x:c>
      <x:c r="B5835" s="30" t="str">
        <x:v>F301</x:v>
      </x:c>
      <x:c r="C5835" s="30" t="str">
        <x:v>compute.max_concurrency</x:v>
      </x:c>
      <x:c r="D5835" s="30" t="str">
        <x:v>候选输入schema</x:v>
      </x:c>
      <x:c r="E5835" s="30" t="str">
        <x:v>按执行角色权限读取；策略只能使用可访问快照</x:v>
      </x:c>
    </x:row>
    <x:row r="5836" ht="32" customHeight="1">
      <x:c r="A5836" s="30" t="str">
        <x:v>A066</x:v>
      </x:c>
      <x:c r="B5836" s="30" t="str">
        <x:v>F302</x:v>
      </x:c>
      <x:c r="C5836" s="30" t="str">
        <x:v>compute.queue_ids</x:v>
      </x:c>
      <x:c r="D5836" s="30" t="str">
        <x:v>候选输入schema</x:v>
      </x:c>
      <x:c r="E5836" s="30" t="str">
        <x:v>按执行角色权限读取；策略只能使用可访问快照</x:v>
      </x:c>
    </x:row>
    <x:row r="5837" ht="32" customHeight="1">
      <x:c r="A5837" s="30" t="str">
        <x:v>A066</x:v>
      </x:c>
      <x:c r="B5837" s="30" t="str">
        <x:v>F303</x:v>
      </x:c>
      <x:c r="C5837" s="30" t="str">
        <x:v>compute.running_job_ids</x:v>
      </x:c>
      <x:c r="D5837" s="30" t="str">
        <x:v>候选输入schema</x:v>
      </x:c>
      <x:c r="E5837" s="30" t="str">
        <x:v>按执行角色权限读取；策略只能使用可访问快照</x:v>
      </x:c>
    </x:row>
    <x:row r="5838" ht="32" customHeight="1">
      <x:c r="A5838" s="30" t="str">
        <x:v>A066</x:v>
      </x:c>
      <x:c r="B5838" s="30" t="str">
        <x:v>F304</x:v>
      </x:c>
      <x:c r="C5838" s="30" t="str">
        <x:v>compute.availability</x:v>
      </x:c>
      <x:c r="D5838" s="30" t="str">
        <x:v>候选输入schema</x:v>
      </x:c>
      <x:c r="E5838" s="30" t="str">
        <x:v>按执行角色权限读取；策略只能使用可访问快照</x:v>
      </x:c>
    </x:row>
    <x:row r="5839" ht="32" customHeight="1">
      <x:c r="A5839" s="30" t="str">
        <x:v>A066</x:v>
      </x:c>
      <x:c r="B5839" s="30" t="str">
        <x:v>F305</x:v>
      </x:c>
      <x:c r="C5839" s="30" t="str">
        <x:v>compute.power_model</x:v>
      </x:c>
      <x:c r="D5839" s="30" t="str">
        <x:v>候选输入schema</x:v>
      </x:c>
      <x:c r="E5839" s="30" t="str">
        <x:v>按执行角色权限读取；策略只能使用可访问快照</x:v>
      </x:c>
    </x:row>
    <x:row r="5840" ht="32" customHeight="1">
      <x:c r="A5840" s="30" t="str">
        <x:v>A066</x:v>
      </x:c>
      <x:c r="B5840" s="30" t="str">
        <x:v>F306</x:v>
      </x:c>
      <x:c r="C5840" s="30" t="str">
        <x:v>compute.energy_Wh</x:v>
      </x:c>
      <x:c r="D5840" s="30" t="str">
        <x:v>候选输入schema</x:v>
      </x:c>
      <x:c r="E5840" s="30" t="str">
        <x:v>按执行角色权限读取；策略只能使用可访问快照</x:v>
      </x:c>
    </x:row>
    <x:row r="5841" ht="32" customHeight="1">
      <x:c r="A5841" s="30" t="str">
        <x:v>A066</x:v>
      </x:c>
      <x:c r="B5841" s="30" t="str">
        <x:v>F307</x:v>
      </x:c>
      <x:c r="C5841" s="30" t="str">
        <x:v>compute.service_ids</x:v>
      </x:c>
      <x:c r="D5841" s="30" t="str">
        <x:v>候选输入schema</x:v>
      </x:c>
      <x:c r="E5841" s="30" t="str">
        <x:v>按执行角色权限读取；策略只能使用可访问快照</x:v>
      </x:c>
    </x:row>
    <x:row r="5842" ht="32" customHeight="1">
      <x:c r="A5842" s="30" t="str">
        <x:v>A066</x:v>
      </x:c>
      <x:c r="B5842" s="30" t="str">
        <x:v>F308</x:v>
      </x:c>
      <x:c r="C5842" s="30" t="str">
        <x:v>compute.storage_free_bytes</x:v>
      </x:c>
      <x:c r="D5842" s="30" t="str">
        <x:v>候选输入schema</x:v>
      </x:c>
      <x:c r="E5842" s="30" t="str">
        <x:v>按执行角色权限读取；策略只能使用可访问快照</x:v>
      </x:c>
    </x:row>
    <x:row r="5843" ht="32" customHeight="1">
      <x:c r="A5843" s="30" t="str">
        <x:v>A066</x:v>
      </x:c>
      <x:c r="B5843" s="30" t="str">
        <x:v>F309</x:v>
      </x:c>
      <x:c r="C5843" s="30" t="str">
        <x:v>compute.clock_policy</x:v>
      </x:c>
      <x:c r="D5843" s="30" t="str">
        <x:v>候选输入schema</x:v>
      </x:c>
      <x:c r="E5843" s="30" t="str">
        <x:v>按执行角色权限读取；策略只能使用可访问快照</x:v>
      </x:c>
    </x:row>
    <x:row r="5844" ht="32" customHeight="1">
      <x:c r="A5844" s="30" t="str">
        <x:v>A066</x:v>
      </x:c>
      <x:c r="B5844" s="30" t="str">
        <x:v>F310</x:v>
      </x:c>
      <x:c r="C5844" s="30" t="str">
        <x:v>compute.timing_profile_id</x:v>
      </x:c>
      <x:c r="D5844" s="30" t="str">
        <x:v>候选输入schema</x:v>
      </x:c>
      <x:c r="E5844" s="30" t="str">
        <x:v>按执行角色权限读取；策略只能使用可访问快照</x:v>
      </x:c>
    </x:row>
    <x:row r="5845" ht="32" customHeight="1">
      <x:c r="A5845" s="30" t="str">
        <x:v>A066</x:v>
      </x:c>
      <x:c r="B5845" s="30" t="str">
        <x:v>F311</x:v>
      </x:c>
      <x:c r="C5845" s="30" t="str">
        <x:v>compute.temperature_state</x:v>
      </x:c>
      <x:c r="D5845" s="30" t="str">
        <x:v>候选输入schema</x:v>
      </x:c>
      <x:c r="E5845" s="30" t="str">
        <x:v>按执行角色权限读取；策略只能使用可访问快照</x:v>
      </x:c>
    </x:row>
    <x:row r="5846" ht="32" customHeight="1">
      <x:c r="A5846" s="30" t="str">
        <x:v>A066</x:v>
      </x:c>
      <x:c r="B5846" s="30" t="str">
        <x:v>F312</x:v>
      </x:c>
      <x:c r="C5846" s="30" t="str">
        <x:v>compute.network_endpoint</x:v>
      </x:c>
      <x:c r="D5846" s="30" t="str">
        <x:v>候选输入schema</x:v>
      </x:c>
      <x:c r="E5846" s="30" t="str">
        <x:v>按执行角色权限读取；策略只能使用可访问快照</x:v>
      </x:c>
    </x:row>
    <x:row r="5847" ht="32" customHeight="1">
      <x:c r="A5847" s="30" t="str">
        <x:v>A066</x:v>
      </x:c>
      <x:c r="B5847" s="30" t="str">
        <x:v>F329</x:v>
      </x:c>
      <x:c r="C5847" s="30" t="str">
        <x:v>job.requester_id</x:v>
      </x:c>
      <x:c r="D5847" s="30" t="str">
        <x:v>候选输入schema</x:v>
      </x:c>
      <x:c r="E5847" s="30" t="str">
        <x:v>按执行角色权限读取；策略只能使用可访问快照</x:v>
      </x:c>
    </x:row>
    <x:row r="5848" ht="32" customHeight="1">
      <x:c r="A5848" s="30" t="str">
        <x:v>A066</x:v>
      </x:c>
      <x:c r="B5848" s="30" t="str">
        <x:v>F330</x:v>
      </x:c>
      <x:c r="C5848" s="30" t="str">
        <x:v>job.task_ref</x:v>
      </x:c>
      <x:c r="D5848" s="30" t="str">
        <x:v>候选输入schema</x:v>
      </x:c>
      <x:c r="E5848" s="30" t="str">
        <x:v>按执行角色权限读取；策略只能使用可访问快照</x:v>
      </x:c>
    </x:row>
    <x:row r="5849" ht="32" customHeight="1">
      <x:c r="A5849" s="30" t="str">
        <x:v>A066</x:v>
      </x:c>
      <x:c r="B5849" s="30" t="str">
        <x:v>F331</x:v>
      </x:c>
      <x:c r="C5849" s="30" t="str">
        <x:v>job.service_id</x:v>
      </x:c>
      <x:c r="D5849" s="30" t="str">
        <x:v>候选输入schema</x:v>
      </x:c>
      <x:c r="E5849" s="30" t="str">
        <x:v>按执行角色权限读取；策略只能使用可访问快照</x:v>
      </x:c>
    </x:row>
    <x:row r="5850" ht="32" customHeight="1">
      <x:c r="A5850" s="30" t="str">
        <x:v>A066</x:v>
      </x:c>
      <x:c r="B5850" s="30" t="str">
        <x:v>F332</x:v>
      </x:c>
      <x:c r="C5850" s="30" t="str">
        <x:v>job.input_evidence_ids</x:v>
      </x:c>
      <x:c r="D5850" s="30" t="str">
        <x:v>候选输入schema</x:v>
      </x:c>
      <x:c r="E5850" s="30" t="str">
        <x:v>按执行角色权限读取；策略只能使用可访问快照</x:v>
      </x:c>
    </x:row>
    <x:row r="5851" ht="32" customHeight="1">
      <x:c r="A5851" s="30" t="str">
        <x:v>A066</x:v>
      </x:c>
      <x:c r="B5851" s="30" t="str">
        <x:v>F333</x:v>
      </x:c>
      <x:c r="C5851" s="30" t="str">
        <x:v>job.input_bytes</x:v>
      </x:c>
      <x:c r="D5851" s="30" t="str">
        <x:v>候选输入schema</x:v>
      </x:c>
      <x:c r="E5851" s="30" t="str">
        <x:v>按执行角色权限读取；策略只能使用可访问快照</x:v>
      </x:c>
    </x:row>
    <x:row r="5852" ht="32" customHeight="1">
      <x:c r="A5852" s="30" t="str">
        <x:v>A066</x:v>
      </x:c>
      <x:c r="B5852" s="30" t="str">
        <x:v>F334</x:v>
      </x:c>
      <x:c r="C5852" s="30" t="str">
        <x:v>job.input_tokens</x:v>
      </x:c>
      <x:c r="D5852" s="30" t="str">
        <x:v>候选输入schema</x:v>
      </x:c>
      <x:c r="E5852" s="30" t="str">
        <x:v>按执行角色权限读取；策略只能使用可访问快照</x:v>
      </x:c>
    </x:row>
    <x:row r="5853" ht="32" customHeight="1">
      <x:c r="A5853" s="30" t="str">
        <x:v>A066</x:v>
      </x:c>
      <x:c r="B5853" s="30" t="str">
        <x:v>F335</x:v>
      </x:c>
      <x:c r="C5853" s="30" t="str">
        <x:v>job.output_tokens</x:v>
      </x:c>
      <x:c r="D5853" s="30" t="str">
        <x:v>候选输入schema</x:v>
      </x:c>
      <x:c r="E5853" s="30" t="str">
        <x:v>按执行角色权限读取；策略只能使用可访问快照</x:v>
      </x:c>
    </x:row>
    <x:row r="5854" ht="32" customHeight="1">
      <x:c r="A5854" s="30" t="str">
        <x:v>A066</x:v>
      </x:c>
      <x:c r="B5854" s="30" t="str">
        <x:v>F336</x:v>
      </x:c>
      <x:c r="C5854" s="30" t="str">
        <x:v>job.status</x:v>
      </x:c>
      <x:c r="D5854" s="30" t="str">
        <x:v>候选输入schema</x:v>
      </x:c>
      <x:c r="E5854" s="30" t="str">
        <x:v>按执行角色权限读取；策略只能使用可访问快照</x:v>
      </x:c>
    </x:row>
    <x:row r="5855" ht="32" customHeight="1">
      <x:c r="A5855" s="30" t="str">
        <x:v>A066</x:v>
      </x:c>
      <x:c r="B5855" s="30" t="str">
        <x:v>F337</x:v>
      </x:c>
      <x:c r="C5855" s="30" t="str">
        <x:v>job.queue_enter_s</x:v>
      </x:c>
      <x:c r="D5855" s="30" t="str">
        <x:v>候选输入schema</x:v>
      </x:c>
      <x:c r="E5855" s="30" t="str">
        <x:v>按执行角色权限读取；策略只能使用可访问快照</x:v>
      </x:c>
    </x:row>
    <x:row r="5856" ht="32" customHeight="1">
      <x:c r="A5856" s="30" t="str">
        <x:v>A066</x:v>
      </x:c>
      <x:c r="B5856" s="30" t="str">
        <x:v>F338</x:v>
      </x:c>
      <x:c r="C5856" s="30" t="str">
        <x:v>job.start_s</x:v>
      </x:c>
      <x:c r="D5856" s="30" t="str">
        <x:v>候选输入schema</x:v>
      </x:c>
      <x:c r="E5856" s="30" t="str">
        <x:v>按执行角色权限读取；策略只能使用可访问快照</x:v>
      </x:c>
    </x:row>
    <x:row r="5857" ht="32" customHeight="1">
      <x:c r="A5857" s="30" t="str">
        <x:v>A066</x:v>
      </x:c>
      <x:c r="B5857" s="30" t="str">
        <x:v>F339</x:v>
      </x:c>
      <x:c r="C5857" s="30" t="str">
        <x:v>job.finish_s</x:v>
      </x:c>
      <x:c r="D5857" s="30" t="str">
        <x:v>候选输入schema</x:v>
      </x:c>
      <x:c r="E5857" s="30" t="str">
        <x:v>按执行角色权限读取；策略只能使用可访问快照</x:v>
      </x:c>
    </x:row>
    <x:row r="5858" ht="32" customHeight="1">
      <x:c r="A5858" s="30" t="str">
        <x:v>A066</x:v>
      </x:c>
      <x:c r="B5858" s="30" t="str">
        <x:v>F340</x:v>
      </x:c>
      <x:c r="C5858" s="30" t="str">
        <x:v>job.deadline_s</x:v>
      </x:c>
      <x:c r="D5858" s="30" t="str">
        <x:v>候选输入schema</x:v>
      </x:c>
      <x:c r="E5858" s="30" t="str">
        <x:v>按执行角色权限读取；策略只能使用可访问快照</x:v>
      </x:c>
    </x:row>
    <x:row r="5859" ht="32" customHeight="1">
      <x:c r="A5859" s="30" t="str">
        <x:v>A066</x:v>
      </x:c>
      <x:c r="B5859" s="30" t="str">
        <x:v>F341</x:v>
      </x:c>
      <x:c r="C5859" s="30" t="str">
        <x:v>job.cpu_request</x:v>
      </x:c>
      <x:c r="D5859" s="30" t="str">
        <x:v>候选输入schema</x:v>
      </x:c>
      <x:c r="E5859" s="30" t="str">
        <x:v>按执行角色权限读取；策略只能使用可访问快照</x:v>
      </x:c>
    </x:row>
    <x:row r="5860" ht="32" customHeight="1">
      <x:c r="A5860" s="30" t="str">
        <x:v>A066</x:v>
      </x:c>
      <x:c r="B5860" s="30" t="str">
        <x:v>F342</x:v>
      </x:c>
      <x:c r="C5860" s="30" t="str">
        <x:v>job.memory_request_bytes</x:v>
      </x:c>
      <x:c r="D5860" s="30" t="str">
        <x:v>候选输入schema</x:v>
      </x:c>
      <x:c r="E5860" s="30" t="str">
        <x:v>按执行角色权限读取；策略只能使用可访问快照</x:v>
      </x:c>
    </x:row>
    <x:row r="5861" ht="32" customHeight="1">
      <x:c r="A5861" s="30" t="str">
        <x:v>A066</x:v>
      </x:c>
      <x:c r="B5861" s="30" t="str">
        <x:v>F343</x:v>
      </x:c>
      <x:c r="C5861" s="30" t="str">
        <x:v>job.prefill_s</x:v>
      </x:c>
      <x:c r="D5861" s="30" t="str">
        <x:v>候选输入schema</x:v>
      </x:c>
      <x:c r="E5861" s="30" t="str">
        <x:v>按执行角色权限读取；策略只能使用可访问快照</x:v>
      </x:c>
    </x:row>
    <x:row r="5862" ht="32" customHeight="1">
      <x:c r="A5862" s="30" t="str">
        <x:v>A066</x:v>
      </x:c>
      <x:c r="B5862" s="30" t="str">
        <x:v>F344</x:v>
      </x:c>
      <x:c r="C5862" s="30" t="str">
        <x:v>job.decode_s</x:v>
      </x:c>
      <x:c r="D5862" s="30" t="str">
        <x:v>候选输入schema</x:v>
      </x:c>
      <x:c r="E5862" s="30" t="str">
        <x:v>按执行角色权限读取；策略只能使用可访问快照</x:v>
      </x:c>
    </x:row>
    <x:row r="5863" ht="32" customHeight="1">
      <x:c r="A5863" s="30" t="str">
        <x:v>A066</x:v>
      </x:c>
      <x:c r="B5863" s="30" t="str">
        <x:v>F345</x:v>
      </x:c>
      <x:c r="C5863" s="30" t="str">
        <x:v>job.wall_time_s</x:v>
      </x:c>
      <x:c r="D5863" s="30" t="str">
        <x:v>候选输入schema</x:v>
      </x:c>
      <x:c r="E5863" s="30" t="str">
        <x:v>按执行角色权限读取；策略只能使用可访问快照</x:v>
      </x:c>
    </x:row>
    <x:row r="5864" ht="32" customHeight="1">
      <x:c r="A5864" s="30" t="str">
        <x:v>A066</x:v>
      </x:c>
      <x:c r="B5864" s="30" t="str">
        <x:v>F346</x:v>
      </x:c>
      <x:c r="C5864" s="30" t="str">
        <x:v>job.result_ref</x:v>
      </x:c>
      <x:c r="D5864" s="30" t="str">
        <x:v>候选输入schema</x:v>
      </x:c>
      <x:c r="E5864" s="30" t="str">
        <x:v>按执行角色权限读取；策略只能使用可访问快照</x:v>
      </x:c>
    </x:row>
    <x:row r="5865" ht="32" customHeight="1">
      <x:c r="A5865" s="30" t="str">
        <x:v>A066</x:v>
      </x:c>
      <x:c r="B5865" s="30" t="str">
        <x:v>F347</x:v>
      </x:c>
      <x:c r="C5865" s="30" t="str">
        <x:v>job.checkpoint_ref</x:v>
      </x:c>
      <x:c r="D5865" s="30" t="str">
        <x:v>候选输入schema</x:v>
      </x:c>
      <x:c r="E5865" s="30" t="str">
        <x:v>按执行角色权限读取；策略只能使用可访问快照</x:v>
      </x:c>
    </x:row>
    <x:row r="5866" ht="32" customHeight="1">
      <x:c r="A5866" s="30" t="str">
        <x:v>A066</x:v>
      </x:c>
      <x:c r="B5866" s="30" t="str">
        <x:v>F348</x:v>
      </x:c>
      <x:c r="C5866" s="30" t="str">
        <x:v>job.failure_reason</x:v>
      </x:c>
      <x:c r="D5866" s="30" t="str">
        <x:v>候选输入schema</x:v>
      </x:c>
      <x:c r="E5866" s="30" t="str">
        <x:v>按执行角色权限读取；策略只能使用可访问快照</x:v>
      </x:c>
    </x:row>
    <x:row r="5867" ht="32" customHeight="1">
      <x:c r="A5867" s="30" t="str">
        <x:v>A066</x:v>
      </x:c>
      <x:c r="B5867" s="30" t="str">
        <x:v>F371</x:v>
      </x:c>
      <x:c r="C5867" s="30" t="str">
        <x:v>region.land_use</x:v>
      </x:c>
      <x:c r="D5867" s="30" t="str">
        <x:v>候选输入schema</x:v>
      </x:c>
      <x:c r="E5867" s="30" t="str">
        <x:v>按执行角色权限读取；策略只能使用可访问快照</x:v>
      </x:c>
    </x:row>
    <x:row r="5868" ht="32" customHeight="1">
      <x:c r="A5868" s="30" t="str">
        <x:v>A066</x:v>
      </x:c>
      <x:c r="B5868" s="30" t="str">
        <x:v>F372</x:v>
      </x:c>
      <x:c r="C5868" s="30" t="str">
        <x:v>region.building_density</x:v>
      </x:c>
      <x:c r="D5868" s="30" t="str">
        <x:v>候选输入schema</x:v>
      </x:c>
      <x:c r="E5868" s="30" t="str">
        <x:v>按执行角色权限读取；策略只能使用可访问快照</x:v>
      </x:c>
    </x:row>
    <x:row r="5869" ht="32" customHeight="1">
      <x:c r="A5869" s="30" t="str">
        <x:v>A066</x:v>
      </x:c>
      <x:c r="B5869" s="30" t="str">
        <x:v>F373</x:v>
      </x:c>
      <x:c r="C5869" s="30" t="str">
        <x:v>region.road_pattern</x:v>
      </x:c>
      <x:c r="D5869" s="30" t="str">
        <x:v>候选输入schema</x:v>
      </x:c>
      <x:c r="E5869" s="30" t="str">
        <x:v>按执行角色权限读取；策略只能使用可访问快照</x:v>
      </x:c>
    </x:row>
    <x:row r="5870" ht="32" customHeight="1">
      <x:c r="A5870" s="30" t="str">
        <x:v>A066</x:v>
      </x:c>
      <x:c r="B5870" s="30" t="str">
        <x:v>F374</x:v>
      </x:c>
      <x:c r="C5870" s="30" t="str">
        <x:v>region.occupancy_prior_id</x:v>
      </x:c>
      <x:c r="D5870" s="30" t="str">
        <x:v>候选输入schema</x:v>
      </x:c>
      <x:c r="E5870" s="30" t="str">
        <x:v>按执行角色权限读取；策略只能使用可访问快照</x:v>
      </x:c>
    </x:row>
    <x:row r="5871" ht="32" customHeight="1">
      <x:c r="A5871" s="30" t="str">
        <x:v>A066</x:v>
      </x:c>
      <x:c r="B5871" s="30" t="str">
        <x:v>F375</x:v>
      </x:c>
      <x:c r="C5871" s="30" t="str">
        <x:v>region.disaster_profile_id</x:v>
      </x:c>
      <x:c r="D5871" s="30" t="str">
        <x:v>候选输入schema</x:v>
      </x:c>
      <x:c r="E5871" s="30" t="str">
        <x:v>按执行角色权限读取；策略只能使用可访问快照</x:v>
      </x:c>
    </x:row>
    <x:row r="5872" ht="32" customHeight="1">
      <x:c r="A5872" s="30" t="str">
        <x:v>A066</x:v>
      </x:c>
      <x:c r="B5872" s="30" t="str">
        <x:v>F376</x:v>
      </x:c>
      <x:c r="C5872" s="30" t="str">
        <x:v>region.surface_palette</x:v>
      </x:c>
      <x:c r="D5872" s="30" t="str">
        <x:v>候选输入schema</x:v>
      </x:c>
      <x:c r="E5872" s="30" t="str">
        <x:v>按执行角色权限读取；策略只能使用可访问快照</x:v>
      </x:c>
    </x:row>
    <x:row r="5873" ht="32" customHeight="1">
      <x:c r="A5873" s="30" t="str">
        <x:v>A066</x:v>
      </x:c>
      <x:c r="B5873" s="30" t="str">
        <x:v>F377</x:v>
      </x:c>
      <x:c r="C5873" s="30" t="str">
        <x:v>region.base_elevation_m</x:v>
      </x:c>
      <x:c r="D5873" s="30" t="str">
        <x:v>候选输入schema</x:v>
      </x:c>
      <x:c r="E5873" s="30" t="str">
        <x:v>按执行角色权限读取；策略只能使用可访问快照</x:v>
      </x:c>
    </x:row>
    <x:row r="5874" ht="32" customHeight="1">
      <x:c r="A5874" s="30" t="str">
        <x:v>A066</x:v>
      </x:c>
      <x:c r="B5874" s="30" t="str">
        <x:v>F378</x:v>
      </x:c>
      <x:c r="C5874" s="30" t="str">
        <x:v>episode.scenario_id</x:v>
      </x:c>
      <x:c r="D5874" s="30" t="str">
        <x:v>候选输入schema</x:v>
      </x:c>
      <x:c r="E5874" s="30" t="str">
        <x:v>按执行角色权限读取；策略只能使用可访问快照</x:v>
      </x:c>
    </x:row>
    <x:row r="5875" ht="32" customHeight="1">
      <x:c r="A5875" s="30" t="str">
        <x:v>A066</x:v>
      </x:c>
      <x:c r="B5875" s="30" t="str">
        <x:v>F379</x:v>
      </x:c>
      <x:c r="C5875" s="30" t="str">
        <x:v>episode.map_revision</x:v>
      </x:c>
      <x:c r="D5875" s="30" t="str">
        <x:v>候选输入schema</x:v>
      </x:c>
      <x:c r="E5875" s="30" t="str">
        <x:v>按执行角色权限读取；策略只能使用可访问快照</x:v>
      </x:c>
    </x:row>
    <x:row r="5876" ht="32" customHeight="1">
      <x:c r="A5876" s="30" t="str">
        <x:v>A066</x:v>
      </x:c>
      <x:c r="B5876" s="30" t="str">
        <x:v>F380</x:v>
      </x:c>
      <x:c r="C5876" s="30" t="str">
        <x:v>episode.seed</x:v>
      </x:c>
      <x:c r="D5876" s="30" t="str">
        <x:v>候选输入schema</x:v>
      </x:c>
      <x:c r="E5876" s="30" t="str">
        <x:v>按执行角色权限读取；策略只能使用可访问快照</x:v>
      </x:c>
    </x:row>
    <x:row r="5877" ht="32" customHeight="1">
      <x:c r="A5877" s="30" t="str">
        <x:v>A066</x:v>
      </x:c>
      <x:c r="B5877" s="30" t="str">
        <x:v>F381</x:v>
      </x:c>
      <x:c r="C5877" s="30" t="str">
        <x:v>episode.sim_time_s</x:v>
      </x:c>
      <x:c r="D5877" s="30" t="str">
        <x:v>候选输入schema</x:v>
      </x:c>
      <x:c r="E5877" s="30" t="str">
        <x:v>按执行角色权限读取；策略只能使用可访问快照</x:v>
      </x:c>
    </x:row>
    <x:row r="5878" ht="32" customHeight="1">
      <x:c r="A5878" s="30" t="str">
        <x:v>A066</x:v>
      </x:c>
      <x:c r="B5878" s="30" t="str">
        <x:v>F382</x:v>
      </x:c>
      <x:c r="C5878" s="30" t="str">
        <x:v>episode.clock_step_s</x:v>
      </x:c>
      <x:c r="D5878" s="30" t="str">
        <x:v>候选输入schema</x:v>
      </x:c>
      <x:c r="E5878" s="30" t="str">
        <x:v>按执行角色权限读取；策略只能使用可访问快照</x:v>
      </x:c>
    </x:row>
    <x:row r="5879" ht="32" customHeight="1">
      <x:c r="A5879" s="30" t="str">
        <x:v>A066</x:v>
      </x:c>
      <x:c r="B5879" s="30" t="str">
        <x:v>F383</x:v>
      </x:c>
      <x:c r="C5879" s="30" t="str">
        <x:v>episode.world_frame</x:v>
      </x:c>
      <x:c r="D5879" s="30" t="str">
        <x:v>候选输入schema</x:v>
      </x:c>
      <x:c r="E5879" s="30" t="str">
        <x:v>按执行角色权限读取；策略只能使用可访问快照</x:v>
      </x:c>
    </x:row>
    <x:row r="5880" ht="32" customHeight="1">
      <x:c r="A5880" s="30" t="str">
        <x:v>A066</x:v>
      </x:c>
      <x:c r="B5880" s="30" t="str">
        <x:v>F384</x:v>
      </x:c>
      <x:c r="C5880" s="30" t="str">
        <x:v>episode.map_bounds_m</x:v>
      </x:c>
      <x:c r="D5880" s="30" t="str">
        <x:v>候选输入schema</x:v>
      </x:c>
      <x:c r="E5880" s="30" t="str">
        <x:v>按执行角色权限读取；策略只能使用可访问快照</x:v>
      </x:c>
    </x:row>
    <x:row r="5881" ht="32" customHeight="1">
      <x:c r="A5881" s="30" t="str">
        <x:v>A066</x:v>
      </x:c>
      <x:c r="B5881" s="30" t="str">
        <x:v>F385</x:v>
      </x:c>
      <x:c r="C5881" s="30" t="str">
        <x:v>episode.backend_modes</x:v>
      </x:c>
      <x:c r="D5881" s="30" t="str">
        <x:v>候选输入schema</x:v>
      </x:c>
      <x:c r="E5881" s="30" t="str">
        <x:v>按执行角色权限读取；策略只能使用可访问快照</x:v>
      </x:c>
    </x:row>
    <x:row r="5882" ht="32" customHeight="1">
      <x:c r="A5882" s="30" t="str">
        <x:v>A066</x:v>
      </x:c>
      <x:c r="B5882" s="30" t="str">
        <x:v>F346</x:v>
      </x:c>
      <x:c r="C5882" s="30" t="str">
        <x:v>job.result_ref</x:v>
      </x:c>
      <x:c r="D5882" s="30" t="str">
        <x:v>直接效果</x:v>
      </x:c>
      <x:c r="E5882" s="30" t="str">
        <x:v>经实际执行/回执提交；不是规划时提前修改</x:v>
      </x:c>
    </x:row>
    <x:row r="5883" ht="32" customHeight="1">
      <x:c r="A5883" s="30" t="str">
        <x:v>A066</x:v>
      </x:c>
      <x:c r="B5883" s="30" t="str">
        <x:v>F234</x:v>
      </x:c>
      <x:c r="C5883" s="30" t="str">
        <x:v>action.parameters</x:v>
      </x:c>
      <x:c r="D5883" s="30" t="str">
        <x:v>直接效果</x:v>
      </x:c>
      <x:c r="E5883" s="30" t="str">
        <x:v>经实际执行/回执提交；不是规划时提前修改</x:v>
      </x:c>
    </x:row>
  </x:sheetData>
  <x:mergeCells>
    <x:mergeCell ref="A1:E1"/>
    <x:mergeCell ref="A2:E2"/>
  </x:mergeCells>
  <x:pageMargins left="0.7" right="0.7" top="0.75" bottom="0.75" header="0.3" footer="0.3"/>
  <x:tableParts count="1">
    <x:tablePart xmlns:r="http://schemas.openxmlformats.org/officeDocument/2006/relationships" r:id="Radce965ee1984f3f"/>
  </x:tableParts>
</x:worksheet>
</file>

<file path=xl/worksheets/sheet17.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46" hidden="0" customWidth="1"/>
    <x:col min="2" max="2" width="16" hidden="0" customWidth="1"/>
    <x:col min="3" max="3" width="100" hidden="0" customWidth="1"/>
  </x:cols>
  <x:sheetData>
    <x:row r="1" ht="33" customHeight="1">
      <x:c r="A1" s="8" t="str">
        <x:v>目录结构核验与证据缺口</x:v>
      </x:c>
      <x:c r="B1" s="8"/>
      <x:c r="C1" s="8"/>
    </x:row>
    <x:row r="2" ht="34" customHeight="1">
      <x:c r="A2" s="15" t="str">
        <x:v>PASS仅表示本次目录ID/引用/计数/覆盖检查通过，不表示Gazebo/ns-3/视觉模型/600任务已运行</x:v>
      </x:c>
      <x:c r="B2" s="15"/>
      <x:c r="C2" s="15"/>
    </x:row>
    <x:row r="3">
      <x:c r="A3" s="4"/>
      <x:c r="B3" s="4"/>
      <x:c r="C3" s="4"/>
    </x:row>
    <x:row r="4" ht="29" customHeight="1">
      <x:c r="A4" s="23" t="str">
        <x:v>检查</x:v>
      </x:c>
      <x:c r="B4" s="23" t="str">
        <x:v>结果</x:v>
      </x:c>
      <x:c r="C4" s="23" t="str">
        <x:v>说明</x:v>
      </x:c>
    </x:row>
    <x:row r="5" ht="58" customHeight="1">
      <x:c r="A5" s="30" t="str">
        <x:v>场景ID唯一</x:v>
      </x:c>
      <x:c r="B5" s="30" t="str">
        <x:v>PASS</x:v>
      </x:c>
      <x:c r="C5" s="30" t="str">
        <x:v>18 行</x:v>
      </x:c>
    </x:row>
    <x:row r="6" ht="58" customHeight="1">
      <x:c r="A6" s="30" t="str">
        <x:v>任务ID唯一</x:v>
      </x:c>
      <x:c r="B6" s="30" t="str">
        <x:v>PASS</x:v>
      </x:c>
      <x:c r="C6" s="30" t="str">
        <x:v>96 行</x:v>
      </x:c>
    </x:row>
    <x:row r="7" ht="58" customHeight="1">
      <x:c r="A7" s="30" t="str">
        <x:v>序列ID唯一</x:v>
      </x:c>
      <x:c r="B7" s="30" t="str">
        <x:v>PASS</x:v>
      </x:c>
      <x:c r="C7" s="30" t="str">
        <x:v>112 行</x:v>
      </x:c>
    </x:row>
    <x:row r="8" ht="58" customHeight="1">
      <x:c r="A8" s="30" t="str">
        <x:v>操作ID唯一</x:v>
      </x:c>
      <x:c r="B8" s="30" t="str">
        <x:v>PASS</x:v>
      </x:c>
      <x:c r="C8" s="30" t="str">
        <x:v>66 行</x:v>
      </x:c>
    </x:row>
    <x:row r="9" ht="58" customHeight="1">
      <x:c r="A9" s="30" t="str">
        <x:v>能力ID唯一</x:v>
      </x:c>
      <x:c r="B9" s="30" t="str">
        <x:v>PASS</x:v>
      </x:c>
      <x:c r="C9" s="30" t="str">
        <x:v>49 行</x:v>
      </x:c>
    </x:row>
    <x:row r="10" ht="58" customHeight="1">
      <x:c r="A10" s="30" t="str">
        <x:v>字段ID唯一</x:v>
      </x:c>
      <x:c r="B10" s="30" t="str">
        <x:v>PASS</x:v>
      </x:c>
      <x:c r="C10" s="30" t="str">
        <x:v>385 行</x:v>
      </x:c>
    </x:row>
    <x:row r="11" ht="58" customHeight="1">
      <x:c r="A11" s="30" t="str">
        <x:v>来源ID唯一</x:v>
      </x:c>
      <x:c r="B11" s="30" t="str">
        <x:v>PASS</x:v>
      </x:c>
      <x:c r="C11" s="30" t="str">
        <x:v>26 行</x:v>
      </x:c>
    </x:row>
    <x:row r="12" ht="58" customHeight="1">
      <x:c r="A12" s="30" t="str">
        <x:v>字段名唯一</x:v>
      </x:c>
      <x:c r="B12" s="30" t="str">
        <x:v>PASS</x:v>
      </x:c>
      <x:c r="C12" s="30" t="str">
        <x:v>385 独立注册字段</x:v>
      </x:c>
    </x:row>
    <x:row r="13" ht="58" customHeight="1">
      <x:c r="A13" s="30" t="str">
        <x:v>每个任务有情境映射</x:v>
      </x:c>
      <x:c r="B13" s="30" t="str">
        <x:v>PASS</x:v>
      </x:c>
      <x:c r="C13" s="30" t="str">
        <x:v>这些是允许任务池，不是强制调度树</x:v>
      </x:c>
    </x:row>
    <x:row r="14" ht="58" customHeight="1">
      <x:c r="A14" s="30" t="str">
        <x:v>每个任务有参考序列</x:v>
      </x:c>
      <x:c r="B14" s="30" t="str">
        <x:v>PASS</x:v>
      </x:c>
      <x:c r="C14" s="30" t="str">
        <x:v>96 主路径及16分支；参考可行路径非策略强制</x:v>
      </x:c>
    </x:row>
    <x:row r="15" ht="58" customHeight="1">
      <x:c r="A15" s="30" t="str">
        <x:v>序列中的操作均存在</x:v>
      </x:c>
      <x:c r="B15" s="30" t="str">
        <x:v>PASS</x:v>
      </x:c>
      <x:c r="C15" s="30" t="str">
        <x:v>112序列，523步骤；可选项明确标为OR</x:v>
      </x:c>
    </x:row>
    <x:row r="16" ht="58" customHeight="1">
      <x:c r="A16" s="30" t="str">
        <x:v>每个操作至少被一条序列使用</x:v>
      </x:c>
      <x:c r="B16" s="30" t="str">
        <x:v>PASS</x:v>
      </x:c>
      <x:c r="C16" s="30" t="str">
        <x:v>不靠未使用API凑数</x:v>
      </x:c>
    </x:row>
    <x:row r="17" ht="58" customHeight="1">
      <x:c r="A17" s="30" t="str">
        <x:v>每项能力有对应任务</x:v>
      </x:c>
      <x:c r="B17" s="30" t="str">
        <x:v>PASS</x:v>
      </x:c>
      <x:c r="C17" s="30" t="str">
        <x:v>49项；同一序列可由多个具备不同能力的主体协作</x:v>
      </x:c>
    </x:row>
    <x:row r="18" ht="58" customHeight="1">
      <x:c r="A18" s="30" t="str">
        <x:v>每个字段可回溯到任务</x:v>
      </x:c>
      <x:c r="B18" s="30" t="str">
        <x:v>PASS</x:v>
      </x:c>
      <x:c r="C18" s="30" t="str">
        <x:v>385字段；评分字段通过独立评估器关联任务，不提供给策略</x:v>
      </x:c>
    </x:row>
    <x:row r="19" ht="58" customHeight="1">
      <x:c r="A19" s="30" t="str">
        <x:v>所有动作写入字段存在</x:v>
      </x:c>
      <x:c r="B19" s="30" t="str">
        <x:v>PASS</x:v>
      </x:c>
      <x:c r="C19" s="30" t="str">
        <x:v>效果列为关键直接效果，公共动作/任务/资源账本更新由运行时维护</x:v>
      </x:c>
    </x:row>
    <x:row r="20" ht="58" customHeight="1">
      <x:c r="A20" s="30" t="str">
        <x:v>所有文献ID存在</x:v>
      </x:c>
      <x:c r="B20" s="30" t="str">
        <x:v>PASS</x:v>
      </x:c>
      <x:c r="C20" s="30" t="str">
        <x:v>24公共来源+2用户/项目资料</x:v>
      </x:c>
    </x:row>
    <x:row r="21" ht="58" customHeight="1">
      <x:c r="A21" s="30" t="str">
        <x:v>状态/配置/记录数量守恒</x:v>
      </x:c>
      <x:c r="B21" s="30" t="str">
        <x:v>PASS</x:v>
      </x:c>
      <x:c r="C21" s="30" t="str">
        <x:v>158状态+31派生+20认知+128配置+28标识+20记录=385</x:v>
      </x:c>
    </x:row>
    <x:row r="22" ht="58" customHeight="1">
      <x:c r="A22" s="30" t="str">
        <x:v>源原生类别单独保留</x:v>
      </x:c>
      <x:c r="B22" s="30" t="str">
        <x:v>PASS</x:v>
      </x:c>
      <x:c r="C22" s="30" t="str">
        <x:v>81条源内类别条目，不宣称81种独立物理语义</x:v>
      </x:c>
    </x:row>
    <x:row r="23" ht="58" customHeight="1">
      <x:c r="A23" s="30" t="str">
        <x:v>ESAR线索字典完整映射</x:v>
      </x:c>
      <x:c r="B23" s="30" t="str">
        <x:v>PASS</x:v>
      </x:c>
      <x:c r="C23" s="30" t="str">
        <x:v>四地图95个线索/Fire命名空间条目；去重12类；不是600任务逐行复算</x:v>
      </x:c>
    </x:row>
    <x:row r="24" ht="58" customHeight="1">
      <x:c r="A24" s="30" t="str">
        <x:v>运行验证声明</x:v>
      </x:c>
      <x:c r="B24" s="30" t="str">
        <x:v>PASS</x:v>
      </x:c>
      <x:c r="C24" s="30" t="str">
        <x:v>本文件只完成目录和引用结构核验，没有执行Gazebo/ns-3/模型/600任务</x:v>
      </x:c>
    </x:row>
  </x:sheetData>
  <x:mergeCells>
    <x:mergeCell ref="A1:C1"/>
    <x:mergeCell ref="A2:C2"/>
  </x:mergeCells>
  <x:pageMargins left="0.7" right="0.7" top="0.75" bottom="0.75" header="0.3" footer="0.3"/>
  <x:tableParts count="1">
    <x:tablePart xmlns:r="http://schemas.openxmlformats.org/officeDocument/2006/relationships" r:id="Rfde0cd4e89b74c74"/>
  </x:tableParts>
</x:worksheet>
</file>

<file path=xl/worksheets/sheet18.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18" hidden="0" customWidth="1"/>
    <x:col min="2" max="2" width="30" hidden="0" customWidth="1"/>
    <x:col min="3" max="3" width="14" hidden="0" customWidth="1"/>
    <x:col min="4" max="4" width="20" hidden="0" customWidth="1"/>
    <x:col min="5" max="5" width="14" hidden="0" customWidth="1"/>
    <x:col min="6" max="6" width="12" hidden="0" customWidth="1"/>
    <x:col min="7" max="7" width="14" hidden="0" customWidth="1"/>
    <x:col min="8" max="8" width="65" hidden="0" customWidth="1"/>
    <x:col min="9" max="9" width="22" hidden="0" customWidth="1"/>
  </x:cols>
  <x:sheetData>
    <x:row r="1" ht="33" customHeight="1">
      <x:c r="A1" s="8" t="str">
        <x:v>全部字段的分组与计数口径</x:v>
      </x:c>
      <x:c r="B1" s="8"/>
      <x:c r="C1" s="8"/>
      <x:c r="D1" s="8"/>
      <x:c r="E1" s="8"/>
      <x:c r="F1" s="8"/>
      <x:c r="G1" s="8"/>
      <x:c r="H1" s="8"/>
      <x:c r="I1" s="8"/>
    </x:row>
    <x:row r="2" ht="34" customHeight="1">
      <x:c r="A2" s="15" t="str">
        <x:v>一行一个注册字段；枚举候选值不增加字段数；385总字段与209状态变量同时给出，避免把设备常量/ID冒充状态</x:v>
      </x:c>
      <x:c r="B2" s="15"/>
      <x:c r="C2" s="15"/>
      <x:c r="D2" s="15"/>
      <x:c r="E2" s="15"/>
      <x:c r="F2" s="15"/>
      <x:c r="G2" s="15"/>
      <x:c r="H2" s="15"/>
      <x:c r="I2" s="15"/>
    </x:row>
    <x:row r="3">
      <x:c r="A3" s="4"/>
      <x:c r="B3" s="4"/>
      <x:c r="C3" s="4"/>
      <x:c r="D3" s="4"/>
      <x:c r="E3" s="4"/>
      <x:c r="F3" s="4"/>
      <x:c r="G3" s="4"/>
      <x:c r="H3" s="4"/>
      <x:c r="I3" s="4"/>
    </x:row>
    <x:row r="4" ht="29" customHeight="1">
      <x:c r="A4" s="23" t="str">
        <x:v>字段前缀</x:v>
      </x:c>
      <x:c r="B4" s="23" t="str">
        <x:v>含义</x:v>
      </x:c>
      <x:c r="C4" s="23" t="str">
        <x:v>总字段数</x:v>
      </x:c>
      <x:c r="D4" s="23" t="str">
        <x:v>状态/认知/派生</x:v>
      </x:c>
      <x:c r="E4" s="23" t="str">
        <x:v>配置参数</x:v>
      </x:c>
      <x:c r="F4" s="23" t="str">
        <x:v>标识</x:v>
      </x:c>
      <x:c r="G4" s="23" t="str">
        <x:v>证据记录</x:v>
      </x:c>
      <x:c r="H4" s="23" t="str">
        <x:v>全部字段名</x:v>
      </x:c>
      <x:c r="I4" s="23" t="str">
        <x:v>来源ID</x:v>
      </x:c>
    </x:row>
    <x:row r="5" ht="140" customHeight="1">
      <x:c r="A5" s="30" t="str">
        <x:v>entity</x:v>
      </x:c>
      <x:c r="B5" s="30" t="str">
        <x:v>实体与空间基准</x:v>
      </x:c>
      <x:c r="C5" s="30" t="n">
        <x:f>COUNTIF('10_字段385'!$B$5:$B$389,"实体与空间基准")</x:f>
        <x:v>9</x:v>
      </x:c>
      <x:c r="D5" s="30" t="n">
        <x:f>COUNTIFS('10_字段385'!$B$5:$B$389,"实体与空间基准",'10_字段385'!$E$5:$E$389,"状态")+COUNTIFS('10_字段385'!$B$5:$B$389,"实体与空间基准",'10_字段385'!$E$5:$E$389,"派生")+COUNTIFS('10_字段385'!$B$5:$B$389,"实体与空间基准",'10_字段385'!$E$5:$E$389,"认知")</x:f>
        <x:v>2</x:v>
      </x:c>
      <x:c r="E5" s="30" t="n">
        <x:f>COUNTIFS('10_字段385'!$B$5:$B$389,"实体与空间基准",'10_字段385'!$E$5:$E$389,"配置")</x:f>
        <x:v>5</x:v>
      </x:c>
      <x:c r="F5" s="30" t="n">
        <x:f>COUNTIFS('10_字段385'!$B$5:$B$389,"实体与空间基准",'10_字段385'!$E$5:$E$389,"标识")</x:f>
        <x:v>2</x:v>
      </x:c>
      <x:c r="G5" s="30" t="n">
        <x:f>COUNTIFS('10_字段385'!$B$5:$B$389,"实体与空间基准",'10_字段385'!$E$5:$E$389,"记录")</x:f>
        <x:v>0</x:v>
      </x:c>
      <x:c r="H5" s="30" t="str">
        <x:v>entity.id
entity.kind
entity.parent_id
entity.pose
entity.footprint
entity.height_m
entity.region_id
entity.revision
entity.provenance</x:v>
      </x:c>
      <x:c r="I5" s="30" t="str">
        <x:v>S09；S24</x:v>
      </x:c>
    </x:row>
    <x:row r="6" ht="238" customHeight="1">
      <x:c r="A6" s="30" t="str">
        <x:v>hazard</x:v>
      </x:c>
      <x:c r="B6" s="30" t="str">
        <x:v>灾害与环境</x:v>
      </x:c>
      <x:c r="C6" s="30" t="n">
        <x:f>COUNTIF('10_字段385'!$B$5:$B$389,"灾害与环境")</x:f>
        <x:v>16</x:v>
      </x:c>
      <x:c r="D6" s="30" t="n">
        <x:f>COUNTIFS('10_字段385'!$B$5:$B$389,"灾害与环境",'10_字段385'!$E$5:$E$389,"状态")+COUNTIFS('10_字段385'!$B$5:$B$389,"灾害与环境",'10_字段385'!$E$5:$E$389,"派生")+COUNTIFS('10_字段385'!$B$5:$B$389,"灾害与环境",'10_字段385'!$E$5:$E$389,"认知")</x:f>
        <x:v>14</x:v>
      </x:c>
      <x:c r="E6" s="30" t="n">
        <x:f>COUNTIFS('10_字段385'!$B$5:$B$389,"灾害与环境",'10_字段385'!$E$5:$E$389,"配置")</x:f>
        <x:v>2</x:v>
      </x:c>
      <x:c r="F6" s="30" t="n">
        <x:f>COUNTIFS('10_字段385'!$B$5:$B$389,"灾害与环境",'10_字段385'!$E$5:$E$389,"标识")</x:f>
        <x:v>0</x:v>
      </x:c>
      <x:c r="G6" s="30" t="n">
        <x:f>COUNTIFS('10_字段385'!$B$5:$B$389,"灾害与环境",'10_字段385'!$E$5:$E$389,"记录")</x:f>
        <x:v>0</x:v>
      </x:c>
      <x:c r="H6" s="30" t="str">
        <x:v>hazard.kind
hazard.footprint
hazard.intensity
hazard.active
hazard.water_depth_m
hazard.flow_speed_mps
hazard.smoke_density
hazard.fire_intensity
hazard.gas_level
hazard.wind_mps
hazard.visibility_m
hazard.weather
hazard.illumination
hazard.secondary_event
hazard.exclusion_zone
hazard.expiry_s</x:v>
      </x:c>
      <x:c r="I6" s="30" t="str">
        <x:v>S01；S03；S05；S08；S22；S23</x:v>
      </x:c>
    </x:row>
    <x:row r="7" ht="266" customHeight="1">
      <x:c r="A7" s="30" t="str">
        <x:v>building</x:v>
      </x:c>
      <x:c r="B7" s="30" t="str">
        <x:v>建筑与抽象室内</x:v>
      </x:c>
      <x:c r="C7" s="30" t="n">
        <x:f>COUNTIF('10_字段385'!$B$5:$B$389,"建筑与抽象室内")</x:f>
        <x:v>18</x:v>
      </x:c>
      <x:c r="D7" s="30" t="n">
        <x:f>COUNTIFS('10_字段385'!$B$5:$B$389,"建筑与抽象室内",'10_字段385'!$E$5:$E$389,"状态")+COUNTIFS('10_字段385'!$B$5:$B$389,"建筑与抽象室内",'10_字段385'!$E$5:$E$389,"派生")+COUNTIFS('10_字段385'!$B$5:$B$389,"建筑与抽象室内",'10_字段385'!$E$5:$E$389,"认知")</x:f>
        <x:v>10</x:v>
      </x:c>
      <x:c r="E7" s="30" t="n">
        <x:f>COUNTIFS('10_字段385'!$B$5:$B$389,"建筑与抽象室内",'10_字段385'!$E$5:$E$389,"配置")</x:f>
        <x:v>8</x:v>
      </x:c>
      <x:c r="F7" s="30" t="n">
        <x:f>COUNTIFS('10_字段385'!$B$5:$B$389,"建筑与抽象室内",'10_字段385'!$E$5:$E$389,"标识")</x:f>
        <x:v>0</x:v>
      </x:c>
      <x:c r="G7" s="30" t="n">
        <x:f>COUNTIFS('10_字段385'!$B$5:$B$389,"建筑与抽象室内",'10_字段385'!$E$5:$E$389,"记录")</x:f>
        <x:v>0</x:v>
      </x:c>
      <x:c r="H7" s="30" t="str">
        <x:v>building.use
building.structure
building.floors
building.capacity
building.visual_damage
building.structural_condition
building.roof_loss_ratio
building.wall_damage
building.flood_exposure
building.entrance_ids
building.interior_area_m2
building.interior_mode
building.search_difficulty
building.occupant_ids
building.search_coverage_truth
building.worksite_record
building.remaining_hazard
building.render_variant</x:v>
      </x:c>
      <x:c r="I7" s="30" t="str">
        <x:v>S01；S07；S08；S09；S24</x:v>
      </x:c>
    </x:row>
    <x:row r="8" ht="224" customHeight="1">
      <x:c r="A8" s="30" t="str">
        <x:v>road</x:v>
      </x:c>
      <x:c r="B8" s="30" t="str">
        <x:v>道路入口与可达性</x:v>
      </x:c>
      <x:c r="C8" s="30" t="n">
        <x:f>COUNTIF('10_字段385'!$B$5:$B$389,"道路入口与可达性")</x:f>
        <x:v>15</x:v>
      </x:c>
      <x:c r="D8" s="30" t="n">
        <x:f>COUNTIFS('10_字段385'!$B$5:$B$389,"道路入口与可达性",'10_字段385'!$E$5:$E$389,"状态")+COUNTIFS('10_字段385'!$B$5:$B$389,"道路入口与可达性",'10_字段385'!$E$5:$E$389,"派生")+COUNTIFS('10_字段385'!$B$5:$B$389,"道路入口与可达性",'10_字段385'!$E$5:$E$389,"认知")</x:f>
        <x:v>11</x:v>
      </x:c>
      <x:c r="E8" s="30" t="n">
        <x:f>COUNTIFS('10_字段385'!$B$5:$B$389,"道路入口与可达性",'10_字段385'!$E$5:$E$389,"配置")</x:f>
        <x:v>4</x:v>
      </x:c>
      <x:c r="F8" s="30" t="n">
        <x:f>COUNTIFS('10_字段385'!$B$5:$B$389,"道路入口与可达性",'10_字段385'!$E$5:$E$389,"标识")</x:f>
        <x:v>0</x:v>
      </x:c>
      <x:c r="G8" s="30" t="n">
        <x:f>COUNTIFS('10_字段385'!$B$5:$B$389,"道路入口与可达性",'10_字段385'!$E$5:$E$389,"记录")</x:f>
        <x:v>0</x:v>
      </x:c>
      <x:c r="H8" s="30" t="str">
        <x:v>road.centerline
road.width_m
road.surface
road.from_node
road.to_node
road.obstacle_ids
road.clear_width_m
road.clear_height_m
road.turn_radius_m
road.step_height_m
road.entry_state
road.water_depth_m
road.passability
road.travel_cost
road.topology_revision</x:v>
      </x:c>
      <x:c r="I8" s="30" t="str">
        <x:v>S01；S03；S07；S08；S24</x:v>
      </x:c>
    </x:row>
    <x:row r="9" ht="182" customHeight="1">
      <x:c r="A9" s="30" t="str">
        <x:v>obstacle</x:v>
      </x:c>
      <x:c r="B9" s="30" t="str">
        <x:v>障碍与清障</x:v>
      </x:c>
      <x:c r="C9" s="30" t="n">
        <x:f>COUNTIF('10_字段385'!$B$5:$B$389,"障碍与清障")</x:f>
        <x:v>12</x:v>
      </x:c>
      <x:c r="D9" s="30" t="n">
        <x:f>COUNTIFS('10_字段385'!$B$5:$B$389,"障碍与清障",'10_字段385'!$E$5:$E$389,"状态")+COUNTIFS('10_字段385'!$B$5:$B$389,"障碍与清障",'10_字段385'!$E$5:$E$389,"派生")+COUNTIFS('10_字段385'!$B$5:$B$389,"障碍与清障",'10_字段385'!$E$5:$E$389,"认知")</x:f>
        <x:v>7</x:v>
      </x:c>
      <x:c r="E9" s="30" t="n">
        <x:f>COUNTIFS('10_字段385'!$B$5:$B$389,"障碍与清障",'10_字段385'!$E$5:$E$389,"配置")</x:f>
        <x:v>5</x:v>
      </x:c>
      <x:c r="F9" s="30" t="n">
        <x:f>COUNTIFS('10_字段385'!$B$5:$B$389,"障碍与清障",'10_字段385'!$E$5:$E$389,"标识")</x:f>
        <x:v>0</x:v>
      </x:c>
      <x:c r="G9" s="30" t="n">
        <x:f>COUNTIFS('10_字段385'!$B$5:$B$389,"障碍与清障",'10_字段385'!$E$5:$E$389,"记录")</x:f>
        <x:v>0</x:v>
      </x:c>
      <x:c r="H9" s="30" t="str">
        <x:v>obstacle.kind
obstacle.material
obstacle.source_id
obstacle.height_m
obstacle.mass_kg
obstacle.volume_m3
obstacle.state
obstacle.stability
obstacle.clear_method
obstacle.work_remaining
obstacle.blocks_ids
obstacle.disposal_location</x:v>
      </x:c>
      <x:c r="I9" s="30" t="str">
        <x:v>S01；S03；S07；S24</x:v>
      </x:c>
    </x:row>
    <x:row r="10" ht="252" customHeight="1">
      <x:c r="A10" s="30" t="str">
        <x:v>human</x:v>
      </x:c>
      <x:c r="B10" s="30" t="str">
        <x:v>人员与支援状态</x:v>
      </x:c>
      <x:c r="C10" s="30" t="n">
        <x:f>COUNTIF('10_字段385'!$B$5:$B$389,"人员与支援状态")</x:f>
        <x:v>17</x:v>
      </x:c>
      <x:c r="D10" s="30" t="n">
        <x:f>COUNTIFS('10_字段385'!$B$5:$B$389,"人员与支援状态",'10_字段385'!$E$5:$E$389,"状态")+COUNTIFS('10_字段385'!$B$5:$B$389,"人员与支援状态",'10_字段385'!$E$5:$E$389,"派生")+COUNTIFS('10_字段385'!$B$5:$B$389,"人员与支援状态",'10_字段385'!$E$5:$E$389,"认知")</x:f>
        <x:v>15</x:v>
      </x:c>
      <x:c r="E10" s="30" t="n">
        <x:f>COUNTIFS('10_字段385'!$B$5:$B$389,"人员与支援状态",'10_字段385'!$E$5:$E$389,"配置")</x:f>
        <x:v>1</x:v>
      </x:c>
      <x:c r="F10" s="30" t="n">
        <x:f>COUNTIFS('10_字段385'!$B$5:$B$389,"人员与支援状态",'10_字段385'!$E$5:$E$389,"标识")</x:f>
        <x:v>1</x:v>
      </x:c>
      <x:c r="G10" s="30" t="n">
        <x:f>COUNTIFS('10_字段385'!$B$5:$B$389,"人员与支援状态",'10_字段385'!$E$5:$E$389,"记录")</x:f>
        <x:v>0</x:v>
      </x:c>
      <x:c r="H10" s="30" t="str">
        <x:v>human.location_context
human.alive
human.injury
human.mobility
human.buriedness
human.needs
human.pose
human.visibility_context
human.distress_signal
human.health_model
human.health_value
human.support_received
human.carrier_id
human.destination_id
human.handover_status
human.last_assessed_s
human.identity_association</x:v>
      </x:c>
      <x:c r="I10" s="30" t="str">
        <x:v>S01；S03；S06；S11；S12；S24</x:v>
      </x:c>
    </x:row>
    <x:row r="11" ht="112" customHeight="1">
      <x:c r="A11" s="30" t="str">
        <x:v>cue</x:v>
      </x:c>
      <x:c r="B11" s="30" t="str">
        <x:v>可搜索线索</x:v>
      </x:c>
      <x:c r="C11" s="30" t="n">
        <x:f>COUNTIF('10_字段385'!$B$5:$B$389,"可搜索线索")</x:f>
        <x:v>7</x:v>
      </x:c>
      <x:c r="D11" s="30" t="n">
        <x:f>COUNTIFS('10_字段385'!$B$5:$B$389,"可搜索线索",'10_字段385'!$E$5:$E$389,"状态")+COUNTIFS('10_字段385'!$B$5:$B$389,"可搜索线索",'10_字段385'!$E$5:$E$389,"派生")+COUNTIFS('10_字段385'!$B$5:$B$389,"可搜索线索",'10_字段385'!$E$5:$E$389,"认知")</x:f>
        <x:v>4</x:v>
      </x:c>
      <x:c r="E11" s="30" t="n">
        <x:f>COUNTIFS('10_字段385'!$B$5:$B$389,"可搜索线索",'10_字段385'!$E$5:$E$389,"配置")</x:f>
        <x:v>2</x:v>
      </x:c>
      <x:c r="F11" s="30" t="n">
        <x:f>COUNTIFS('10_字段385'!$B$5:$B$389,"可搜索线索",'10_字段385'!$E$5:$E$389,"标识")</x:f>
        <x:v>1</x:v>
      </x:c>
      <x:c r="G11" s="30" t="n">
        <x:f>COUNTIFS('10_字段385'!$B$5:$B$389,"可搜索线索",'10_字段385'!$E$5:$E$389,"记录")</x:f>
        <x:v>0</x:v>
      </x:c>
      <x:c r="H11" s="30" t="str">
        <x:v>cue.kind
cue.related_human_id
cue.location
cue.age_s
cue.signal_state
cue.detectability
cue.source_local_id</x:v>
      </x:c>
      <x:c r="I11" s="30" t="str">
        <x:v>S04；S05；S26</x:v>
      </x:c>
    </x:row>
    <x:row r="12" ht="308" customHeight="1">
      <x:c r="A12" s="30" t="str">
        <x:v>platform</x:v>
      </x:c>
      <x:c r="B12" s="30" t="str">
        <x:v>平台能力与即时资源</x:v>
      </x:c>
      <x:c r="C12" s="30" t="n">
        <x:f>COUNTIF('10_字段385'!$B$5:$B$389,"平台能力与即时资源")</x:f>
        <x:v>21</x:v>
      </x:c>
      <x:c r="D12" s="30" t="n">
        <x:f>COUNTIFS('10_字段385'!$B$5:$B$389,"平台能力与即时资源",'10_字段385'!$E$5:$E$389,"状态")+COUNTIFS('10_字段385'!$B$5:$B$389,"平台能力与即时资源",'10_字段385'!$E$5:$E$389,"派生")+COUNTIFS('10_字段385'!$B$5:$B$389,"平台能力与即时资源",'10_字段385'!$E$5:$E$389,"认知")</x:f>
        <x:v>9</x:v>
      </x:c>
      <x:c r="E12" s="30" t="n">
        <x:f>COUNTIFS('10_字段385'!$B$5:$B$389,"平台能力与即时资源",'10_字段385'!$E$5:$E$389,"配置")</x:f>
        <x:v>12</x:v>
      </x:c>
      <x:c r="F12" s="30" t="n">
        <x:f>COUNTIFS('10_字段385'!$B$5:$B$389,"平台能力与即时资源",'10_字段385'!$E$5:$E$389,"标识")</x:f>
        <x:v>0</x:v>
      </x:c>
      <x:c r="G12" s="30" t="n">
        <x:f>COUNTIFS('10_字段385'!$B$5:$B$389,"平台能力与即时资源",'10_字段385'!$E$5:$E$389,"记录")</x:f>
        <x:v>0</x:v>
      </x:c>
      <x:c r="H12" s="30" t="str">
        <x:v>platform.kind
platform.capability_ids
platform.equipment_ids
platform.width_m
platform.height_m
platform.swept_radius_m
platform.payload_capacity_kg
platform.payload_used_kg
platform.payload_item_ids
platform.battery_capacity_Wh
platform.battery_remaining_Wh
platform.reserve_Wh
platform.speed_limit_mps
platform.energy_model
platform.motion_state
platform.health_state
platform.current_action_id
platform.busy_until_est_s
platform.return_site_id
platform.water_tolerance_m
platform.concurrency_policy</x:v>
      </x:c>
      <x:c r="I12" s="30" t="str">
        <x:v>S02；S18；S24；S25</x:v>
      </x:c>
    </x:row>
    <x:row r="13" ht="182" customHeight="1">
      <x:c r="A13" s="30" t="str">
        <x:v>equipment</x:v>
      </x:c>
      <x:c r="B13" s="30" t="str">
        <x:v>设备与专业作业能力</x:v>
      </x:c>
      <x:c r="C13" s="30" t="n">
        <x:f>COUNTIF('10_字段385'!$B$5:$B$389,"设备与专业作业能力")</x:f>
        <x:v>12</x:v>
      </x:c>
      <x:c r="D13" s="30" t="n">
        <x:f>COUNTIFS('10_字段385'!$B$5:$B$389,"设备与专业作业能力",'10_字段385'!$E$5:$E$389,"状态")+COUNTIFS('10_字段385'!$B$5:$B$389,"设备与专业作业能力",'10_字段385'!$E$5:$E$389,"派生")+COUNTIFS('10_字段385'!$B$5:$B$389,"设备与专业作业能力",'10_字段385'!$E$5:$E$389,"认知")</x:f>
        <x:v>5</x:v>
      </x:c>
      <x:c r="E13" s="30" t="n">
        <x:f>COUNTIFS('10_字段385'!$B$5:$B$389,"设备与专业作业能力",'10_字段385'!$E$5:$E$389,"配置")</x:f>
        <x:v>7</x:v>
      </x:c>
      <x:c r="F13" s="30" t="n">
        <x:f>COUNTIFS('10_字段385'!$B$5:$B$389,"设备与专业作业能力",'10_字段385'!$E$5:$E$389,"标识")</x:f>
        <x:v>0</x:v>
      </x:c>
      <x:c r="G13" s="30" t="n">
        <x:f>COUNTIFS('10_字段385'!$B$5:$B$389,"设备与专业作业能力",'10_字段385'!$E$5:$E$389,"记录")</x:f>
        <x:v>0</x:v>
      </x:c>
      <x:c r="H13" s="30" t="str">
        <x:v>equipment.kind
equipment.enabled
equipment.health
equipment.rated_load_kg
equipment.reach_m
equipment.compatible_materials
equipment.tool_size
equipment.consumable_type
equipment.consumable_remaining
equipment.operator_authority
equipment.setup_state
equipment.busy_action_id</x:v>
      </x:c>
      <x:c r="I13" s="30" t="str">
        <x:v>S01；S02；S24</x:v>
      </x:c>
    </x:row>
    <x:row r="14" ht="196" customHeight="1">
      <x:c r="A14" s="30" t="str">
        <x:v>item</x:v>
      </x:c>
      <x:c r="B14" s="30" t="str">
        <x:v>物资、货物与救援器材</x:v>
      </x:c>
      <x:c r="C14" s="30" t="n">
        <x:f>COUNTIF('10_字段385'!$B$5:$B$389,"物资、货物与救援器材")</x:f>
        <x:v>13</x:v>
      </x:c>
      <x:c r="D14" s="30" t="n">
        <x:f>COUNTIFS('10_字段385'!$B$5:$B$389,"物资、货物与救援器材",'10_字段385'!$E$5:$E$389,"状态")+COUNTIFS('10_字段385'!$B$5:$B$389,"物资、货物与救援器材",'10_字段385'!$E$5:$E$389,"派生")+COUNTIFS('10_字段385'!$B$5:$B$389,"物资、货物与救援器材",'10_字段385'!$E$5:$E$389,"认知")</x:f>
        <x:v>10</x:v>
      </x:c>
      <x:c r="E14" s="30" t="n">
        <x:f>COUNTIFS('10_字段385'!$B$5:$B$389,"物资、货物与救援器材",'10_字段385'!$E$5:$E$389,"配置")</x:f>
        <x:v>3</x:v>
      </x:c>
      <x:c r="F14" s="30" t="n">
        <x:f>COUNTIFS('10_字段385'!$B$5:$B$389,"物资、货物与救援器材",'10_字段385'!$E$5:$E$389,"标识")</x:f>
        <x:v>0</x:v>
      </x:c>
      <x:c r="G14" s="30" t="n">
        <x:f>COUNTIFS('10_字段385'!$B$5:$B$389,"物资、货物与救援器材",'10_字段385'!$E$5:$E$389,"记录")</x:f>
        <x:v>0</x:v>
      </x:c>
      <x:c r="H14" s="30" t="str">
        <x:v>item.kind
item.mass_kg
item.dimensions_m
item.quantity
item.holder_id
item.state
item.attachment_id
item.reservation_task_id
item.release_state
item.contact_pose
item.receiver_id
item.receipt_id
item.condition</x:v>
      </x:c>
      <x:c r="I14" s="30" t="str">
        <x:v>S01；S06；S24；S25</x:v>
      </x:c>
    </x:row>
    <x:row r="15" ht="154" customHeight="1">
      <x:c r="A15" s="30" t="str">
        <x:v>station</x:v>
      </x:c>
      <x:c r="B15" s="30" t="str">
        <x:v>站点与保障资源</x:v>
      </x:c>
      <x:c r="C15" s="30" t="n">
        <x:f>COUNTIF('10_字段385'!$B$5:$B$389,"站点与保障资源")</x:f>
        <x:v>10</x:v>
      </x:c>
      <x:c r="D15" s="30" t="n">
        <x:f>COUNTIFS('10_字段385'!$B$5:$B$389,"站点与保障资源",'10_字段385'!$E$5:$E$389,"状态")+COUNTIFS('10_字段385'!$B$5:$B$389,"站点与保障资源",'10_字段385'!$E$5:$E$389,"派生")+COUNTIFS('10_字段385'!$B$5:$B$389,"站点与保障资源",'10_字段385'!$E$5:$E$389,"认知")</x:f>
        <x:v>4</x:v>
      </x:c>
      <x:c r="E15" s="30" t="n">
        <x:f>COUNTIFS('10_字段385'!$B$5:$B$389,"站点与保障资源",'10_字段385'!$E$5:$E$389,"配置")</x:f>
        <x:v>6</x:v>
      </x:c>
      <x:c r="F15" s="30" t="n">
        <x:f>COUNTIFS('10_字段385'!$B$5:$B$389,"站点与保障资源",'10_字段385'!$E$5:$E$389,"标识")</x:f>
        <x:v>0</x:v>
      </x:c>
      <x:c r="G15" s="30" t="n">
        <x:f>COUNTIFS('10_字段385'!$B$5:$B$389,"站点与保障资源",'10_字段385'!$E$5:$E$389,"记录")</x:f>
        <x:v>0</x:v>
      </x:c>
      <x:c r="H15" s="30" t="str">
        <x:v>station.kind
station.capacity
station.occupied
station.inventory
station.power_W
station.connector_types
station.queue_ids
station.open_state
station.accepted_need_types
station.access_region</x:v>
      </x:c>
      <x:c r="I15" s="30" t="str">
        <x:v>S01；S03；S24</x:v>
      </x:c>
    </x:row>
    <x:row r="16" ht="224" customHeight="1">
      <x:c r="A16" s="30" t="str">
        <x:v>sensor</x:v>
      </x:c>
      <x:c r="B16" s="30" t="str">
        <x:v>传感器配置与状态</x:v>
      </x:c>
      <x:c r="C16" s="30" t="n">
        <x:f>COUNTIF('10_字段385'!$B$5:$B$389,"传感器配置与状态")</x:f>
        <x:v>15</x:v>
      </x:c>
      <x:c r="D16" s="30" t="n">
        <x:f>COUNTIFS('10_字段385'!$B$5:$B$389,"传感器配置与状态",'10_字段385'!$E$5:$E$389,"状态")+COUNTIFS('10_字段385'!$B$5:$B$389,"传感器配置与状态",'10_字段385'!$E$5:$E$389,"派生")+COUNTIFS('10_字段385'!$B$5:$B$389,"传感器配置与状态",'10_字段385'!$E$5:$E$389,"认知")</x:f>
        <x:v>6</x:v>
      </x:c>
      <x:c r="E16" s="30" t="n">
        <x:f>COUNTIFS('10_字段385'!$B$5:$B$389,"传感器配置与状态",'10_字段385'!$E$5:$E$389,"配置")</x:f>
        <x:v>9</x:v>
      </x:c>
      <x:c r="F16" s="30" t="n">
        <x:f>COUNTIFS('10_字段385'!$B$5:$B$389,"传感器配置与状态",'10_字段385'!$E$5:$E$389,"标识")</x:f>
        <x:v>0</x:v>
      </x:c>
      <x:c r="G16" s="30" t="n">
        <x:f>COUNTIFS('10_字段385'!$B$5:$B$389,"传感器配置与状态",'10_字段385'!$E$5:$E$389,"记录")</x:f>
        <x:v>0</x:v>
      </x:c>
      <x:c r="H16" s="30" t="str">
        <x:v>sensor.modality
sensor.mount_pose
sensor.fov_deg
sensor.resolution
sensor.range_m
sensor.sampling_period_s
sensor.enabled
sensor.health
sensor.exposure
sensor.calibration_id
sensor.gimbal_pose
sensor.capture_state
sensor.noise_model
sensor.blind_zone
sensor.last_capture_s</x:v>
      </x:c>
      <x:c r="I16" s="30" t="str">
        <x:v>S02；S05；S11；S24；S25</x:v>
      </x:c>
    </x:row>
    <x:row r="17" ht="224" customHeight="1">
      <x:c r="A17" s="30" t="str">
        <x:v>observation</x:v>
      </x:c>
      <x:c r="B17" s="30" t="str">
        <x:v>观测与证据记录</x:v>
      </x:c>
      <x:c r="C17" s="30" t="n">
        <x:f>COUNTIF('10_字段385'!$B$5:$B$389,"观测与证据记录")</x:f>
        <x:v>15</x:v>
      </x:c>
      <x:c r="D17" s="30" t="n">
        <x:f>COUNTIFS('10_字段385'!$B$5:$B$389,"观测与证据记录",'10_字段385'!$E$5:$E$389,"状态")+COUNTIFS('10_字段385'!$B$5:$B$389,"观测与证据记录",'10_字段385'!$E$5:$E$389,"派生")+COUNTIFS('10_字段385'!$B$5:$B$389,"观测与证据记录",'10_字段385'!$E$5:$E$389,"认知")</x:f>
        <x:v>3</x:v>
      </x:c>
      <x:c r="E17" s="30" t="n">
        <x:f>COUNTIFS('10_字段385'!$B$5:$B$389,"观测与证据记录",'10_字段385'!$E$5:$E$389,"配置")</x:f>
        <x:v>0</x:v>
      </x:c>
      <x:c r="F17" s="30" t="n">
        <x:f>COUNTIFS('10_字段385'!$B$5:$B$389,"观测与证据记录",'10_字段385'!$E$5:$E$389,"标识")</x:f>
        <x:v>4</x:v>
      </x:c>
      <x:c r="G17" s="30" t="n">
        <x:f>COUNTIFS('10_字段385'!$B$5:$B$389,"观测与证据记录",'10_字段385'!$E$5:$E$389,"记录")</x:f>
        <x:v>8</x:v>
      </x:c>
      <x:c r="H17" s="30" t="str">
        <x:v>observation.observer_id
observation.sensor_id
observation.captured_at_s
observation.pose_estimate
observation.payload_ref
observation.payload_bytes
observation.content_hash
observation.modality
observation.detections
observation.confidence
observation.coverage_estimate
observation.processing_job_id
observation.parent_evidence_ids
observation.valid_until_s
observation.mode</x:v>
      </x:c>
      <x:c r="I17" s="30" t="str">
        <x:v>S05；S06；S11；S19；S24；S25</x:v>
      </x:c>
    </x:row>
    <x:row r="18" ht="224" customHeight="1">
      <x:c r="A18" s="30" t="str">
        <x:v>belief</x:v>
      </x:c>
      <x:c r="B18" s="30" t="str">
        <x:v>Agent认知与局部历史</x:v>
      </x:c>
      <x:c r="C18" s="30" t="n">
        <x:f>COUNTIF('10_字段385'!$B$5:$B$389,"Agent认知与局部历史")</x:f>
        <x:v>15</x:v>
      </x:c>
      <x:c r="D18" s="30" t="n">
        <x:f>COUNTIFS('10_字段385'!$B$5:$B$389,"Agent认知与局部历史",'10_字段385'!$E$5:$E$389,"状态")+COUNTIFS('10_字段385'!$B$5:$B$389,"Agent认知与局部历史",'10_字段385'!$E$5:$E$389,"派生")+COUNTIFS('10_字段385'!$B$5:$B$389,"Agent认知与局部历史",'10_字段385'!$E$5:$E$389,"认知")</x:f>
        <x:v>14</x:v>
      </x:c>
      <x:c r="E18" s="30" t="n">
        <x:f>COUNTIFS('10_字段385'!$B$5:$B$389,"Agent认知与局部历史",'10_字段385'!$E$5:$E$389,"配置")</x:f>
        <x:v>0</x:v>
      </x:c>
      <x:c r="F18" s="30" t="n">
        <x:f>COUNTIFS('10_字段385'!$B$5:$B$389,"Agent认知与局部历史",'10_字段385'!$E$5:$E$389,"标识")</x:f>
        <x:v>1</x:v>
      </x:c>
      <x:c r="G18" s="30" t="n">
        <x:f>COUNTIFS('10_字段385'!$B$5:$B$389,"Agent认知与局部历史",'10_字段385'!$E$5:$E$389,"记录")</x:f>
        <x:v>0</x:v>
      </x:c>
      <x:c r="H18" s="30" t="str">
        <x:v>belief.agent_id
belief.entity_ref
belief.estimated_damage
belief.human_presence
belief.estimated_pose
belief.estimated_access
belief.estimated_needs
belief.evidence_ids
belief.source_agent_ids
belief.updated_at_s
belief.staleness_s
belief.conflict_state
belief.team_estimates
belief.search_status
belief.current_goal_context</x:v>
      </x:c>
      <x:c r="I18" s="30" t="str">
        <x:v>S05；S06；S24；S25</x:v>
      </x:c>
    </x:row>
    <x:row r="19" ht="350" customHeight="1">
      <x:c r="A19" s="30" t="str">
        <x:v>task</x:v>
      </x:c>
      <x:c r="B19" s="30" t="str">
        <x:v>任务与承诺</x:v>
      </x:c>
      <x:c r="C19" s="30" t="n">
        <x:f>COUNTIF('10_字段385'!$B$5:$B$389,"任务与承诺")</x:f>
        <x:v>24</x:v>
      </x:c>
      <x:c r="D19" s="30" t="n">
        <x:f>COUNTIFS('10_字段385'!$B$5:$B$389,"任务与承诺",'10_字段385'!$E$5:$E$389,"状态")+COUNTIFS('10_字段385'!$B$5:$B$389,"任务与承诺",'10_字段385'!$E$5:$E$389,"派生")+COUNTIFS('10_字段385'!$B$5:$B$389,"任务与承诺",'10_字段385'!$E$5:$E$389,"认知")</x:f>
        <x:v>17</x:v>
      </x:c>
      <x:c r="E19" s="30" t="n">
        <x:f>COUNTIFS('10_字段385'!$B$5:$B$389,"任务与承诺",'10_字段385'!$E$5:$E$389,"配置")</x:f>
        <x:v>6</x:v>
      </x:c>
      <x:c r="F19" s="30" t="n">
        <x:f>COUNTIFS('10_字段385'!$B$5:$B$389,"任务与承诺",'10_字段385'!$E$5:$E$389,"标识")</x:f>
        <x:v>1</x:v>
      </x:c>
      <x:c r="G19" s="30" t="n">
        <x:f>COUNTIFS('10_字段385'!$B$5:$B$389,"任务与承诺",'10_字段385'!$E$5:$E$389,"记录")</x:f>
        <x:v>0</x:v>
      </x:c>
      <x:c r="H19" s="30" t="str">
        <x:v>task.type
task.creator_id
task.target_ref
task.goal_predicate
task.revision
task.status
task.priority
task.deadline_s
task.dependency_ids
task.required_capability_ids
task.resource_budget
task.assigned_to
task.accepted_by
task.commitment_window
task.progress
task.active_action_ids
task.interruptibility
task.original_task_id
task.resume_checkpoint
task.handoff_target_id
task.result_evidence_ids
task.failure_reason
task.last_event_s
task.opportunity_cost</x:v>
      </x:c>
      <x:c r="I19" s="30" t="str">
        <x:v>S19；S24；S25</x:v>
      </x:c>
    </x:row>
    <x:row r="20" ht="154" customHeight="1">
      <x:c r="A20" s="30" t="str">
        <x:v>assignment</x:v>
      </x:c>
      <x:c r="B20" s="30" t="str">
        <x:v>分配消息与协商</x:v>
      </x:c>
      <x:c r="C20" s="30" t="n">
        <x:f>COUNTIF('10_字段385'!$B$5:$B$389,"分配消息与协商")</x:f>
        <x:v>10</x:v>
      </x:c>
      <x:c r="D20" s="30" t="n">
        <x:f>COUNTIFS('10_字段385'!$B$5:$B$389,"分配消息与协商",'10_字段385'!$E$5:$E$389,"状态")+COUNTIFS('10_字段385'!$B$5:$B$389,"分配消息与协商",'10_字段385'!$E$5:$E$389,"派生")+COUNTIFS('10_字段385'!$B$5:$B$389,"分配消息与协商",'10_字段385'!$E$5:$E$389,"认知")</x:f>
        <x:v>7</x:v>
      </x:c>
      <x:c r="E20" s="30" t="n">
        <x:f>COUNTIFS('10_字段385'!$B$5:$B$389,"分配消息与协商",'10_字段385'!$E$5:$E$389,"配置")</x:f>
        <x:v>0</x:v>
      </x:c>
      <x:c r="F20" s="30" t="n">
        <x:f>COUNTIFS('10_字段385'!$B$5:$B$389,"分配消息与协商",'10_字段385'!$E$5:$E$389,"标识")</x:f>
        <x:v>3</x:v>
      </x:c>
      <x:c r="G20" s="30" t="n">
        <x:f>COUNTIFS('10_字段385'!$B$5:$B$389,"分配消息与协商",'10_字段385'!$E$5:$E$389,"记录")</x:f>
        <x:v>0</x:v>
      </x:c>
      <x:c r="H20" s="30" t="str">
        <x:v>assignment.task_ref
assignment.sender_id
assignment.receiver_id
assignment.bid
assignment.message_id
assignment.delivery_state
assignment.decision
assignment.decision_reason
assignment.lease_end_s
assignment.acknowledged_revision</x:v>
      </x:c>
      <x:c r="I20" s="30" t="str">
        <x:v>S19；S24；S25</x:v>
      </x:c>
    </x:row>
    <x:row r="21" ht="238" customHeight="1">
      <x:c r="A21" s="30" t="str">
        <x:v>action</x:v>
      </x:c>
      <x:c r="B21" s="30" t="str">
        <x:v>动作实例与反馈</x:v>
      </x:c>
      <x:c r="C21" s="30" t="n">
        <x:f>COUNTIF('10_字段385'!$B$5:$B$389,"动作实例与反馈")</x:f>
        <x:v>16</x:v>
      </x:c>
      <x:c r="D21" s="30" t="n">
        <x:f>COUNTIFS('10_字段385'!$B$5:$B$389,"动作实例与反馈",'10_字段385'!$E$5:$E$389,"状态")+COUNTIFS('10_字段385'!$B$5:$B$389,"动作实例与反馈",'10_字段385'!$E$5:$E$389,"派生")+COUNTIFS('10_字段385'!$B$5:$B$389,"动作实例与反馈",'10_字段385'!$E$5:$E$389,"认知")</x:f>
        <x:v>11</x:v>
      </x:c>
      <x:c r="E21" s="30" t="n">
        <x:f>COUNTIFS('10_字段385'!$B$5:$B$389,"动作实例与反馈",'10_字段385'!$E$5:$E$389,"配置")</x:f>
        <x:v>3</x:v>
      </x:c>
      <x:c r="F21" s="30" t="n">
        <x:f>COUNTIFS('10_字段385'!$B$5:$B$389,"动作实例与反馈",'10_字段385'!$E$5:$E$389,"标识")</x:f>
        <x:v>2</x:v>
      </x:c>
      <x:c r="G21" s="30" t="n">
        <x:f>COUNTIFS('10_字段385'!$B$5:$B$389,"动作实例与反馈",'10_字段385'!$E$5:$E$389,"记录")</x:f>
        <x:v>0</x:v>
      </x:c>
      <x:c r="H21" s="30" t="str">
        <x:v>action.type
action.executor_id
action.task_ref
action.target_ref
action.parameters
action.status
action.start_s
action.finish_s
action.reserved_resources
action.consumed_resources
action.feedback
action.result
action.rejection_code
action.failure_code
action.cancel_requested
action.backend_mode</x:v>
      </x:c>
      <x:c r="I21" s="30" t="str">
        <x:v>S02；S19；S24</x:v>
      </x:c>
    </x:row>
    <x:row r="22" ht="238" customHeight="1">
      <x:c r="A22" s="30" t="str">
        <x:v>radio</x:v>
      </x:c>
      <x:c r="B22" s="30" t="str">
        <x:v>无线设备</x:v>
      </x:c>
      <x:c r="C22" s="30" t="n">
        <x:f>COUNTIF('10_字段385'!$B$5:$B$389,"无线设备")</x:f>
        <x:v>16</x:v>
      </x:c>
      <x:c r="D22" s="30" t="n">
        <x:f>COUNTIFS('10_字段385'!$B$5:$B$389,"无线设备",'10_字段385'!$E$5:$E$389,"状态")+COUNTIFS('10_字段385'!$B$5:$B$389,"无线设备",'10_字段385'!$E$5:$E$389,"派生")+COUNTIFS('10_字段385'!$B$5:$B$389,"无线设备",'10_字段385'!$E$5:$E$389,"认知")</x:f>
        <x:v>8</x:v>
      </x:c>
      <x:c r="E22" s="30" t="n">
        <x:f>COUNTIFS('10_字段385'!$B$5:$B$389,"无线设备",'10_字段385'!$E$5:$E$389,"配置")</x:f>
        <x:v>7</x:v>
      </x:c>
      <x:c r="F22" s="30" t="n">
        <x:f>COUNTIFS('10_字段385'!$B$5:$B$389,"无线设备",'10_字段385'!$E$5:$E$389,"标识")</x:f>
        <x:v>1</x:v>
      </x:c>
      <x:c r="G22" s="30" t="n">
        <x:f>COUNTIFS('10_字段385'!$B$5:$B$389,"无线设备",'10_字段385'!$E$5:$E$389,"记录")</x:f>
        <x:v>0</x:v>
      </x:c>
      <x:c r="H22" s="30" t="str">
        <x:v>radio.interface_id
radio.protocol
radio.channel
radio.tx_power_dbm
radio.antenna
radio.enabled
radio.phy_state
radio.queue_bytes
radio.queue_limit_bytes
radio.mtu_bytes
radio.retry_limit
radio.routing_mode
radio.energy_Wh
radio.position_source
radio.last_contact_s
radio.relay_enabled</x:v>
      </x:c>
      <x:c r="I22" s="30" t="str">
        <x:v>S17；S18；S24</x:v>
      </x:c>
    </x:row>
    <x:row r="23" ht="196" customHeight="1">
      <x:c r="A23" s="30" t="str">
        <x:v>link</x:v>
      </x:c>
      <x:c r="B23" s="30" t="str">
        <x:v>链路观测与派生</x:v>
      </x:c>
      <x:c r="C23" s="30" t="n">
        <x:f>COUNTIF('10_字段385'!$B$5:$B$389,"链路观测与派生")</x:f>
        <x:v>13</x:v>
      </x:c>
      <x:c r="D23" s="30" t="n">
        <x:f>COUNTIFS('10_字段385'!$B$5:$B$389,"链路观测与派生",'10_字段385'!$E$5:$E$389,"状态")+COUNTIFS('10_字段385'!$B$5:$B$389,"链路观测与派生",'10_字段385'!$E$5:$E$389,"派生")+COUNTIFS('10_字段385'!$B$5:$B$389,"链路观测与派生",'10_字段385'!$E$5:$E$389,"认知")</x:f>
        <x:v>6</x:v>
      </x:c>
      <x:c r="E23" s="30" t="n">
        <x:f>COUNTIFS('10_字段385'!$B$5:$B$389,"链路观测与派生",'10_字段385'!$E$5:$E$389,"配置")</x:f>
        <x:v>0</x:v>
      </x:c>
      <x:c r="F23" s="30" t="n">
        <x:f>COUNTIFS('10_字段385'!$B$5:$B$389,"链路观测与派生",'10_字段385'!$E$5:$E$389,"标识")</x:f>
        <x:v>3</x:v>
      </x:c>
      <x:c r="G23" s="30" t="n">
        <x:f>COUNTIFS('10_字段385'!$B$5:$B$389,"链路观测与派生",'10_字段385'!$E$5:$E$389,"记录")</x:f>
        <x:v>4</x:v>
      </x:c>
      <x:c r="H23" s="30" t="str">
        <x:v>link.sender_id
link.receiver_id
link.state
link.rssi_dbm
link.sinr_db
link.goodput_bps
link.latency_s
link.loss_rate
link.sample_count
link.sampled_at_s
link.route
link.outage_duration_s
link.quality_source</x:v>
      </x:c>
      <x:c r="I23" s="30" t="str">
        <x:v>S17；S24；S25</x:v>
      </x:c>
    </x:row>
    <x:row r="24" ht="266" customHeight="1">
      <x:c r="A24" s="30" t="str">
        <x:v>message</x:v>
      </x:c>
      <x:c r="B24" s="30" t="str">
        <x:v>业务消息与数据传输</x:v>
      </x:c>
      <x:c r="C24" s="30" t="n">
        <x:f>COUNTIF('10_字段385'!$B$5:$B$389,"业务消息与数据传输")</x:f>
        <x:v>18</x:v>
      </x:c>
      <x:c r="D24" s="30" t="n">
        <x:f>COUNTIFS('10_字段385'!$B$5:$B$389,"业务消息与数据传输",'10_字段385'!$E$5:$E$389,"状态")+COUNTIFS('10_字段385'!$B$5:$B$389,"业务消息与数据传输",'10_字段385'!$E$5:$E$389,"派生")+COUNTIFS('10_字段385'!$B$5:$B$389,"业务消息与数据传输",'10_字段385'!$E$5:$E$389,"认知")</x:f>
        <x:v>10</x:v>
      </x:c>
      <x:c r="E24" s="30" t="n">
        <x:f>COUNTIFS('10_字段385'!$B$5:$B$389,"业务消息与数据传输",'10_字段385'!$E$5:$E$389,"配置")</x:f>
        <x:v>4</x:v>
      </x:c>
      <x:c r="F24" s="30" t="n">
        <x:f>COUNTIFS('10_字段385'!$B$5:$B$389,"业务消息与数据传输",'10_字段385'!$E$5:$E$389,"标识")</x:f>
        <x:v>3</x:v>
      </x:c>
      <x:c r="G24" s="30" t="n">
        <x:f>COUNTIFS('10_字段385'!$B$5:$B$389,"业务消息与数据传输",'10_字段385'!$E$5:$E$389,"记录")</x:f>
        <x:v>1</x:v>
      </x:c>
      <x:c r="H24" s="30" t="str">
        <x:v>message.kind
message.sender_id
message.receiver_ids
message.payload_ref
message.size_bytes
message.fragment_count
message.received_fragments
message.content_hash
message.priority
message.ttl_s
message.status
message.sent_s
message.delivered_s
message.ack_state
message.retry_count
message.hop_trace
message.correlation_id
message.local_availability</x:v>
      </x:c>
      <x:c r="I24" s="30" t="str">
        <x:v>S17；S24；S25</x:v>
      </x:c>
    </x:row>
    <x:row r="25" ht="294" customHeight="1">
      <x:c r="A25" s="30" t="str">
        <x:v>compute</x:v>
      </x:c>
      <x:c r="B25" s="30" t="str">
        <x:v>计算节点</x:v>
      </x:c>
      <x:c r="C25" s="30" t="n">
        <x:f>COUNTIF('10_字段385'!$B$5:$B$389,"计算节点")</x:f>
        <x:v>20</x:v>
      </x:c>
      <x:c r="D25" s="30" t="n">
        <x:f>COUNTIFS('10_字段385'!$B$5:$B$389,"计算节点",'10_字段385'!$E$5:$E$389,"状态")+COUNTIFS('10_字段385'!$B$5:$B$389,"计算节点",'10_字段385'!$E$5:$E$389,"派生")+COUNTIFS('10_字段385'!$B$5:$B$389,"计算节点",'10_字段385'!$E$5:$E$389,"认知")</x:f>
        <x:v>10</x:v>
      </x:c>
      <x:c r="E25" s="30" t="n">
        <x:f>COUNTIFS('10_字段385'!$B$5:$B$389,"计算节点",'10_字段385'!$E$5:$E$389,"配置")</x:f>
        <x:v>9</x:v>
      </x:c>
      <x:c r="F25" s="30" t="n">
        <x:f>COUNTIFS('10_字段385'!$B$5:$B$389,"计算节点",'10_字段385'!$E$5:$E$389,"标识")</x:f>
        <x:v>1</x:v>
      </x:c>
      <x:c r="G25" s="30" t="n">
        <x:f>COUNTIFS('10_字段385'!$B$5:$B$389,"计算节点",'10_字段385'!$E$5:$E$389,"记录")</x:f>
        <x:v>0</x:v>
      </x:c>
      <x:c r="H25" s="30" t="str">
        <x:v>compute.node_id
compute.device_kind
compute.cpu_capacity
compute.accelerator_capacity
compute.memory_capacity_bytes
compute.memory_used_bytes
compute.cpu_allocated
compute.accelerator_allocated
compute.max_concurrency
compute.queue_ids
compute.running_job_ids
compute.availability
compute.power_model
compute.energy_Wh
compute.service_ids
compute.storage_free_bytes
compute.clock_policy
compute.timing_profile_id
compute.temperature_state
compute.network_endpoint</x:v>
      </x:c>
      <x:c r="I25" s="30" t="str">
        <x:v>S20；S21；S24</x:v>
      </x:c>
    </x:row>
    <x:row r="26" ht="238" customHeight="1">
      <x:c r="A26" s="30" t="str">
        <x:v>service</x:v>
      </x:c>
      <x:c r="B26" s="30" t="str">
        <x:v>模型与软件服务</x:v>
      </x:c>
      <x:c r="C26" s="30" t="n">
        <x:f>COUNTIF('10_字段385'!$B$5:$B$389,"模型与软件服务")</x:f>
        <x:v>16</x:v>
      </x:c>
      <x:c r="D26" s="30" t="n">
        <x:f>COUNTIFS('10_字段385'!$B$5:$B$389,"模型与软件服务",'10_字段385'!$E$5:$E$389,"状态")+COUNTIFS('10_字段385'!$B$5:$B$389,"模型与软件服务",'10_字段385'!$E$5:$E$389,"派生")+COUNTIFS('10_字段385'!$B$5:$B$389,"模型与软件服务",'10_字段385'!$E$5:$E$389,"认知")</x:f>
        <x:v>2</x:v>
      </x:c>
      <x:c r="E26" s="30" t="n">
        <x:f>COUNTIFS('10_字段385'!$B$5:$B$389,"模型与软件服务",'10_字段385'!$E$5:$E$389,"配置")</x:f>
        <x:v>14</x:v>
      </x:c>
      <x:c r="F26" s="30" t="n">
        <x:f>COUNTIFS('10_字段385'!$B$5:$B$389,"模型与软件服务",'10_字段385'!$E$5:$E$389,"标识")</x:f>
        <x:v>0</x:v>
      </x:c>
      <x:c r="G26" s="30" t="n">
        <x:f>COUNTIFS('10_字段385'!$B$5:$B$389,"模型与软件服务",'10_字段385'!$E$5:$E$389,"记录")</x:f>
        <x:v>0</x:v>
      </x:c>
      <x:c r="H26" s="30" t="str">
        <x:v>service.kind
service.model_id
service.version
service.host_id
service.status
service.input_schema
service.output_schema
service.precision
service.weights_bytes
service.working_memory_bytes
service.load_latency_profile
service.batch_policy
service.context_limit
service.quality_profile
service.compatible_representations
service.licence_scope</x:v>
      </x:c>
      <x:c r="I26" s="30" t="str">
        <x:v>S20；S21；S24</x:v>
      </x:c>
    </x:row>
    <x:row r="27" ht="294" customHeight="1">
      <x:c r="A27" s="30" t="str">
        <x:v>job</x:v>
      </x:c>
      <x:c r="B27" s="30" t="str">
        <x:v>计算作业及推理成本</x:v>
      </x:c>
      <x:c r="C27" s="30" t="n">
        <x:f>COUNTIF('10_字段385'!$B$5:$B$389,"计算作业及推理成本")</x:f>
        <x:v>20</x:v>
      </x:c>
      <x:c r="D27" s="30" t="n">
        <x:f>COUNTIFS('10_字段385'!$B$5:$B$389,"计算作业及推理成本",'10_字段385'!$E$5:$E$389,"状态")+COUNTIFS('10_字段385'!$B$5:$B$389,"计算作业及推理成本",'10_字段385'!$E$5:$E$389,"派生")+COUNTIFS('10_字段385'!$B$5:$B$389,"计算作业及推理成本",'10_字段385'!$E$5:$E$389,"认知")</x:f>
        <x:v>8</x:v>
      </x:c>
      <x:c r="E27" s="30" t="n">
        <x:f>COUNTIFS('10_字段385'!$B$5:$B$389,"计算作业及推理成本",'10_字段385'!$E$5:$E$389,"配置")</x:f>
        <x:v>4</x:v>
      </x:c>
      <x:c r="F27" s="30" t="n">
        <x:f>COUNTIFS('10_字段385'!$B$5:$B$389,"计算作业及推理成本",'10_字段385'!$E$5:$E$389,"标识")</x:f>
        <x:v>2</x:v>
      </x:c>
      <x:c r="G27" s="30" t="n">
        <x:f>COUNTIFS('10_字段385'!$B$5:$B$389,"计算作业及推理成本",'10_字段385'!$E$5:$E$389,"记录")</x:f>
        <x:v>6</x:v>
      </x:c>
      <x:c r="H27" s="30" t="str">
        <x:v>job.requester_id
job.task_ref
job.service_id
job.input_evidence_ids
job.input_bytes
job.input_tokens
job.output_tokens
job.status
job.queue_enter_s
job.start_s
job.finish_s
job.deadline_s
job.cpu_request
job.memory_request_bytes
job.prefill_s
job.decode_s
job.wall_time_s
job.result_ref
job.checkpoint_ref
job.failure_reason</x:v>
      </x:c>
      <x:c r="I27" s="30" t="str">
        <x:v>S19；S20；S21；S24</x:v>
      </x:c>
    </x:row>
    <x:row r="28" ht="154" customHeight="1">
      <x:c r="A28" s="30" t="str">
        <x:v>cache</x:v>
      </x:c>
      <x:c r="B28" s="30" t="str">
        <x:v>本地记忆与表示缓存</x:v>
      </x:c>
      <x:c r="C28" s="30" t="n">
        <x:f>COUNTIF('10_字段385'!$B$5:$B$389,"本地记忆与表示缓存")</x:f>
        <x:v>10</x:v>
      </x:c>
      <x:c r="D28" s="30" t="n">
        <x:f>COUNTIFS('10_字段385'!$B$5:$B$389,"本地记忆与表示缓存",'10_字段385'!$E$5:$E$389,"状态")+COUNTIFS('10_字段385'!$B$5:$B$389,"本地记忆与表示缓存",'10_字段385'!$E$5:$E$389,"派生")+COUNTIFS('10_字段385'!$B$5:$B$389,"本地记忆与表示缓存",'10_字段385'!$E$5:$E$389,"认知")</x:f>
        <x:v>6</x:v>
      </x:c>
      <x:c r="E28" s="30" t="n">
        <x:f>COUNTIFS('10_字段385'!$B$5:$B$389,"本地记忆与表示缓存",'10_字段385'!$E$5:$E$389,"配置")</x:f>
        <x:v>2</x:v>
      </x:c>
      <x:c r="F28" s="30" t="n">
        <x:f>COUNTIFS('10_字段385'!$B$5:$B$389,"本地记忆与表示缓存",'10_字段385'!$E$5:$E$389,"标识")</x:f>
        <x:v>1</x:v>
      </x:c>
      <x:c r="G28" s="30" t="n">
        <x:f>COUNTIFS('10_字段385'!$B$5:$B$389,"本地记忆与表示缓存",'10_字段385'!$E$5:$E$389,"记录")</x:f>
        <x:v>1</x:v>
      </x:c>
      <x:c r="H28" s="30" t="str">
        <x:v>cache.owner_id
cache.kind
cache.model_version
cache.content_ids
cache.size_bytes
cache.location
cache.valid_until_s
cache.reuse_compatible
cache.hit_count
cache.eviction_state</x:v>
      </x:c>
      <x:c r="I28" s="30" t="str">
        <x:v>S24；S25</x:v>
      </x:c>
    </x:row>
    <x:row r="29" ht="182" customHeight="1">
      <x:c r="A29" s="30" t="str">
        <x:v>evaluation</x:v>
      </x:c>
      <x:c r="B29" s="30" t="str">
        <x:v>研究评价与覆盖结算</x:v>
      </x:c>
      <x:c r="C29" s="30" t="n">
        <x:f>COUNTIF('10_字段385'!$B$5:$B$389,"研究评价与覆盖结算")</x:f>
        <x:v>12</x:v>
      </x:c>
      <x:c r="D29" s="30" t="n">
        <x:f>COUNTIFS('10_字段385'!$B$5:$B$389,"研究评价与覆盖结算",'10_字段385'!$E$5:$E$389,"状态")+COUNTIFS('10_字段385'!$B$5:$B$389,"研究评价与覆盖结算",'10_字段385'!$E$5:$E$389,"派生")+COUNTIFS('10_字段385'!$B$5:$B$389,"研究评价与覆盖结算",'10_字段385'!$E$5:$E$389,"认知")</x:f>
        <x:v>9</x:v>
      </x:c>
      <x:c r="E29" s="30" t="n">
        <x:f>COUNTIFS('10_字段385'!$B$5:$B$389,"研究评价与覆盖结算",'10_字段385'!$E$5:$E$389,"配置")</x:f>
        <x:v>3</x:v>
      </x:c>
      <x:c r="F29" s="30" t="n">
        <x:f>COUNTIFS('10_字段385'!$B$5:$B$389,"研究评价与覆盖结算",'10_字段385'!$E$5:$E$389,"标识")</x:f>
        <x:v>0</x:v>
      </x:c>
      <x:c r="G29" s="30" t="n">
        <x:f>COUNTIFS('10_字段385'!$B$5:$B$389,"研究评价与覆盖结算",'10_字段385'!$E$5:$E$389,"记录")</x:f>
        <x:v>0</x:v>
      </x:c>
      <x:c r="H29" s="30" t="str">
        <x:v>evaluation.mission_mode
evaluation.time_limit_s
evaluation.assessment_coverage
evaluation.search_coverage
evaluation.detection_counts
evaluation.support_counts
evaluation.response_time_s
evaluation.energy_Wh
evaluation.communication_bytes
evaluation.compute_cost
evaluation.constraint_violations
evaluation.score_spec</x:v>
      </x:c>
      <x:c r="I29" s="30" t="str">
        <x:v>S01；S03；S05；S06；S21；S24</x:v>
      </x:c>
    </x:row>
    <x:row r="30" ht="112" customHeight="1">
      <x:c r="A30" s="30" t="str">
        <x:v>region</x:v>
      </x:c>
      <x:c r="B30" s="30" t="str">
        <x:v>区域语义与生成先验</x:v>
      </x:c>
      <x:c r="C30" s="30" t="n">
        <x:f>COUNTIF('10_字段385'!$B$5:$B$389,"区域语义与生成先验")</x:f>
        <x:v>7</x:v>
      </x:c>
      <x:c r="D30" s="30" t="n">
        <x:f>COUNTIFS('10_字段385'!$B$5:$B$389,"区域语义与生成先验",'10_字段385'!$E$5:$E$389,"状态")+COUNTIFS('10_字段385'!$B$5:$B$389,"区域语义与生成先验",'10_字段385'!$E$5:$E$389,"派生")+COUNTIFS('10_字段385'!$B$5:$B$389,"区域语义与生成先验",'10_字段385'!$E$5:$E$389,"认知")</x:f>
        <x:v>0</x:v>
      </x:c>
      <x:c r="E30" s="30" t="n">
        <x:f>COUNTIFS('10_字段385'!$B$5:$B$389,"区域语义与生成先验",'10_字段385'!$E$5:$E$389,"配置")</x:f>
        <x:v>7</x:v>
      </x:c>
      <x:c r="F30" s="30" t="n">
        <x:f>COUNTIFS('10_字段385'!$B$5:$B$389,"区域语义与生成先验",'10_字段385'!$E$5:$E$389,"标识")</x:f>
        <x:v>0</x:v>
      </x:c>
      <x:c r="G30" s="30" t="n">
        <x:f>COUNTIFS('10_字段385'!$B$5:$B$389,"区域语义与生成先验",'10_字段385'!$E$5:$E$389,"记录")</x:f>
        <x:v>0</x:v>
      </x:c>
      <x:c r="H30" s="30" t="str">
        <x:v>region.land_use
region.building_density
region.road_pattern
region.occupancy_prior_id
region.disaster_profile_id
region.surface_palette
region.base_elevation_m</x:v>
      </x:c>
      <x:c r="I30" s="30" t="str">
        <x:v>S07；S08；S09；S15；S24</x:v>
      </x:c>
    </x:row>
    <x:row r="31" ht="126" customHeight="1">
      <x:c r="A31" s="30" t="str">
        <x:v>episode</x:v>
      </x:c>
      <x:c r="B31" s="30" t="str">
        <x:v>实验与主时钟</x:v>
      </x:c>
      <x:c r="C31" s="30" t="n">
        <x:f>COUNTIF('10_字段385'!$B$5:$B$389,"实验与主时钟")</x:f>
        <x:v>8</x:v>
      </x:c>
      <x:c r="D31" s="30" t="n">
        <x:f>COUNTIFS('10_字段385'!$B$5:$B$389,"实验与主时钟",'10_字段385'!$E$5:$E$389,"状态")+COUNTIFS('10_字段385'!$B$5:$B$389,"实验与主时钟",'10_字段385'!$E$5:$E$389,"派生")+COUNTIFS('10_字段385'!$B$5:$B$389,"实验与主时钟",'10_字段385'!$E$5:$E$389,"认知")</x:f>
        <x:v>1</x:v>
      </x:c>
      <x:c r="E31" s="30" t="n">
        <x:f>COUNTIFS('10_字段385'!$B$5:$B$389,"实验与主时钟",'10_字段385'!$E$5:$E$389,"配置")</x:f>
        <x:v>5</x:v>
      </x:c>
      <x:c r="F31" s="30" t="n">
        <x:f>COUNTIFS('10_字段385'!$B$5:$B$389,"实验与主时钟",'10_字段385'!$E$5:$E$389,"标识")</x:f>
        <x:v>2</x:v>
      </x:c>
      <x:c r="G31" s="30" t="n">
        <x:f>COUNTIFS('10_字段385'!$B$5:$B$389,"实验与主时钟",'10_字段385'!$E$5:$E$389,"记录")</x:f>
        <x:v>0</x:v>
      </x:c>
      <x:c r="H31" s="30" t="str">
        <x:v>episode.scenario_id
episode.map_revision
episode.seed
episode.sim_time_s
episode.clock_step_s
episode.world_frame
episode.map_bounds_m
episode.backend_modes</x:v>
      </x:c>
      <x:c r="I31" s="30" t="str">
        <x:v>S19；S24；S25</x:v>
      </x:c>
    </x:row>
  </x:sheetData>
  <x:mergeCells>
    <x:mergeCell ref="A1:I1"/>
    <x:mergeCell ref="A2:I2"/>
  </x:mergeCells>
  <x:pageMargins left="0.7" right="0.7" top="0.75" bottom="0.75" header="0.3" footer="0.3"/>
  <x:tableParts count="1">
    <x:tablePart xmlns:r="http://schemas.openxmlformats.org/officeDocument/2006/relationships" r:id="Rc8f41ad6df4d46e6"/>
  </x:tableParts>
</x:worksheet>
</file>